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D:\My Portfolio\Excel Project\"/>
    </mc:Choice>
  </mc:AlternateContent>
  <xr:revisionPtr revIDLastSave="0" documentId="8_{88509F0E-D008-47B3-B221-2EAC75B41C9C}" xr6:coauthVersionLast="47" xr6:coauthVersionMax="47" xr10:uidLastSave="{00000000-0000-0000-0000-000000000000}"/>
  <bookViews>
    <workbookView xWindow="-108" yWindow="-108" windowWidth="23256" windowHeight="12456" firstSheet="3" activeTab="3" xr2:uid="{610A2D24-A7E9-4436-80BE-8703A91AC5A0}"/>
  </bookViews>
  <sheets>
    <sheet name="Superstore Sales Data" sheetId="2" r:id="rId1"/>
    <sheet name="Summary Table " sheetId="1" r:id="rId2"/>
    <sheet name="Pivot Tables" sheetId="8" r:id="rId3"/>
    <sheet name="Superstore Sales Dashboard" sheetId="13" r:id="rId4"/>
  </sheets>
  <definedNames>
    <definedName name="ExternalData_1" localSheetId="0" hidden="1">'Superstore Sales Data'!$A$1:$P$1723</definedName>
    <definedName name="Slicer_Order_Year">#N/A</definedName>
    <definedName name="Slicer_Region">#N/A</definedName>
    <definedName name="Slicer_Segment">#N/A</definedName>
  </definedNames>
  <calcPr calcId="191028"/>
  <pivotCaches>
    <pivotCache cacheId="48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B11" i="1" a="1"/>
  <c r="B11" i="1" s="1"/>
  <c r="B10" i="1"/>
  <c r="B9" i="1"/>
  <c r="B6" i="1"/>
  <c r="B8" i="1"/>
  <c r="B5" i="1"/>
  <c r="B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F0328A-4508-4D9C-AB70-6498C45EC883}" keepAlive="1" name="Query - Merged" description="Connection to the 'Merged' query in the workbook." type="5" refreshedVersion="0" background="1">
    <dbPr connection="Provider=Microsoft.Mashup.OleDb.1;Data Source=$Workbook$;Location=Merged;Extended Properties=&quot;&quot;" command="SELECT * FROM [Merged]"/>
  </connection>
  <connection id="2" xr16:uid="{6F5E1BB6-CC13-4E07-8098-6826433818D2}" keepAlive="1" name="Query - Superstore Sales" description="Connection to the 'Superstore Sales' query in the workbook." type="5" refreshedVersion="8" background="1" saveData="1">
    <dbPr connection="Provider=Microsoft.Mashup.OleDb.1;Data Source=$Workbook$;Location=&quot;Superstore Sales&quot;;Extended Properties=&quot;&quot;" command="SELECT * FROM [Superstore 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<sst xmlns="http://schemas.openxmlformats.org/spreadsheetml/2006/main" count="22515" uniqueCount="4598">
  <si>
    <t>Order Year</t>
  </si>
  <si>
    <t>Order ID</t>
  </si>
  <si>
    <t>Order Date</t>
  </si>
  <si>
    <t>Ship Date</t>
  </si>
  <si>
    <t>Ship Mode</t>
  </si>
  <si>
    <t>Customer Name</t>
  </si>
  <si>
    <t>Customer ID</t>
  </si>
  <si>
    <t>Repear Customers</t>
  </si>
  <si>
    <t>Segment</t>
  </si>
  <si>
    <t>City</t>
  </si>
  <si>
    <t>State</t>
  </si>
  <si>
    <t>Region</t>
  </si>
  <si>
    <t>Product ID</t>
  </si>
  <si>
    <t>Category</t>
  </si>
  <si>
    <t>Sub-Category</t>
  </si>
  <si>
    <t>Sales</t>
  </si>
  <si>
    <t>18/12/2018</t>
  </si>
  <si>
    <t>22/12/2018</t>
  </si>
  <si>
    <t>Standard Class</t>
  </si>
  <si>
    <t>Aaron Hawkins</t>
  </si>
  <si>
    <t>10030</t>
  </si>
  <si>
    <t>No</t>
  </si>
  <si>
    <t>Corporate</t>
  </si>
  <si>
    <t>Philadelphia</t>
  </si>
  <si>
    <t>Pennsylvania</t>
  </si>
  <si>
    <t>East</t>
  </si>
  <si>
    <t>10003183</t>
  </si>
  <si>
    <t>Office Supplies</t>
  </si>
  <si>
    <t>Art</t>
  </si>
  <si>
    <t>01/08/2018</t>
  </si>
  <si>
    <t>07/08/2018</t>
  </si>
  <si>
    <t>Aaron Smayling</t>
  </si>
  <si>
    <t>10045</t>
  </si>
  <si>
    <t>Yes</t>
  </si>
  <si>
    <t>Austin</t>
  </si>
  <si>
    <t>Texas</t>
  </si>
  <si>
    <t>Central</t>
  </si>
  <si>
    <t>10000488</t>
  </si>
  <si>
    <t>Technology</t>
  </si>
  <si>
    <t>Machines</t>
  </si>
  <si>
    <t>02/01/2018</t>
  </si>
  <si>
    <t>04/01/2018</t>
  </si>
  <si>
    <t>First Class</t>
  </si>
  <si>
    <t>Jacksonville</t>
  </si>
  <si>
    <t>North Carolina</t>
  </si>
  <si>
    <t>South</t>
  </si>
  <si>
    <t>10002178</t>
  </si>
  <si>
    <t>27/07/2015</t>
  </si>
  <si>
    <t>02/08/2015</t>
  </si>
  <si>
    <t>New York City</t>
  </si>
  <si>
    <t>New York</t>
  </si>
  <si>
    <t>10002709</t>
  </si>
  <si>
    <t>Paper</t>
  </si>
  <si>
    <t>28/03/2017</t>
  </si>
  <si>
    <t>31/03/2017</t>
  </si>
  <si>
    <t>Arlington</t>
  </si>
  <si>
    <t>Virginia</t>
  </si>
  <si>
    <t>10000649</t>
  </si>
  <si>
    <t>Storage</t>
  </si>
  <si>
    <t>07/05/2018</t>
  </si>
  <si>
    <t>12/05/2018</t>
  </si>
  <si>
    <t>Adam Bellavance</t>
  </si>
  <si>
    <t>10060</t>
  </si>
  <si>
    <t>Home Office</t>
  </si>
  <si>
    <t>Los Angeles</t>
  </si>
  <si>
    <t>California</t>
  </si>
  <si>
    <t>West</t>
  </si>
  <si>
    <t>10000736</t>
  </si>
  <si>
    <t>Accessories</t>
  </si>
  <si>
    <t>29/08/2017</t>
  </si>
  <si>
    <t>03/09/2017</t>
  </si>
  <si>
    <t>Concord</t>
  </si>
  <si>
    <t>New Hampshire</t>
  </si>
  <si>
    <t>10000381</t>
  </si>
  <si>
    <t>Supplies</t>
  </si>
  <si>
    <t>13/03/2017</t>
  </si>
  <si>
    <t>18/03/2017</t>
  </si>
  <si>
    <t>Waynesboro</t>
  </si>
  <si>
    <t>10004864</t>
  </si>
  <si>
    <t>Furniture</t>
  </si>
  <si>
    <t>Furnishings</t>
  </si>
  <si>
    <t>26/11/2018</t>
  </si>
  <si>
    <t>30/11/2018</t>
  </si>
  <si>
    <t>Adam Hart</t>
  </si>
  <si>
    <t>10075</t>
  </si>
  <si>
    <t>Atlanta</t>
  </si>
  <si>
    <t>Georgia</t>
  </si>
  <si>
    <t>10003504</t>
  </si>
  <si>
    <t>15/04/2018</t>
  </si>
  <si>
    <t>18/04/2018</t>
  </si>
  <si>
    <t>Henderson</t>
  </si>
  <si>
    <t>Nevada</t>
  </si>
  <si>
    <t>10004460</t>
  </si>
  <si>
    <t>09/11/2016</t>
  </si>
  <si>
    <t>13/11/2016</t>
  </si>
  <si>
    <t>Adam Shillingsburg</t>
  </si>
  <si>
    <t>10090</t>
  </si>
  <si>
    <t>Consumer</t>
  </si>
  <si>
    <t>Springfield</t>
  </si>
  <si>
    <t>Missouri</t>
  </si>
  <si>
    <t>10002393</t>
  </si>
  <si>
    <t>Binders</t>
  </si>
  <si>
    <t>02/12/2018</t>
  </si>
  <si>
    <t>05/12/2018</t>
  </si>
  <si>
    <t>Charlottesville</t>
  </si>
  <si>
    <t>10001446</t>
  </si>
  <si>
    <t>11/09/2017</t>
  </si>
  <si>
    <t>16/09/2017</t>
  </si>
  <si>
    <t>Chicago</t>
  </si>
  <si>
    <t>Illinois</t>
  </si>
  <si>
    <t>10001982</t>
  </si>
  <si>
    <t>Labels</t>
  </si>
  <si>
    <t>05/06/2018</t>
  </si>
  <si>
    <t>06/06/2018</t>
  </si>
  <si>
    <t>Adrian Barton</t>
  </si>
  <si>
    <t>10105</t>
  </si>
  <si>
    <t>Pearland</t>
  </si>
  <si>
    <t>10001619</t>
  </si>
  <si>
    <t>Phones</t>
  </si>
  <si>
    <t>20/12/2015</t>
  </si>
  <si>
    <t>23/12/2015</t>
  </si>
  <si>
    <t>Indianapolis</t>
  </si>
  <si>
    <t>Indiana</t>
  </si>
  <si>
    <t>10003720</t>
  </si>
  <si>
    <t>19/11/2018</t>
  </si>
  <si>
    <t>23/11/2018</t>
  </si>
  <si>
    <t>Kentucky</t>
  </si>
  <si>
    <t>10004665</t>
  </si>
  <si>
    <t>02/02/2017</t>
  </si>
  <si>
    <t>07/02/2017</t>
  </si>
  <si>
    <t>10003994</t>
  </si>
  <si>
    <t>18/07/2015</t>
  </si>
  <si>
    <t>Same Day</t>
  </si>
  <si>
    <t>Adrian Hane</t>
  </si>
  <si>
    <t>10120</t>
  </si>
  <si>
    <t>Tucson</t>
  </si>
  <si>
    <t>Arizona</t>
  </si>
  <si>
    <t>10002372</t>
  </si>
  <si>
    <t>Chairs</t>
  </si>
  <si>
    <t>22/11/2018</t>
  </si>
  <si>
    <t>Adrian Shami</t>
  </si>
  <si>
    <t>10135</t>
  </si>
  <si>
    <t>10000404</t>
  </si>
  <si>
    <t>21/11/2018</t>
  </si>
  <si>
    <t>Second Class</t>
  </si>
  <si>
    <t>Aimee Bixby</t>
  </si>
  <si>
    <t>10150</t>
  </si>
  <si>
    <t>Carrollton</t>
  </si>
  <si>
    <t>10000308</t>
  </si>
  <si>
    <t>10/09/2016</t>
  </si>
  <si>
    <t>15/09/2016</t>
  </si>
  <si>
    <t>Tulsa</t>
  </si>
  <si>
    <t>Oklahoma</t>
  </si>
  <si>
    <t>10000477</t>
  </si>
  <si>
    <t>16/11/2015</t>
  </si>
  <si>
    <t>20/11/2015</t>
  </si>
  <si>
    <t>Alan Barnes</t>
  </si>
  <si>
    <t>10165</t>
  </si>
  <si>
    <t>Decatur</t>
  </si>
  <si>
    <t>10002017</t>
  </si>
  <si>
    <t>28/03/2016</t>
  </si>
  <si>
    <t>02/04/2016</t>
  </si>
  <si>
    <t>10002253</t>
  </si>
  <si>
    <t>09/12/2018</t>
  </si>
  <si>
    <t>Bellevue</t>
  </si>
  <si>
    <t>Washington</t>
  </si>
  <si>
    <t>10001617</t>
  </si>
  <si>
    <t>25/06/2016</t>
  </si>
  <si>
    <t>01/07/2016</t>
  </si>
  <si>
    <t>10004062</t>
  </si>
  <si>
    <t>04/07/2016</t>
  </si>
  <si>
    <t>08/07/2016</t>
  </si>
  <si>
    <t>Alan Dominguez</t>
  </si>
  <si>
    <t>10180</t>
  </si>
  <si>
    <t>10004817</t>
  </si>
  <si>
    <t>14/06/2016</t>
  </si>
  <si>
    <t>18/06/2016</t>
  </si>
  <si>
    <t>10001867</t>
  </si>
  <si>
    <t>19/11/2015</t>
  </si>
  <si>
    <t>22/11/2015</t>
  </si>
  <si>
    <t>10001583</t>
  </si>
  <si>
    <t>26/12/2015</t>
  </si>
  <si>
    <t>28/12/2015</t>
  </si>
  <si>
    <t>Houston</t>
  </si>
  <si>
    <t>10004063</t>
  </si>
  <si>
    <t>22/01/2018</t>
  </si>
  <si>
    <t>27/01/2018</t>
  </si>
  <si>
    <t>Great Falls</t>
  </si>
  <si>
    <t>Montana</t>
  </si>
  <si>
    <t>10003236</t>
  </si>
  <si>
    <t>Copiers</t>
  </si>
  <si>
    <t>18/12/2017</t>
  </si>
  <si>
    <t>20/12/2017</t>
  </si>
  <si>
    <t>Alan Haines</t>
  </si>
  <si>
    <t>10195</t>
  </si>
  <si>
    <t>Tamarac</t>
  </si>
  <si>
    <t>Florida</t>
  </si>
  <si>
    <t>10000778</t>
  </si>
  <si>
    <t>05/11/2018</t>
  </si>
  <si>
    <t>07/11/2018</t>
  </si>
  <si>
    <t>10000474</t>
  </si>
  <si>
    <t>20/02/2017</t>
  </si>
  <si>
    <t>27/02/2017</t>
  </si>
  <si>
    <t>Alan Hwang</t>
  </si>
  <si>
    <t>10210</t>
  </si>
  <si>
    <t>Nashville</t>
  </si>
  <si>
    <t>Tennessee</t>
  </si>
  <si>
    <t>10004996</t>
  </si>
  <si>
    <t>10/11/2016</t>
  </si>
  <si>
    <t>15/11/2016</t>
  </si>
  <si>
    <t>Brentwood</t>
  </si>
  <si>
    <t>10004469</t>
  </si>
  <si>
    <t>17/09/2018</t>
  </si>
  <si>
    <t>21/09/2018</t>
  </si>
  <si>
    <t>Alan Schoenberger</t>
  </si>
  <si>
    <t>10225</t>
  </si>
  <si>
    <t>Provo</t>
  </si>
  <si>
    <t>Utah</t>
  </si>
  <si>
    <t>10000829</t>
  </si>
  <si>
    <t>02/12/2017</t>
  </si>
  <si>
    <t>08/12/2017</t>
  </si>
  <si>
    <t>Longmont</t>
  </si>
  <si>
    <t>Colorado</t>
  </si>
  <si>
    <t>10002942</t>
  </si>
  <si>
    <t>08/12/2018</t>
  </si>
  <si>
    <t>12/12/2018</t>
  </si>
  <si>
    <t>San Francisco</t>
  </si>
  <si>
    <t>10002670</t>
  </si>
  <si>
    <t>Appliances</t>
  </si>
  <si>
    <t>04/05/2016</t>
  </si>
  <si>
    <t>09/05/2016</t>
  </si>
  <si>
    <t>10002671</t>
  </si>
  <si>
    <t>21/06/2018</t>
  </si>
  <si>
    <t>25/06/2018</t>
  </si>
  <si>
    <t>Alan Shonely</t>
  </si>
  <si>
    <t>10240</t>
  </si>
  <si>
    <t>Cleveland</t>
  </si>
  <si>
    <t>Ohio</t>
  </si>
  <si>
    <t>10004415</t>
  </si>
  <si>
    <t>15/03/2015</t>
  </si>
  <si>
    <t>19/03/2015</t>
  </si>
  <si>
    <t>Tampa</t>
  </si>
  <si>
    <t>10001490</t>
  </si>
  <si>
    <t>25/06/2017</t>
  </si>
  <si>
    <t>29/06/2017</t>
  </si>
  <si>
    <t>10000692</t>
  </si>
  <si>
    <t>17/07/2018</t>
  </si>
  <si>
    <t>21/07/2018</t>
  </si>
  <si>
    <t>Alejandro Ballentine</t>
  </si>
  <si>
    <t>10255</t>
  </si>
  <si>
    <t>10004202</t>
  </si>
  <si>
    <t>16/06/2018</t>
  </si>
  <si>
    <t>Carlsbad</t>
  </si>
  <si>
    <t>New Mexico</t>
  </si>
  <si>
    <t>10001165</t>
  </si>
  <si>
    <t>26/06/2017</t>
  </si>
  <si>
    <t>Plano</t>
  </si>
  <si>
    <t>10003133</t>
  </si>
  <si>
    <t>02/06/2018</t>
  </si>
  <si>
    <t>Lorain</t>
  </si>
  <si>
    <t>10000347</t>
  </si>
  <si>
    <t>13/05/2015</t>
  </si>
  <si>
    <t>15/05/2015</t>
  </si>
  <si>
    <t>Alejandro Grove</t>
  </si>
  <si>
    <t>10270</t>
  </si>
  <si>
    <t>West Jordan</t>
  </si>
  <si>
    <t>10000107</t>
  </si>
  <si>
    <t>04/11/2017</t>
  </si>
  <si>
    <t>08/11/2017</t>
  </si>
  <si>
    <t>Alejandro Savely</t>
  </si>
  <si>
    <t>10285</t>
  </si>
  <si>
    <t>Seattle</t>
  </si>
  <si>
    <t>10003394</t>
  </si>
  <si>
    <t>28/10/2017</t>
  </si>
  <si>
    <t>29/10/2017</t>
  </si>
  <si>
    <t>10004734</t>
  </si>
  <si>
    <t>05/11/2017</t>
  </si>
  <si>
    <t>10/11/2017</t>
  </si>
  <si>
    <t>10003187</t>
  </si>
  <si>
    <t>05/12/2017</t>
  </si>
  <si>
    <t>07/12/2017</t>
  </si>
  <si>
    <t>Aleksandra Gannaway</t>
  </si>
  <si>
    <t>10300</t>
  </si>
  <si>
    <t>Franklin</t>
  </si>
  <si>
    <t>Massachusetts</t>
  </si>
  <si>
    <t>10002853</t>
  </si>
  <si>
    <t>Bookcases</t>
  </si>
  <si>
    <t>03/03/2017</t>
  </si>
  <si>
    <t>08/03/2017</t>
  </si>
  <si>
    <t>Alex Avila</t>
  </si>
  <si>
    <t>10315</t>
  </si>
  <si>
    <t>Round Rock</t>
  </si>
  <si>
    <t>10000151</t>
  </si>
  <si>
    <t>04/10/2016</t>
  </si>
  <si>
    <t>07/10/2016</t>
  </si>
  <si>
    <t>10001590</t>
  </si>
  <si>
    <t>31/03/2015</t>
  </si>
  <si>
    <t>05/04/2015</t>
  </si>
  <si>
    <t>10004390</t>
  </si>
  <si>
    <t>10/12/2018</t>
  </si>
  <si>
    <t>Alex Grayson</t>
  </si>
  <si>
    <t>10330</t>
  </si>
  <si>
    <t>Stockton</t>
  </si>
  <si>
    <t>10003215</t>
  </si>
  <si>
    <t>16/07/2017</t>
  </si>
  <si>
    <t>22/07/2017</t>
  </si>
  <si>
    <t>Alice McCarthy</t>
  </si>
  <si>
    <t>10360</t>
  </si>
  <si>
    <t>Grand Prairie</t>
  </si>
  <si>
    <t>10001328</t>
  </si>
  <si>
    <t>06/10/2015</t>
  </si>
  <si>
    <t>08/10/2015</t>
  </si>
  <si>
    <t>Omaha</t>
  </si>
  <si>
    <t>Nebraska</t>
  </si>
  <si>
    <t>10004099</t>
  </si>
  <si>
    <t>14/11/2017</t>
  </si>
  <si>
    <t>16/11/2017</t>
  </si>
  <si>
    <t>Allen Armold</t>
  </si>
  <si>
    <t>10375</t>
  </si>
  <si>
    <t>10004145</t>
  </si>
  <si>
    <t>08/05/2016</t>
  </si>
  <si>
    <t>12/05/2016</t>
  </si>
  <si>
    <t>Salem</t>
  </si>
  <si>
    <t>Oregon</t>
  </si>
  <si>
    <t>10000127</t>
  </si>
  <si>
    <t>24/10/2015</t>
  </si>
  <si>
    <t>29/10/2015</t>
  </si>
  <si>
    <t>Rancho Cucamonga</t>
  </si>
  <si>
    <t>10002706</t>
  </si>
  <si>
    <t>10/07/2017</t>
  </si>
  <si>
    <t>Mesa</t>
  </si>
  <si>
    <t>10001325</t>
  </si>
  <si>
    <t>21/04/2015</t>
  </si>
  <si>
    <t>25/04/2015</t>
  </si>
  <si>
    <t>10002976</t>
  </si>
  <si>
    <t>03/09/2015</t>
  </si>
  <si>
    <t>Allen Goldenen</t>
  </si>
  <si>
    <t>10390</t>
  </si>
  <si>
    <t>10001175</t>
  </si>
  <si>
    <t>20/11/2017</t>
  </si>
  <si>
    <t>22/11/2017</t>
  </si>
  <si>
    <t>Cincinnati</t>
  </si>
  <si>
    <t>10000955</t>
  </si>
  <si>
    <t>03/10/2015</t>
  </si>
  <si>
    <t>Allen Rosenblatt</t>
  </si>
  <si>
    <t>10405</t>
  </si>
  <si>
    <t>10001866</t>
  </si>
  <si>
    <t>Tables</t>
  </si>
  <si>
    <t>19/06/2018</t>
  </si>
  <si>
    <t>23/06/2018</t>
  </si>
  <si>
    <t>10003892</t>
  </si>
  <si>
    <t>27/08/2018</t>
  </si>
  <si>
    <t>01/09/2018</t>
  </si>
  <si>
    <t>10004915</t>
  </si>
  <si>
    <t>12/07/2015</t>
  </si>
  <si>
    <t>17/07/2015</t>
  </si>
  <si>
    <t>Alyssa Crouse</t>
  </si>
  <si>
    <t>10420</t>
  </si>
  <si>
    <t>10003314</t>
  </si>
  <si>
    <t>24/11/2017</t>
  </si>
  <si>
    <t>01/12/2017</t>
  </si>
  <si>
    <t>Alyssa Tate</t>
  </si>
  <si>
    <t>10435</t>
  </si>
  <si>
    <t>10001300</t>
  </si>
  <si>
    <t>27/12/2015</t>
  </si>
  <si>
    <t>30/12/2015</t>
  </si>
  <si>
    <t>10004425</t>
  </si>
  <si>
    <t>03/10/2018</t>
  </si>
  <si>
    <t>06/10/2018</t>
  </si>
  <si>
    <t>Amy Cox</t>
  </si>
  <si>
    <t>10450</t>
  </si>
  <si>
    <t>Minneapolis</t>
  </si>
  <si>
    <t>Minnesota</t>
  </si>
  <si>
    <t>10001359</t>
  </si>
  <si>
    <t>19/12/2018</t>
  </si>
  <si>
    <t>21/12/2018</t>
  </si>
  <si>
    <t>Lafayette</t>
  </si>
  <si>
    <t>Louisiana</t>
  </si>
  <si>
    <t>10002881</t>
  </si>
  <si>
    <t>15/06/2016</t>
  </si>
  <si>
    <t>17/06/2016</t>
  </si>
  <si>
    <t>10002718</t>
  </si>
  <si>
    <t>17/07/2017</t>
  </si>
  <si>
    <t>Andrew Allen</t>
  </si>
  <si>
    <t>10480</t>
  </si>
  <si>
    <t>10001471</t>
  </si>
  <si>
    <t>20/04/2018</t>
  </si>
  <si>
    <t>10002365</t>
  </si>
  <si>
    <t>04/05/2015</t>
  </si>
  <si>
    <t>Middletown</t>
  </si>
  <si>
    <t>Connecticut</t>
  </si>
  <si>
    <t>10001473</t>
  </si>
  <si>
    <t>26/10/2016</t>
  </si>
  <si>
    <t>30/10/2016</t>
  </si>
  <si>
    <t>Andrew Gjertsen</t>
  </si>
  <si>
    <t>10495</t>
  </si>
  <si>
    <t>Peoria</t>
  </si>
  <si>
    <t>10001700</t>
  </si>
  <si>
    <t>13/10/2018</t>
  </si>
  <si>
    <t>17/10/2018</t>
  </si>
  <si>
    <t>10000673</t>
  </si>
  <si>
    <t>23/05/2015</t>
  </si>
  <si>
    <t>27/05/2015</t>
  </si>
  <si>
    <t>Andrew Roberts</t>
  </si>
  <si>
    <t>10510</t>
  </si>
  <si>
    <t>10000848</t>
  </si>
  <si>
    <t>31/08/2016</t>
  </si>
  <si>
    <t>05/09/2016</t>
  </si>
  <si>
    <t>10003441</t>
  </si>
  <si>
    <t>09/08/2015</t>
  </si>
  <si>
    <t>16/08/2015</t>
  </si>
  <si>
    <t>Andy Gerbode</t>
  </si>
  <si>
    <t>10525</t>
  </si>
  <si>
    <t>Saint Petersburg</t>
  </si>
  <si>
    <t>10002398</t>
  </si>
  <si>
    <t>02/09/2015</t>
  </si>
  <si>
    <t>07/09/2015</t>
  </si>
  <si>
    <t>10002210</t>
  </si>
  <si>
    <t>22/11/2016</t>
  </si>
  <si>
    <t>26/11/2016</t>
  </si>
  <si>
    <t>Andy Reiter</t>
  </si>
  <si>
    <t>10540</t>
  </si>
  <si>
    <t>Quincy</t>
  </si>
  <si>
    <t>10002586</t>
  </si>
  <si>
    <t>24/12/2018</t>
  </si>
  <si>
    <t>29/12/2018</t>
  </si>
  <si>
    <t>10003708</t>
  </si>
  <si>
    <t>06/04/2015</t>
  </si>
  <si>
    <t>12/04/2015</t>
  </si>
  <si>
    <t>Andy Yotov</t>
  </si>
  <si>
    <t>10555</t>
  </si>
  <si>
    <t>10000747</t>
  </si>
  <si>
    <t>14/12/2018</t>
  </si>
  <si>
    <t>Angele Hood</t>
  </si>
  <si>
    <t>10585</t>
  </si>
  <si>
    <t>10004965</t>
  </si>
  <si>
    <t>06/07/2018</t>
  </si>
  <si>
    <t>Miami</t>
  </si>
  <si>
    <t>10000155</t>
  </si>
  <si>
    <t>18/02/2016</t>
  </si>
  <si>
    <t>22/02/2016</t>
  </si>
  <si>
    <t>Ann Blume</t>
  </si>
  <si>
    <t>10600</t>
  </si>
  <si>
    <t>10002271</t>
  </si>
  <si>
    <t>18/11/2015</t>
  </si>
  <si>
    <t>25/11/2015</t>
  </si>
  <si>
    <t>10001107</t>
  </si>
  <si>
    <t>01/08/2015</t>
  </si>
  <si>
    <t>06/08/2015</t>
  </si>
  <si>
    <t>Ann Steele</t>
  </si>
  <si>
    <t>10630</t>
  </si>
  <si>
    <t>10000992</t>
  </si>
  <si>
    <t>Fasteners</t>
  </si>
  <si>
    <t>30/04/2018</t>
  </si>
  <si>
    <t>05/05/2018</t>
  </si>
  <si>
    <t>Boynton Beach</t>
  </si>
  <si>
    <t>10003190</t>
  </si>
  <si>
    <t>01/12/2015</t>
  </si>
  <si>
    <t>03/12/2015</t>
  </si>
  <si>
    <t>Anna Andreadi</t>
  </si>
  <si>
    <t>10645</t>
  </si>
  <si>
    <t>Lowell</t>
  </si>
  <si>
    <t>10004434</t>
  </si>
  <si>
    <t>15/10/2015</t>
  </si>
  <si>
    <t>17/10/2015</t>
  </si>
  <si>
    <t>Anna Chung</t>
  </si>
  <si>
    <t>10660</t>
  </si>
  <si>
    <t>Parma</t>
  </si>
  <si>
    <t>10003761</t>
  </si>
  <si>
    <t>24/09/2018</t>
  </si>
  <si>
    <t>27/09/2018</t>
  </si>
  <si>
    <t>Anna Gayman</t>
  </si>
  <si>
    <t>10675</t>
  </si>
  <si>
    <t>Columbus</t>
  </si>
  <si>
    <t>10000885</t>
  </si>
  <si>
    <t>07/09/2018</t>
  </si>
  <si>
    <t>11/09/2018</t>
  </si>
  <si>
    <t>Milwaukee</t>
  </si>
  <si>
    <t>Wisconsin</t>
  </si>
  <si>
    <t>10002134</t>
  </si>
  <si>
    <t>29/07/2018</t>
  </si>
  <si>
    <t>10002082</t>
  </si>
  <si>
    <t>14/01/2017</t>
  </si>
  <si>
    <t>20/01/2017</t>
  </si>
  <si>
    <t>10004039</t>
  </si>
  <si>
    <t>08/09/2017</t>
  </si>
  <si>
    <t>10/09/2017</t>
  </si>
  <si>
    <t>10001580</t>
  </si>
  <si>
    <t>12/11/2016</t>
  </si>
  <si>
    <t>19/11/2016</t>
  </si>
  <si>
    <t>Anna Häberlin</t>
  </si>
  <si>
    <t>10690</t>
  </si>
  <si>
    <t>Plantation</t>
  </si>
  <si>
    <t>10001246</t>
  </si>
  <si>
    <t>29/06/2018</t>
  </si>
  <si>
    <t>Anne McFarland</t>
  </si>
  <si>
    <t>10705</t>
  </si>
  <si>
    <t>10000688</t>
  </si>
  <si>
    <t>25/09/2016</t>
  </si>
  <si>
    <t>01/10/2016</t>
  </si>
  <si>
    <t>10000461</t>
  </si>
  <si>
    <t>Envelopes</t>
  </si>
  <si>
    <t>Anne Pryor</t>
  </si>
  <si>
    <t>10720</t>
  </si>
  <si>
    <t>Frisco</t>
  </si>
  <si>
    <t>10004127</t>
  </si>
  <si>
    <t>14/09/2017</t>
  </si>
  <si>
    <t>Malden</t>
  </si>
  <si>
    <t>10003450</t>
  </si>
  <si>
    <t>19/09/2017</t>
  </si>
  <si>
    <t>22/09/2017</t>
  </si>
  <si>
    <t>10003424</t>
  </si>
  <si>
    <t>03/03/2015</t>
  </si>
  <si>
    <t>08/03/2015</t>
  </si>
  <si>
    <t>10004700</t>
  </si>
  <si>
    <t>23/05/2017</t>
  </si>
  <si>
    <t>27/05/2017</t>
  </si>
  <si>
    <t>Florence</t>
  </si>
  <si>
    <t>Alabama</t>
  </si>
  <si>
    <t>10001526</t>
  </si>
  <si>
    <t>03/11/2015</t>
  </si>
  <si>
    <t>08/11/2015</t>
  </si>
  <si>
    <t>Annie Thurman</t>
  </si>
  <si>
    <t>10735</t>
  </si>
  <si>
    <t>10000141</t>
  </si>
  <si>
    <t>07/07/2018</t>
  </si>
  <si>
    <t>11/07/2018</t>
  </si>
  <si>
    <t>10001135</t>
  </si>
  <si>
    <t>19/05/2018</t>
  </si>
  <si>
    <t>23/05/2018</t>
  </si>
  <si>
    <t>10001563</t>
  </si>
  <si>
    <t>16/05/2016</t>
  </si>
  <si>
    <t>Annie Zypern</t>
  </si>
  <si>
    <t>10750</t>
  </si>
  <si>
    <t>10004258</t>
  </si>
  <si>
    <t>25/03/2015</t>
  </si>
  <si>
    <t>01/04/2015</t>
  </si>
  <si>
    <t>10002439</t>
  </si>
  <si>
    <t>17/09/2015</t>
  </si>
  <si>
    <t>21/09/2015</t>
  </si>
  <si>
    <t>Anthony Garverick</t>
  </si>
  <si>
    <t>10765</t>
  </si>
  <si>
    <t>10003712</t>
  </si>
  <si>
    <t>16/10/2018</t>
  </si>
  <si>
    <t>21/10/2018</t>
  </si>
  <si>
    <t>Anthony Jacobs</t>
  </si>
  <si>
    <t>10780</t>
  </si>
  <si>
    <t>Scottsdale</t>
  </si>
  <si>
    <t>10000062</t>
  </si>
  <si>
    <t>31/10/2015</t>
  </si>
  <si>
    <t>02/11/2015</t>
  </si>
  <si>
    <t>10003954</t>
  </si>
  <si>
    <t>10/01/2015</t>
  </si>
  <si>
    <t>15/01/2015</t>
  </si>
  <si>
    <t>10004272</t>
  </si>
  <si>
    <t>22/01/2017</t>
  </si>
  <si>
    <t>28/01/2017</t>
  </si>
  <si>
    <t>Anthony Johnson</t>
  </si>
  <si>
    <t>10795</t>
  </si>
  <si>
    <t>10001475</t>
  </si>
  <si>
    <t>12/09/2017</t>
  </si>
  <si>
    <t>17/09/2017</t>
  </si>
  <si>
    <t>10004877</t>
  </si>
  <si>
    <t>14/05/2015</t>
  </si>
  <si>
    <t>20/05/2015</t>
  </si>
  <si>
    <t>10004306</t>
  </si>
  <si>
    <t>05/01/2017</t>
  </si>
  <si>
    <t>07/01/2017</t>
  </si>
  <si>
    <t>10001714</t>
  </si>
  <si>
    <t>29/12/2015</t>
  </si>
  <si>
    <t>02/01/2016</t>
  </si>
  <si>
    <t>10000550</t>
  </si>
  <si>
    <t>11/12/2017</t>
  </si>
  <si>
    <t>16/12/2017</t>
  </si>
  <si>
    <t>Anthony Rawles</t>
  </si>
  <si>
    <t>10825</t>
  </si>
  <si>
    <t>Vancouver</t>
  </si>
  <si>
    <t>10001935</t>
  </si>
  <si>
    <t>02/11/2018</t>
  </si>
  <si>
    <t>06/11/2018</t>
  </si>
  <si>
    <t>10000646</t>
  </si>
  <si>
    <t>30/06/2015</t>
  </si>
  <si>
    <t>03/07/2015</t>
  </si>
  <si>
    <t>10001374</t>
  </si>
  <si>
    <t>29/11/2016</t>
  </si>
  <si>
    <t>30/11/2016</t>
  </si>
  <si>
    <t>Anthony Witt</t>
  </si>
  <si>
    <t>10840</t>
  </si>
  <si>
    <t>Allen</t>
  </si>
  <si>
    <t>10003038</t>
  </si>
  <si>
    <t>10000788</t>
  </si>
  <si>
    <t>09/09/2018</t>
  </si>
  <si>
    <t>13/09/2018</t>
  </si>
  <si>
    <t>Arianne Irving</t>
  </si>
  <si>
    <t>10855</t>
  </si>
  <si>
    <t>Glendale</t>
  </si>
  <si>
    <t>10000859</t>
  </si>
  <si>
    <t>17/12/2018</t>
  </si>
  <si>
    <t>Chesapeake</t>
  </si>
  <si>
    <t>10003846</t>
  </si>
  <si>
    <t>20/12/2016</t>
  </si>
  <si>
    <t>25/12/2016</t>
  </si>
  <si>
    <t>10004947</t>
  </si>
  <si>
    <t>06/12/2016</t>
  </si>
  <si>
    <t>11/12/2016</t>
  </si>
  <si>
    <t>Art Ferguson</t>
  </si>
  <si>
    <t>10870</t>
  </si>
  <si>
    <t>10001626</t>
  </si>
  <si>
    <t>18/11/2018</t>
  </si>
  <si>
    <t>Homestead</t>
  </si>
  <si>
    <t>10001977</t>
  </si>
  <si>
    <t>College Station</t>
  </si>
  <si>
    <t>10001973</t>
  </si>
  <si>
    <t>13/10/2016</t>
  </si>
  <si>
    <t>17/10/2016</t>
  </si>
  <si>
    <t>Art Foster</t>
  </si>
  <si>
    <t>10885</t>
  </si>
  <si>
    <t>Louisville</t>
  </si>
  <si>
    <t>10001552</t>
  </si>
  <si>
    <t>23/07/2015</t>
  </si>
  <si>
    <t>Arthur Gainer</t>
  </si>
  <si>
    <t>10900</t>
  </si>
  <si>
    <t>27/12/2016</t>
  </si>
  <si>
    <t>31/12/2016</t>
  </si>
  <si>
    <t>10000240</t>
  </si>
  <si>
    <t>03/09/2018</t>
  </si>
  <si>
    <t>08/09/2018</t>
  </si>
  <si>
    <t>Dallas</t>
  </si>
  <si>
    <t>10004622</t>
  </si>
  <si>
    <t>09/09/2016</t>
  </si>
  <si>
    <t>San Diego</t>
  </si>
  <si>
    <t>10000330</t>
  </si>
  <si>
    <t>23/08/2015</t>
  </si>
  <si>
    <t>27/08/2015</t>
  </si>
  <si>
    <t>Arthur Prichep</t>
  </si>
  <si>
    <t>10915</t>
  </si>
  <si>
    <t>Denver</t>
  </si>
  <si>
    <t>10001837</t>
  </si>
  <si>
    <t>Palm Coast</t>
  </si>
  <si>
    <t>10001219</t>
  </si>
  <si>
    <t>23/09/2018</t>
  </si>
  <si>
    <t>29/09/2018</t>
  </si>
  <si>
    <t>Fort Collins</t>
  </si>
  <si>
    <t>10001811</t>
  </si>
  <si>
    <t>18/11/2017</t>
  </si>
  <si>
    <t>23/11/2017</t>
  </si>
  <si>
    <t>Arthur Wiediger</t>
  </si>
  <si>
    <t>10930</t>
  </si>
  <si>
    <t>Oklahoma City</t>
  </si>
  <si>
    <t>10003470</t>
  </si>
  <si>
    <t>07/03/2015</t>
  </si>
  <si>
    <t>Ashley Jarboe</t>
  </si>
  <si>
    <t>10945</t>
  </si>
  <si>
    <t>Wilmington</t>
  </si>
  <si>
    <t>10003560</t>
  </si>
  <si>
    <t>04/01/2016</t>
  </si>
  <si>
    <t>Astrea Jones</t>
  </si>
  <si>
    <t>10960</t>
  </si>
  <si>
    <t>10004136</t>
  </si>
  <si>
    <t>19/10/2018</t>
  </si>
  <si>
    <t>10001770</t>
  </si>
  <si>
    <t>14/09/2015</t>
  </si>
  <si>
    <t>19/09/2015</t>
  </si>
  <si>
    <t>Rochester</t>
  </si>
  <si>
    <t>10001809</t>
  </si>
  <si>
    <t>30/09/2018</t>
  </si>
  <si>
    <t>02/10/2018</t>
  </si>
  <si>
    <t>Barbara Fisher</t>
  </si>
  <si>
    <t>10975</t>
  </si>
  <si>
    <t>10004677</t>
  </si>
  <si>
    <t>05/07/2016</t>
  </si>
  <si>
    <t>10/07/2016</t>
  </si>
  <si>
    <t>Fayetteville</t>
  </si>
  <si>
    <t>10003829</t>
  </si>
  <si>
    <t>01/04/2017</t>
  </si>
  <si>
    <t>08/04/2017</t>
  </si>
  <si>
    <t>Barry Blumstein</t>
  </si>
  <si>
    <t>10990</t>
  </si>
  <si>
    <t>Sierra Vista</t>
  </si>
  <si>
    <t>10003112</t>
  </si>
  <si>
    <t>01/06/2018</t>
  </si>
  <si>
    <t>Toledo</t>
  </si>
  <si>
    <t>10002287</t>
  </si>
  <si>
    <t>16/09/2018</t>
  </si>
  <si>
    <t>Inglewood</t>
  </si>
  <si>
    <t>10002615</t>
  </si>
  <si>
    <t>05/05/2017</t>
  </si>
  <si>
    <t>09/05/2017</t>
  </si>
  <si>
    <t>Barry Franz</t>
  </si>
  <si>
    <t>11005</t>
  </si>
  <si>
    <t>10001505</t>
  </si>
  <si>
    <t>02/08/2017</t>
  </si>
  <si>
    <t>04/08/2017</t>
  </si>
  <si>
    <t>Barry Französisch</t>
  </si>
  <si>
    <t>11020</t>
  </si>
  <si>
    <t>10001691</t>
  </si>
  <si>
    <t>10004552</t>
  </si>
  <si>
    <t>18/09/2018</t>
  </si>
  <si>
    <t>22/09/2018</t>
  </si>
  <si>
    <t>Green Bay</t>
  </si>
  <si>
    <t>10002377</t>
  </si>
  <si>
    <t>12/09/2018</t>
  </si>
  <si>
    <t>15/09/2018</t>
  </si>
  <si>
    <t>Bart Folk</t>
  </si>
  <si>
    <t>11080</t>
  </si>
  <si>
    <t>Baltimore</t>
  </si>
  <si>
    <t>Maryland</t>
  </si>
  <si>
    <t>10004082</t>
  </si>
  <si>
    <t>10000007</t>
  </si>
  <si>
    <t>19/12/2015</t>
  </si>
  <si>
    <t>21/12/2015</t>
  </si>
  <si>
    <t>Bart Pistole</t>
  </si>
  <si>
    <t>11095</t>
  </si>
  <si>
    <t>10001934</t>
  </si>
  <si>
    <t>07/06/2015</t>
  </si>
  <si>
    <t>10/06/2015</t>
  </si>
  <si>
    <t>10003982</t>
  </si>
  <si>
    <t>20/03/2016</t>
  </si>
  <si>
    <t>23/03/2016</t>
  </si>
  <si>
    <t>Bart Watters</t>
  </si>
  <si>
    <t>11110</t>
  </si>
  <si>
    <t>10000061</t>
  </si>
  <si>
    <t>08/10/2017</t>
  </si>
  <si>
    <t>14/10/2017</t>
  </si>
  <si>
    <t>10004909</t>
  </si>
  <si>
    <t>27/05/2018</t>
  </si>
  <si>
    <t>03/06/2018</t>
  </si>
  <si>
    <t>Greensboro</t>
  </si>
  <si>
    <t>10002380</t>
  </si>
  <si>
    <t>11/06/2018</t>
  </si>
  <si>
    <t>12/06/2018</t>
  </si>
  <si>
    <t>Becky Castell</t>
  </si>
  <si>
    <t>11125</t>
  </si>
  <si>
    <t>10001394</t>
  </si>
  <si>
    <t>08/09/2015</t>
  </si>
  <si>
    <t>12/09/2015</t>
  </si>
  <si>
    <t>Becky Martin</t>
  </si>
  <si>
    <t>11140</t>
  </si>
  <si>
    <t>San Antonio</t>
  </si>
  <si>
    <t>10004441</t>
  </si>
  <si>
    <t>26/02/2018</t>
  </si>
  <si>
    <t>02/03/2018</t>
  </si>
  <si>
    <t>Santa Barbara</t>
  </si>
  <si>
    <t>10003287</t>
  </si>
  <si>
    <t>Becky Pak</t>
  </si>
  <si>
    <t>11155</t>
  </si>
  <si>
    <t>10004438</t>
  </si>
  <si>
    <t>04/06/2016</t>
  </si>
  <si>
    <t>09/06/2016</t>
  </si>
  <si>
    <t>10001874</t>
  </si>
  <si>
    <t>10/07/2018</t>
  </si>
  <si>
    <t>14/07/2018</t>
  </si>
  <si>
    <t>10000771</t>
  </si>
  <si>
    <t>31/12/2017</t>
  </si>
  <si>
    <t>06/01/2018</t>
  </si>
  <si>
    <t>10004233</t>
  </si>
  <si>
    <t>13/04/2015</t>
  </si>
  <si>
    <t>18/04/2015</t>
  </si>
  <si>
    <t>Ben Ferrer</t>
  </si>
  <si>
    <t>11170</t>
  </si>
  <si>
    <t>10002368</t>
  </si>
  <si>
    <t>30/04/2017</t>
  </si>
  <si>
    <t>10004973</t>
  </si>
  <si>
    <t>24/12/2015</t>
  </si>
  <si>
    <t>10000213</t>
  </si>
  <si>
    <t>Ben Peterman</t>
  </si>
  <si>
    <t>11185</t>
  </si>
  <si>
    <t>Arvada</t>
  </si>
  <si>
    <t>10001918</t>
  </si>
  <si>
    <t>10001097</t>
  </si>
  <si>
    <t>30/09/2015</t>
  </si>
  <si>
    <t>05/10/2015</t>
  </si>
  <si>
    <t>Ben Wallace</t>
  </si>
  <si>
    <t>11200</t>
  </si>
  <si>
    <t>10004888</t>
  </si>
  <si>
    <t>10/06/2018</t>
  </si>
  <si>
    <t>13/06/2018</t>
  </si>
  <si>
    <t>10002375</t>
  </si>
  <si>
    <t>13/03/2018</t>
  </si>
  <si>
    <t>18/03/2018</t>
  </si>
  <si>
    <t>Benjamin Farhat</t>
  </si>
  <si>
    <t>11215</t>
  </si>
  <si>
    <t>Albuquerque</t>
  </si>
  <si>
    <t>10000615</t>
  </si>
  <si>
    <t>25/11/2018</t>
  </si>
  <si>
    <t>Benjamin Patterson</t>
  </si>
  <si>
    <t>11230</t>
  </si>
  <si>
    <t>Spokane</t>
  </si>
  <si>
    <t>10004767</t>
  </si>
  <si>
    <t>26/03/2016</t>
  </si>
  <si>
    <t>31/03/2016</t>
  </si>
  <si>
    <t>Benjamin Venier</t>
  </si>
  <si>
    <t>11245</t>
  </si>
  <si>
    <t>10001125</t>
  </si>
  <si>
    <t>30/01/2018</t>
  </si>
  <si>
    <t>05/02/2018</t>
  </si>
  <si>
    <t>Des Moines</t>
  </si>
  <si>
    <t>Iowa</t>
  </si>
  <si>
    <t>10001036</t>
  </si>
  <si>
    <t>14/10/2018</t>
  </si>
  <si>
    <t>Berenike Kampe</t>
  </si>
  <si>
    <t>11260</t>
  </si>
  <si>
    <t>10003614</t>
  </si>
  <si>
    <t>19/03/2016</t>
  </si>
  <si>
    <t>San Bernardino</t>
  </si>
  <si>
    <t>10000088</t>
  </si>
  <si>
    <t>03/08/2015</t>
  </si>
  <si>
    <t>08/08/2015</t>
  </si>
  <si>
    <t>10001019</t>
  </si>
  <si>
    <t>Beth Fritzler</t>
  </si>
  <si>
    <t>11275</t>
  </si>
  <si>
    <t>10003278</t>
  </si>
  <si>
    <t>22/03/2015</t>
  </si>
  <si>
    <t>26/03/2015</t>
  </si>
  <si>
    <t>10002581</t>
  </si>
  <si>
    <t>31/05/2017</t>
  </si>
  <si>
    <t>04/06/2017</t>
  </si>
  <si>
    <t>Beth Paige</t>
  </si>
  <si>
    <t>11290</t>
  </si>
  <si>
    <t>10001379</t>
  </si>
  <si>
    <t>Evanston</t>
  </si>
  <si>
    <t>10002880</t>
  </si>
  <si>
    <t>12/04/2017</t>
  </si>
  <si>
    <t>16/04/2017</t>
  </si>
  <si>
    <t>10001545</t>
  </si>
  <si>
    <t>06/09/2016</t>
  </si>
  <si>
    <t>12/09/2016</t>
  </si>
  <si>
    <t>Beth Thompson</t>
  </si>
  <si>
    <t>11305</t>
  </si>
  <si>
    <t>10002160</t>
  </si>
  <si>
    <t>28/01/2018</t>
  </si>
  <si>
    <t>31/01/2018</t>
  </si>
  <si>
    <t>Costa Mesa</t>
  </si>
  <si>
    <t>10000580</t>
  </si>
  <si>
    <t>12/04/2018</t>
  </si>
  <si>
    <t>Bill Donatelli</t>
  </si>
  <si>
    <t>11320</t>
  </si>
  <si>
    <t>Providence</t>
  </si>
  <si>
    <t>Rhode Island</t>
  </si>
  <si>
    <t>10004364</t>
  </si>
  <si>
    <t>24/06/2017</t>
  </si>
  <si>
    <t>10004833</t>
  </si>
  <si>
    <t>15/04/2017</t>
  </si>
  <si>
    <t>17/04/2017</t>
  </si>
  <si>
    <t>10002024</t>
  </si>
  <si>
    <t>10004659</t>
  </si>
  <si>
    <t>31/05/2016</t>
  </si>
  <si>
    <t>10002320</t>
  </si>
  <si>
    <t>23/03/2018</t>
  </si>
  <si>
    <t>25/03/2018</t>
  </si>
  <si>
    <t>Bill Eplett</t>
  </si>
  <si>
    <t>11335</t>
  </si>
  <si>
    <t>10000758</t>
  </si>
  <si>
    <t>02/09/2018</t>
  </si>
  <si>
    <t>Jackson</t>
  </si>
  <si>
    <t>Michigan</t>
  </si>
  <si>
    <t>10001494</t>
  </si>
  <si>
    <t>15/08/2018</t>
  </si>
  <si>
    <t>19/08/2018</t>
  </si>
  <si>
    <t>Bill Overfelt</t>
  </si>
  <si>
    <t>11350</t>
  </si>
  <si>
    <t>Roseville</t>
  </si>
  <si>
    <t>10000305</t>
  </si>
  <si>
    <t>19/08/2015</t>
  </si>
  <si>
    <t>Bill Shonely</t>
  </si>
  <si>
    <t>11365</t>
  </si>
  <si>
    <t>10000991</t>
  </si>
  <si>
    <t>20/04/2017</t>
  </si>
  <si>
    <t>Lakewood</t>
  </si>
  <si>
    <t>New Jersey</t>
  </si>
  <si>
    <t>10001047</t>
  </si>
  <si>
    <t>03/12/2016</t>
  </si>
  <si>
    <t>07/12/2016</t>
  </si>
  <si>
    <t>Bill Stewart</t>
  </si>
  <si>
    <t>11380</t>
  </si>
  <si>
    <t>10003718</t>
  </si>
  <si>
    <t>04/12/2016</t>
  </si>
  <si>
    <t>Bill Tyler</t>
  </si>
  <si>
    <t>11395</t>
  </si>
  <si>
    <t>Detroit</t>
  </si>
  <si>
    <t>10000349</t>
  </si>
  <si>
    <t>09/02/2017</t>
  </si>
  <si>
    <t>Bobby Elias</t>
  </si>
  <si>
    <t>11410</t>
  </si>
  <si>
    <t>Lancaster</t>
  </si>
  <si>
    <t>10003465</t>
  </si>
  <si>
    <t>26/09/2018</t>
  </si>
  <si>
    <t>10003395</t>
  </si>
  <si>
    <t>10002437</t>
  </si>
  <si>
    <t>18/06/2017</t>
  </si>
  <si>
    <t>21/06/2017</t>
  </si>
  <si>
    <t>Bobby Trafton</t>
  </si>
  <si>
    <t>11440</t>
  </si>
  <si>
    <t>Frankfort</t>
  </si>
  <si>
    <t>10003134</t>
  </si>
  <si>
    <t>19/03/2017</t>
  </si>
  <si>
    <t>21/03/2017</t>
  </si>
  <si>
    <t>Littleton</t>
  </si>
  <si>
    <t>10002202</t>
  </si>
  <si>
    <t>Brad Norvell</t>
  </si>
  <si>
    <t>11470</t>
  </si>
  <si>
    <t>Cary</t>
  </si>
  <si>
    <t>10001800</t>
  </si>
  <si>
    <t>06/12/2018</t>
  </si>
  <si>
    <t>10003221</t>
  </si>
  <si>
    <t>Brad Thomas</t>
  </si>
  <si>
    <t>11485</t>
  </si>
  <si>
    <t>Clinton</t>
  </si>
  <si>
    <t>10000605</t>
  </si>
  <si>
    <t>01/02/2015</t>
  </si>
  <si>
    <t>03/02/2015</t>
  </si>
  <si>
    <t>Bradley Drucker</t>
  </si>
  <si>
    <t>11500</t>
  </si>
  <si>
    <t>10001432</t>
  </si>
  <si>
    <t>29/11/2018</t>
  </si>
  <si>
    <t>10002213</t>
  </si>
  <si>
    <t>25/12/2018</t>
  </si>
  <si>
    <t>Bradley Nguyen</t>
  </si>
  <si>
    <t>11515</t>
  </si>
  <si>
    <t>10003811</t>
  </si>
  <si>
    <t>05/09/2018</t>
  </si>
  <si>
    <t>10004960</t>
  </si>
  <si>
    <t>22/12/2015</t>
  </si>
  <si>
    <t>Bradley Talbott</t>
  </si>
  <si>
    <t>11530</t>
  </si>
  <si>
    <t>10004946</t>
  </si>
  <si>
    <t>19/09/2018</t>
  </si>
  <si>
    <t>Brenda Bowman</t>
  </si>
  <si>
    <t>11545</t>
  </si>
  <si>
    <t>10002230</t>
  </si>
  <si>
    <t>11/11/2017</t>
  </si>
  <si>
    <t>17/11/2017</t>
  </si>
  <si>
    <t>10003280</t>
  </si>
  <si>
    <t>26/12/2017</t>
  </si>
  <si>
    <t>Vineland</t>
  </si>
  <si>
    <t>10003968</t>
  </si>
  <si>
    <t>05/06/2016</t>
  </si>
  <si>
    <t>Saint Charles</t>
  </si>
  <si>
    <t>10000528</t>
  </si>
  <si>
    <t>Brendan Murry</t>
  </si>
  <si>
    <t>11575</t>
  </si>
  <si>
    <t>Montebello</t>
  </si>
  <si>
    <t>10004803</t>
  </si>
  <si>
    <t>05/12/2015</t>
  </si>
  <si>
    <t>10/12/2015</t>
  </si>
  <si>
    <t>Brendan Sweed</t>
  </si>
  <si>
    <t>11590</t>
  </si>
  <si>
    <t>Gilbert</t>
  </si>
  <si>
    <t>26/12/2016</t>
  </si>
  <si>
    <t>02/01/2017</t>
  </si>
  <si>
    <t>Brian Dahlen</t>
  </si>
  <si>
    <t>11605</t>
  </si>
  <si>
    <t>Lawrence</t>
  </si>
  <si>
    <t>10002815</t>
  </si>
  <si>
    <t>10002857</t>
  </si>
  <si>
    <t>10004086</t>
  </si>
  <si>
    <t>05/01/2018</t>
  </si>
  <si>
    <t>Brian DeCherney</t>
  </si>
  <si>
    <t>11620</t>
  </si>
  <si>
    <t>Anaheim</t>
  </si>
  <si>
    <t>10002563</t>
  </si>
  <si>
    <t>22/10/2018</t>
  </si>
  <si>
    <t>Lawton</t>
  </si>
  <si>
    <t>10000129</t>
  </si>
  <si>
    <t>13/05/2018</t>
  </si>
  <si>
    <t>17/05/2018</t>
  </si>
  <si>
    <t>Brian Moss</t>
  </si>
  <si>
    <t>11650</t>
  </si>
  <si>
    <t>10003296</t>
  </si>
  <si>
    <t>23/09/2015</t>
  </si>
  <si>
    <t>28/09/2015</t>
  </si>
  <si>
    <t>10002916</t>
  </si>
  <si>
    <t>20/11/2016</t>
  </si>
  <si>
    <t>25/11/2016</t>
  </si>
  <si>
    <t>10004648</t>
  </si>
  <si>
    <t>09/11/2018</t>
  </si>
  <si>
    <t>12/11/2018</t>
  </si>
  <si>
    <t>Columbia</t>
  </si>
  <si>
    <t>10004728</t>
  </si>
  <si>
    <t>17/11/2016</t>
  </si>
  <si>
    <t>21/11/2016</t>
  </si>
  <si>
    <t>Brian Stugart</t>
  </si>
  <si>
    <t>11665</t>
  </si>
  <si>
    <t>10003174</t>
  </si>
  <si>
    <t>20/11/2018</t>
  </si>
  <si>
    <t>Brian Thompson</t>
  </si>
  <si>
    <t>11680</t>
  </si>
  <si>
    <t>Newark</t>
  </si>
  <si>
    <t>10001861</t>
  </si>
  <si>
    <t>10/04/2017</t>
  </si>
  <si>
    <t>10004980</t>
  </si>
  <si>
    <t>28/11/2015</t>
  </si>
  <si>
    <t>02/12/2015</t>
  </si>
  <si>
    <t>10004679</t>
  </si>
  <si>
    <t>30/05/2017</t>
  </si>
  <si>
    <t>01/06/2017</t>
  </si>
  <si>
    <t>Brooke Gillingham</t>
  </si>
  <si>
    <t>11695</t>
  </si>
  <si>
    <t>10001046</t>
  </si>
  <si>
    <t>23/11/2016</t>
  </si>
  <si>
    <t>Brosina Hoffman</t>
  </si>
  <si>
    <t>11710</t>
  </si>
  <si>
    <t>Hialeah</t>
  </si>
  <si>
    <t>10000423</t>
  </si>
  <si>
    <t>09/06/2015</t>
  </si>
  <si>
    <t>14/06/2015</t>
  </si>
  <si>
    <t>10001487</t>
  </si>
  <si>
    <t>03/07/2016</t>
  </si>
  <si>
    <t>09/07/2016</t>
  </si>
  <si>
    <t>Bruce Degenhardt</t>
  </si>
  <si>
    <t>11725</t>
  </si>
  <si>
    <t>Richmond</t>
  </si>
  <si>
    <t>10003956</t>
  </si>
  <si>
    <t>18/05/2015</t>
  </si>
  <si>
    <t>24/05/2015</t>
  </si>
  <si>
    <t>Bruce Stewart</t>
  </si>
  <si>
    <t>11755</t>
  </si>
  <si>
    <t>10002885</t>
  </si>
  <si>
    <t>02/01/2019</t>
  </si>
  <si>
    <t>Edmonds</t>
  </si>
  <si>
    <t>10000089</t>
  </si>
  <si>
    <t>05/08/2015</t>
  </si>
  <si>
    <t>10004289</t>
  </si>
  <si>
    <t>Bryan Davis</t>
  </si>
  <si>
    <t>11770</t>
  </si>
  <si>
    <t>10003447</t>
  </si>
  <si>
    <t>02/05/2017</t>
  </si>
  <si>
    <t>07/05/2017</t>
  </si>
  <si>
    <t>10004022</t>
  </si>
  <si>
    <t>03/10/2016</t>
  </si>
  <si>
    <t>06/10/2016</t>
  </si>
  <si>
    <t>Bryan Mills</t>
  </si>
  <si>
    <t>11785</t>
  </si>
  <si>
    <t>10001098</t>
  </si>
  <si>
    <t>14/07/2017</t>
  </si>
  <si>
    <t>10003437</t>
  </si>
  <si>
    <t>18/04/2017</t>
  </si>
  <si>
    <t>10003567</t>
  </si>
  <si>
    <t>06/06/2015</t>
  </si>
  <si>
    <t>10002656</t>
  </si>
  <si>
    <t>26/09/2016</t>
  </si>
  <si>
    <t>Bryan Spruell</t>
  </si>
  <si>
    <t>11800</t>
  </si>
  <si>
    <t>10002370</t>
  </si>
  <si>
    <t>09/04/2018</t>
  </si>
  <si>
    <t>11/04/2018</t>
  </si>
  <si>
    <t>10004055</t>
  </si>
  <si>
    <t>14/11/2015</t>
  </si>
  <si>
    <t>15/11/2015</t>
  </si>
  <si>
    <t>Candace McMahon</t>
  </si>
  <si>
    <t>11815</t>
  </si>
  <si>
    <t>Pasadena</t>
  </si>
  <si>
    <t>10004609</t>
  </si>
  <si>
    <t>23/09/2017</t>
  </si>
  <si>
    <t>26/09/2017</t>
  </si>
  <si>
    <t>10004737</t>
  </si>
  <si>
    <t>10/03/2018</t>
  </si>
  <si>
    <t>15/03/2018</t>
  </si>
  <si>
    <t>10004568</t>
  </si>
  <si>
    <t>31/12/2015</t>
  </si>
  <si>
    <t>05/01/2016</t>
  </si>
  <si>
    <t>El Paso</t>
  </si>
  <si>
    <t>10004773</t>
  </si>
  <si>
    <t>11/02/2018</t>
  </si>
  <si>
    <t>13/02/2018</t>
  </si>
  <si>
    <t>Cari Sayre</t>
  </si>
  <si>
    <t>11845</t>
  </si>
  <si>
    <t>10004495</t>
  </si>
  <si>
    <t>Cari Schnelling</t>
  </si>
  <si>
    <t>11860</t>
  </si>
  <si>
    <t>10004733</t>
  </si>
  <si>
    <t>Carl Ludwig</t>
  </si>
  <si>
    <t>11890</t>
  </si>
  <si>
    <t>10000380</t>
  </si>
  <si>
    <t>Everett</t>
  </si>
  <si>
    <t>10000439</t>
  </si>
  <si>
    <t>13/06/2015</t>
  </si>
  <si>
    <t>Carl Weiss</t>
  </si>
  <si>
    <t>11905</t>
  </si>
  <si>
    <t>Huntsville</t>
  </si>
  <si>
    <t>10000376</t>
  </si>
  <si>
    <t>23/01/2016</t>
  </si>
  <si>
    <t>27/01/2016</t>
  </si>
  <si>
    <t>Bozeman</t>
  </si>
  <si>
    <t>10002893</t>
  </si>
  <si>
    <t>Cranston</t>
  </si>
  <si>
    <t>10000036</t>
  </si>
  <si>
    <t>24/03/2015</t>
  </si>
  <si>
    <t>28/03/2015</t>
  </si>
  <si>
    <t>Carlos Daly</t>
  </si>
  <si>
    <t>11920</t>
  </si>
  <si>
    <t>10004948</t>
  </si>
  <si>
    <t>29/12/2017</t>
  </si>
  <si>
    <t>Wichita</t>
  </si>
  <si>
    <t>Kansas</t>
  </si>
  <si>
    <t>10000672</t>
  </si>
  <si>
    <t>27/11/2016</t>
  </si>
  <si>
    <t>Lake Elsinore</t>
  </si>
  <si>
    <t>10002647</t>
  </si>
  <si>
    <t>Carlos Meador</t>
  </si>
  <si>
    <t>11935</t>
  </si>
  <si>
    <t>10002107</t>
  </si>
  <si>
    <t>08/06/2015</t>
  </si>
  <si>
    <t>Carlos Soltero</t>
  </si>
  <si>
    <t>11950</t>
  </si>
  <si>
    <t>10002758</t>
  </si>
  <si>
    <t>20/07/2018</t>
  </si>
  <si>
    <t>26/07/2018</t>
  </si>
  <si>
    <t>10002974</t>
  </si>
  <si>
    <t>05/04/2016</t>
  </si>
  <si>
    <t>11/04/2016</t>
  </si>
  <si>
    <t>Carol Adams</t>
  </si>
  <si>
    <t>11965</t>
  </si>
  <si>
    <t>10003973</t>
  </si>
  <si>
    <t>Carol Darley</t>
  </si>
  <si>
    <t>11980</t>
  </si>
  <si>
    <t>Tyler</t>
  </si>
  <si>
    <t>10000804</t>
  </si>
  <si>
    <t>29/11/2017</t>
  </si>
  <si>
    <t>Medford</t>
  </si>
  <si>
    <t>10000241</t>
  </si>
  <si>
    <t>Carol Triggs</t>
  </si>
  <si>
    <t>11995</t>
  </si>
  <si>
    <t>10000632</t>
  </si>
  <si>
    <t>17/09/2016</t>
  </si>
  <si>
    <t>10000025</t>
  </si>
  <si>
    <t>10/03/2017</t>
  </si>
  <si>
    <t>16/03/2017</t>
  </si>
  <si>
    <t>Caroline Jumper</t>
  </si>
  <si>
    <t>12010</t>
  </si>
  <si>
    <t>Long Beach</t>
  </si>
  <si>
    <t>10003272</t>
  </si>
  <si>
    <t>27/07/2017</t>
  </si>
  <si>
    <t>Allentown</t>
  </si>
  <si>
    <t>10002221</t>
  </si>
  <si>
    <t>24/06/2018</t>
  </si>
  <si>
    <t>28/06/2018</t>
  </si>
  <si>
    <t>Huntington Beach</t>
  </si>
  <si>
    <t>10004344</t>
  </si>
  <si>
    <t>03/12/2017</t>
  </si>
  <si>
    <t>10000179</t>
  </si>
  <si>
    <t>11/05/2017</t>
  </si>
  <si>
    <t>10000309</t>
  </si>
  <si>
    <t>01/05/2018</t>
  </si>
  <si>
    <t>06/05/2018</t>
  </si>
  <si>
    <t>10001212</t>
  </si>
  <si>
    <t>21/03/2015</t>
  </si>
  <si>
    <t>Cassandra Brandow</t>
  </si>
  <si>
    <t>12025</t>
  </si>
  <si>
    <t>Hamilton</t>
  </si>
  <si>
    <t>10004685</t>
  </si>
  <si>
    <t>10000260</t>
  </si>
  <si>
    <t>Catherine Glotzbach</t>
  </si>
  <si>
    <t>12040</t>
  </si>
  <si>
    <t>Bristol</t>
  </si>
  <si>
    <t>10000538</t>
  </si>
  <si>
    <t>19/03/2018</t>
  </si>
  <si>
    <t>24/03/2018</t>
  </si>
  <si>
    <t>10003121</t>
  </si>
  <si>
    <t>20/06/2017</t>
  </si>
  <si>
    <t>10001745</t>
  </si>
  <si>
    <t>24/04/2017</t>
  </si>
  <si>
    <t>27/04/2017</t>
  </si>
  <si>
    <t>Cathy Armstrong</t>
  </si>
  <si>
    <t>12055</t>
  </si>
  <si>
    <t>08/08/2017</t>
  </si>
  <si>
    <t>15/08/2017</t>
  </si>
  <si>
    <t>10001932</t>
  </si>
  <si>
    <t>01/11/2016</t>
  </si>
  <si>
    <t>Cathy Hwang</t>
  </si>
  <si>
    <t>12070</t>
  </si>
  <si>
    <t>10003309</t>
  </si>
  <si>
    <t>08/02/2017</t>
  </si>
  <si>
    <t>11/02/2017</t>
  </si>
  <si>
    <t>Raleigh</t>
  </si>
  <si>
    <t>10002624</t>
  </si>
  <si>
    <t>09/10/2018</t>
  </si>
  <si>
    <t>11/10/2018</t>
  </si>
  <si>
    <t>Cathy Prescott</t>
  </si>
  <si>
    <t>12085</t>
  </si>
  <si>
    <t>10003577</t>
  </si>
  <si>
    <t>04/12/2015</t>
  </si>
  <si>
    <t>08/12/2015</t>
  </si>
  <si>
    <t>13/01/2018</t>
  </si>
  <si>
    <t>18/01/2018</t>
  </si>
  <si>
    <t>10004983</t>
  </si>
  <si>
    <t>07/07/2017</t>
  </si>
  <si>
    <t>13/07/2017</t>
  </si>
  <si>
    <t>Chad Cunningham</t>
  </si>
  <si>
    <t>12100</t>
  </si>
  <si>
    <t>10002945</t>
  </si>
  <si>
    <t>29/09/2017</t>
  </si>
  <si>
    <t>30/09/2017</t>
  </si>
  <si>
    <t>10000255</t>
  </si>
  <si>
    <t>31/03/2018</t>
  </si>
  <si>
    <t>02/04/2018</t>
  </si>
  <si>
    <t>Chad McGuire</t>
  </si>
  <si>
    <t>12115</t>
  </si>
  <si>
    <t>10004018</t>
  </si>
  <si>
    <t>28/08/2017</t>
  </si>
  <si>
    <t>02/09/2017</t>
  </si>
  <si>
    <t>Chad Sievert</t>
  </si>
  <si>
    <t>12130</t>
  </si>
  <si>
    <t>Englewood</t>
  </si>
  <si>
    <t>10002246</t>
  </si>
  <si>
    <t>10000659</t>
  </si>
  <si>
    <t>21/09/2016</t>
  </si>
  <si>
    <t>27/09/2016</t>
  </si>
  <si>
    <t>10003123</t>
  </si>
  <si>
    <t>14/09/2016</t>
  </si>
  <si>
    <t>Charles Crestani</t>
  </si>
  <si>
    <t>12145</t>
  </si>
  <si>
    <t>10004498</t>
  </si>
  <si>
    <t>10002987</t>
  </si>
  <si>
    <t>07/09/2016</t>
  </si>
  <si>
    <t>11/09/2016</t>
  </si>
  <si>
    <t>10000553</t>
  </si>
  <si>
    <t>30/01/2016</t>
  </si>
  <si>
    <t>06/02/2016</t>
  </si>
  <si>
    <t>10001876</t>
  </si>
  <si>
    <t>28/09/2018</t>
  </si>
  <si>
    <t>Charles McCrossin</t>
  </si>
  <si>
    <t>12160</t>
  </si>
  <si>
    <t>Brownsville</t>
  </si>
  <si>
    <t>22/04/2017</t>
  </si>
  <si>
    <t>Charles Sheldon</t>
  </si>
  <si>
    <t>12175</t>
  </si>
  <si>
    <t>10003798</t>
  </si>
  <si>
    <t>01/10/2017</t>
  </si>
  <si>
    <t>Iowa City</t>
  </si>
  <si>
    <t>03/08/2018</t>
  </si>
  <si>
    <t>04/08/2018</t>
  </si>
  <si>
    <t>Charlotte Melton</t>
  </si>
  <si>
    <t>12190</t>
  </si>
  <si>
    <t>10003034</t>
  </si>
  <si>
    <t>16/11/2018</t>
  </si>
  <si>
    <t>Utica</t>
  </si>
  <si>
    <t>10002583</t>
  </si>
  <si>
    <t>10004000</t>
  </si>
  <si>
    <t>21/11/2017</t>
  </si>
  <si>
    <t>26/11/2017</t>
  </si>
  <si>
    <t>Chloris Kastensmidt</t>
  </si>
  <si>
    <t>12205</t>
  </si>
  <si>
    <t>10000752</t>
  </si>
  <si>
    <t>21/07/2017</t>
  </si>
  <si>
    <t>10001425</t>
  </si>
  <si>
    <t>11/03/2015</t>
  </si>
  <si>
    <t>16/03/2015</t>
  </si>
  <si>
    <t>10003981</t>
  </si>
  <si>
    <t>16/06/2015</t>
  </si>
  <si>
    <t>21/06/2015</t>
  </si>
  <si>
    <t>Hempstead</t>
  </si>
  <si>
    <t>10003286</t>
  </si>
  <si>
    <t>26/06/2018</t>
  </si>
  <si>
    <t>03/07/2018</t>
  </si>
  <si>
    <t>Chris Cortes</t>
  </si>
  <si>
    <t>12220</t>
  </si>
  <si>
    <t>10001760</t>
  </si>
  <si>
    <t>10001363</t>
  </si>
  <si>
    <t>07/05/2016</t>
  </si>
  <si>
    <t>Owensboro</t>
  </si>
  <si>
    <t>10001952</t>
  </si>
  <si>
    <t>08/07/2017</t>
  </si>
  <si>
    <t>Fairfield</t>
  </si>
  <si>
    <t>10004030</t>
  </si>
  <si>
    <t>01/05/2017</t>
  </si>
  <si>
    <t>04/05/2017</t>
  </si>
  <si>
    <t>Chris McAfee</t>
  </si>
  <si>
    <t>12235</t>
  </si>
  <si>
    <t>Little Rock</t>
  </si>
  <si>
    <t>Arkansas</t>
  </si>
  <si>
    <t>10001497</t>
  </si>
  <si>
    <t>03/11/2016</t>
  </si>
  <si>
    <t>Chris Selesnick</t>
  </si>
  <si>
    <t>12250</t>
  </si>
  <si>
    <t>Haltom City</t>
  </si>
  <si>
    <t>10001137</t>
  </si>
  <si>
    <t>28/06/2017</t>
  </si>
  <si>
    <t>10002764</t>
  </si>
  <si>
    <t>19/09/2016</t>
  </si>
  <si>
    <t>Christina Anderson</t>
  </si>
  <si>
    <t>12265</t>
  </si>
  <si>
    <t>10003008</t>
  </si>
  <si>
    <t>04/11/2018</t>
  </si>
  <si>
    <t>08/11/2018</t>
  </si>
  <si>
    <t>Chattanooga</t>
  </si>
  <si>
    <t>10000303</t>
  </si>
  <si>
    <t>10003063</t>
  </si>
  <si>
    <t>10002103</t>
  </si>
  <si>
    <t>26/03/2018</t>
  </si>
  <si>
    <t>Christina VanderZanden</t>
  </si>
  <si>
    <t>12295</t>
  </si>
  <si>
    <t>Fresno</t>
  </si>
  <si>
    <t>10002403</t>
  </si>
  <si>
    <t>13/12/2018</t>
  </si>
  <si>
    <t>Christine Abelman</t>
  </si>
  <si>
    <t>12310</t>
  </si>
  <si>
    <t>10004180</t>
  </si>
  <si>
    <t>02/06/2015</t>
  </si>
  <si>
    <t>Christine Kargatis</t>
  </si>
  <si>
    <t>12325</t>
  </si>
  <si>
    <t>Orem</t>
  </si>
  <si>
    <t>10001658</t>
  </si>
  <si>
    <t>21/05/2017</t>
  </si>
  <si>
    <t>Christine Phan</t>
  </si>
  <si>
    <t>12340</t>
  </si>
  <si>
    <t>Warwick</t>
  </si>
  <si>
    <t>10000565</t>
  </si>
  <si>
    <t>17/03/2015</t>
  </si>
  <si>
    <t>10003473</t>
  </si>
  <si>
    <t>18/10/2017</t>
  </si>
  <si>
    <t>10000865</t>
  </si>
  <si>
    <t>17/11/2018</t>
  </si>
  <si>
    <t>Christine Sundaresam</t>
  </si>
  <si>
    <t>12355</t>
  </si>
  <si>
    <t>10004036</t>
  </si>
  <si>
    <t>28/12/2018</t>
  </si>
  <si>
    <t>15/08/2015</t>
  </si>
  <si>
    <t>17/08/2015</t>
  </si>
  <si>
    <t>Hollywood</t>
  </si>
  <si>
    <t>10000312</t>
  </si>
  <si>
    <t>16/03/2016</t>
  </si>
  <si>
    <t>22/03/2016</t>
  </si>
  <si>
    <t>Christopher Martinez</t>
  </si>
  <si>
    <t>12385</t>
  </si>
  <si>
    <t>10001662</t>
  </si>
  <si>
    <t>Christopher Schild</t>
  </si>
  <si>
    <t>12400</t>
  </si>
  <si>
    <t>Fargo</t>
  </si>
  <si>
    <t>North Dakota</t>
  </si>
  <si>
    <t>10004707</t>
  </si>
  <si>
    <t>13/11/2018</t>
  </si>
  <si>
    <t>10003656</t>
  </si>
  <si>
    <t>San Jose</t>
  </si>
  <si>
    <t>10003963</t>
  </si>
  <si>
    <t>26/09/2015</t>
  </si>
  <si>
    <t>07/04/2018</t>
  </si>
  <si>
    <t>10001705</t>
  </si>
  <si>
    <t>25/07/2017</t>
  </si>
  <si>
    <t>Christy Brittain</t>
  </si>
  <si>
    <t>12415</t>
  </si>
  <si>
    <t>10001449</t>
  </si>
  <si>
    <t>13/11/2017</t>
  </si>
  <si>
    <t>Chuck Clark</t>
  </si>
  <si>
    <t>12430</t>
  </si>
  <si>
    <t>10001289</t>
  </si>
  <si>
    <t>10/11/2018</t>
  </si>
  <si>
    <t>10001216</t>
  </si>
  <si>
    <t>30/12/2018</t>
  </si>
  <si>
    <t>05/01/2019</t>
  </si>
  <si>
    <t>10002457</t>
  </si>
  <si>
    <t>17/01/2017</t>
  </si>
  <si>
    <t>21/01/2017</t>
  </si>
  <si>
    <t>10004017</t>
  </si>
  <si>
    <t>12/11/2017</t>
  </si>
  <si>
    <t>10004970</t>
  </si>
  <si>
    <t>Chuck Magee</t>
  </si>
  <si>
    <t>12445</t>
  </si>
  <si>
    <t>10001225</t>
  </si>
  <si>
    <t>Chuck Sachs</t>
  </si>
  <si>
    <t>12460</t>
  </si>
  <si>
    <t>10002554</t>
  </si>
  <si>
    <t>07/10/2017</t>
  </si>
  <si>
    <t>12/10/2017</t>
  </si>
  <si>
    <t>Cindy Chapman</t>
  </si>
  <si>
    <t>12475</t>
  </si>
  <si>
    <t>10000143</t>
  </si>
  <si>
    <t>10003176</t>
  </si>
  <si>
    <t>01/11/2017</t>
  </si>
  <si>
    <t>Cindy Schnelling</t>
  </si>
  <si>
    <t>12490</t>
  </si>
  <si>
    <t>Conroe</t>
  </si>
  <si>
    <t>10004950</t>
  </si>
  <si>
    <t>Cindy Stewart</t>
  </si>
  <si>
    <t>12505</t>
  </si>
  <si>
    <t>10004458</t>
  </si>
  <si>
    <t>10003893</t>
  </si>
  <si>
    <t>Claire Gute</t>
  </si>
  <si>
    <t>12520</t>
  </si>
  <si>
    <t>10001798</t>
  </si>
  <si>
    <t>20/06/2018</t>
  </si>
  <si>
    <t>Claudia Bergmann</t>
  </si>
  <si>
    <t>12535</t>
  </si>
  <si>
    <t>Chapel Hill</t>
  </si>
  <si>
    <t>10003602</t>
  </si>
  <si>
    <t>14/05/2016</t>
  </si>
  <si>
    <t>Cuyahoga Falls</t>
  </si>
  <si>
    <t>10001852</t>
  </si>
  <si>
    <t>07/11/2017</t>
  </si>
  <si>
    <t>10002597</t>
  </si>
  <si>
    <t>13/07/2016</t>
  </si>
  <si>
    <t>10001609</t>
  </si>
  <si>
    <t>Delaware</t>
  </si>
  <si>
    <t>03/12/2018</t>
  </si>
  <si>
    <t>Clay Cheatham</t>
  </si>
  <si>
    <t>12550</t>
  </si>
  <si>
    <t>10003729</t>
  </si>
  <si>
    <t>01/12/2018</t>
  </si>
  <si>
    <t>10004735</t>
  </si>
  <si>
    <t>04/03/2015</t>
  </si>
  <si>
    <t>Clay Ludtke</t>
  </si>
  <si>
    <t>12565</t>
  </si>
  <si>
    <t>South Carolina</t>
  </si>
  <si>
    <t>10001370</t>
  </si>
  <si>
    <t>03/11/2017</t>
  </si>
  <si>
    <t>Urbandale</t>
  </si>
  <si>
    <t>08/05/2017</t>
  </si>
  <si>
    <t>10002011</t>
  </si>
  <si>
    <t>17/03/2018</t>
  </si>
  <si>
    <t>21/03/2018</t>
  </si>
  <si>
    <t>10000014</t>
  </si>
  <si>
    <t>Clytie Kelty</t>
  </si>
  <si>
    <t>12595</t>
  </si>
  <si>
    <t>Charlotte</t>
  </si>
  <si>
    <t>10002558</t>
  </si>
  <si>
    <t>14/11/2018</t>
  </si>
  <si>
    <t>Grove City</t>
  </si>
  <si>
    <t>10000011</t>
  </si>
  <si>
    <t>10002189</t>
  </si>
  <si>
    <t>29/08/2015</t>
  </si>
  <si>
    <t>Corey Catlett</t>
  </si>
  <si>
    <t>12610</t>
  </si>
  <si>
    <t>10000455</t>
  </si>
  <si>
    <t>10/10/2017</t>
  </si>
  <si>
    <t>10001567</t>
  </si>
  <si>
    <t>30/07/2016</t>
  </si>
  <si>
    <t>03/08/2016</t>
  </si>
  <si>
    <t>10000943</t>
  </si>
  <si>
    <t>01/06/2015</t>
  </si>
  <si>
    <t>Corey Roper</t>
  </si>
  <si>
    <t>12625</t>
  </si>
  <si>
    <t>10001072</t>
  </si>
  <si>
    <t>29/11/2015</t>
  </si>
  <si>
    <t>06/12/2015</t>
  </si>
  <si>
    <t>Corey-Lock</t>
  </si>
  <si>
    <t>12640</t>
  </si>
  <si>
    <t>10000452</t>
  </si>
  <si>
    <t>01/10/2018</t>
  </si>
  <si>
    <t>Corinna Mitchell</t>
  </si>
  <si>
    <t>12655</t>
  </si>
  <si>
    <t>10002428</t>
  </si>
  <si>
    <t>07/11/2016</t>
  </si>
  <si>
    <t>10003580</t>
  </si>
  <si>
    <t>13/08/2017</t>
  </si>
  <si>
    <t>Mississippi</t>
  </si>
  <si>
    <t>10001883</t>
  </si>
  <si>
    <t>19/11/2017</t>
  </si>
  <si>
    <t>10002114</t>
  </si>
  <si>
    <t>Craig Carreira</t>
  </si>
  <si>
    <t>12670</t>
  </si>
  <si>
    <t>Bloomington</t>
  </si>
  <si>
    <t>10003171</t>
  </si>
  <si>
    <t>27/11/2017</t>
  </si>
  <si>
    <t>10002483</t>
  </si>
  <si>
    <t>10000290</t>
  </si>
  <si>
    <t>10002194</t>
  </si>
  <si>
    <t>23/10/2016</t>
  </si>
  <si>
    <t>28/10/2016</t>
  </si>
  <si>
    <t>Craig Carroll</t>
  </si>
  <si>
    <t>12685</t>
  </si>
  <si>
    <t>Lubbock</t>
  </si>
  <si>
    <t>10000069</t>
  </si>
  <si>
    <t>10/10/2015</t>
  </si>
  <si>
    <t>Craig Molinari</t>
  </si>
  <si>
    <t>12715</t>
  </si>
  <si>
    <t>10001128</t>
  </si>
  <si>
    <t>22/08/2017</t>
  </si>
  <si>
    <t>Craig Reiter</t>
  </si>
  <si>
    <t>12730</t>
  </si>
  <si>
    <t>12/06/2017</t>
  </si>
  <si>
    <t>17/06/2017</t>
  </si>
  <si>
    <t>20/08/2017</t>
  </si>
  <si>
    <t>Craig Yedwab</t>
  </si>
  <si>
    <t>12745</t>
  </si>
  <si>
    <t>Oakland</t>
  </si>
  <si>
    <t>10004896</t>
  </si>
  <si>
    <t>07/02/2015</t>
  </si>
  <si>
    <t>12/02/2015</t>
  </si>
  <si>
    <t>Cyma Kinney</t>
  </si>
  <si>
    <t>12760</t>
  </si>
  <si>
    <t>Linden</t>
  </si>
  <si>
    <t>10000710</t>
  </si>
  <si>
    <t>Aurora</t>
  </si>
  <si>
    <t>10002958</t>
  </si>
  <si>
    <t>18/09/2015</t>
  </si>
  <si>
    <t>Cynthia Arntzen</t>
  </si>
  <si>
    <t>12775</t>
  </si>
  <si>
    <t>10003914</t>
  </si>
  <si>
    <t>28/06/2015</t>
  </si>
  <si>
    <t>02/07/2015</t>
  </si>
  <si>
    <t>10000304</t>
  </si>
  <si>
    <t>26/07/2016</t>
  </si>
  <si>
    <t>28/07/2016</t>
  </si>
  <si>
    <t>10002356</t>
  </si>
  <si>
    <t>17/12/2017</t>
  </si>
  <si>
    <t>Smyrna</t>
  </si>
  <si>
    <t>10003251</t>
  </si>
  <si>
    <t>15/10/2017</t>
  </si>
  <si>
    <t>21/10/2017</t>
  </si>
  <si>
    <t>Cynthia Delaney</t>
  </si>
  <si>
    <t>12790</t>
  </si>
  <si>
    <t>10004559</t>
  </si>
  <si>
    <t>23/09/2016</t>
  </si>
  <si>
    <t>10004997</t>
  </si>
  <si>
    <t>02/02/2015</t>
  </si>
  <si>
    <t>06/02/2015</t>
  </si>
  <si>
    <t>10001843</t>
  </si>
  <si>
    <t>20/01/2018</t>
  </si>
  <si>
    <t>23/01/2018</t>
  </si>
  <si>
    <t>Cynthia Voltz</t>
  </si>
  <si>
    <t>12805</t>
  </si>
  <si>
    <t>10003396</t>
  </si>
  <si>
    <t>18/02/2018</t>
  </si>
  <si>
    <t>21/02/2018</t>
  </si>
  <si>
    <t>10001924</t>
  </si>
  <si>
    <t>01/09/2017</t>
  </si>
  <si>
    <t>04/09/2017</t>
  </si>
  <si>
    <t>10001335</t>
  </si>
  <si>
    <t>17/02/2018</t>
  </si>
  <si>
    <t>19/02/2018</t>
  </si>
  <si>
    <t>Cyra Reiten</t>
  </si>
  <si>
    <t>12820</t>
  </si>
  <si>
    <t>10001601</t>
  </si>
  <si>
    <t>31/10/2016</t>
  </si>
  <si>
    <t>04/11/2016</t>
  </si>
  <si>
    <t>Damala Kotsonis</t>
  </si>
  <si>
    <t>12835</t>
  </si>
  <si>
    <t>Salinas</t>
  </si>
  <si>
    <t>10002949</t>
  </si>
  <si>
    <t>24/04/2018</t>
  </si>
  <si>
    <t>27/04/2018</t>
  </si>
  <si>
    <t>10002495</t>
  </si>
  <si>
    <t>09/12/2017</t>
  </si>
  <si>
    <t>14/12/2017</t>
  </si>
  <si>
    <t>10001676</t>
  </si>
  <si>
    <t>10000847</t>
  </si>
  <si>
    <t>04/06/2018</t>
  </si>
  <si>
    <t>08/06/2018</t>
  </si>
  <si>
    <t>Dan Campbell</t>
  </si>
  <si>
    <t>12850</t>
  </si>
  <si>
    <t>10002870</t>
  </si>
  <si>
    <t>22/06/2018</t>
  </si>
  <si>
    <t>10004483</t>
  </si>
  <si>
    <t>13/09/2015</t>
  </si>
  <si>
    <t>10002833</t>
  </si>
  <si>
    <t>29/06/2015</t>
  </si>
  <si>
    <t>06/07/2015</t>
  </si>
  <si>
    <t>Dan Lawera</t>
  </si>
  <si>
    <t>12865</t>
  </si>
  <si>
    <t>10003405</t>
  </si>
  <si>
    <t>01/03/2017</t>
  </si>
  <si>
    <t>10004336</t>
  </si>
  <si>
    <t>10003883</t>
  </si>
  <si>
    <t>19/01/2018</t>
  </si>
  <si>
    <t>Keller</t>
  </si>
  <si>
    <t>10003714</t>
  </si>
  <si>
    <t>27/12/2018</t>
  </si>
  <si>
    <t>Dan Reichenbach</t>
  </si>
  <si>
    <t>12880</t>
  </si>
  <si>
    <t>10000576</t>
  </si>
  <si>
    <t>28/11/2016</t>
  </si>
  <si>
    <t>10002505</t>
  </si>
  <si>
    <t>10004171</t>
  </si>
  <si>
    <t>29/09/2016</t>
  </si>
  <si>
    <t>Dana Kaydos</t>
  </si>
  <si>
    <t>12895</t>
  </si>
  <si>
    <t>Rockford</t>
  </si>
  <si>
    <t>10004602</t>
  </si>
  <si>
    <t>15/11/2018</t>
  </si>
  <si>
    <t>Miramar</t>
  </si>
  <si>
    <t>10003553</t>
  </si>
  <si>
    <t>05/04/2017</t>
  </si>
  <si>
    <t>Daniel Byrd</t>
  </si>
  <si>
    <t>12910</t>
  </si>
  <si>
    <t>10003274</t>
  </si>
  <si>
    <t>10001591</t>
  </si>
  <si>
    <t>09/09/2015</t>
  </si>
  <si>
    <t>Daniel Lacy</t>
  </si>
  <si>
    <t>12925</t>
  </si>
  <si>
    <t>Greenville</t>
  </si>
  <si>
    <t>10002073</t>
  </si>
  <si>
    <t>12/10/2016</t>
  </si>
  <si>
    <t>Noblesville</t>
  </si>
  <si>
    <t>10002890</t>
  </si>
  <si>
    <t>03/11/2018</t>
  </si>
  <si>
    <t>Eagan</t>
  </si>
  <si>
    <t>10000327</t>
  </si>
  <si>
    <t>22/09/2016</t>
  </si>
  <si>
    <t>Oceanside</t>
  </si>
  <si>
    <t>10004188</t>
  </si>
  <si>
    <t>01/01/2017</t>
  </si>
  <si>
    <t>Daniel Raglin</t>
  </si>
  <si>
    <t>12940</t>
  </si>
  <si>
    <t>10002957</t>
  </si>
  <si>
    <t>02/08/2016</t>
  </si>
  <si>
    <t>06/08/2016</t>
  </si>
  <si>
    <t>Darren Koutras</t>
  </si>
  <si>
    <t>12985</t>
  </si>
  <si>
    <t>10003469</t>
  </si>
  <si>
    <t>10001271</t>
  </si>
  <si>
    <t>09/05/2018</t>
  </si>
  <si>
    <t>10003448</t>
  </si>
  <si>
    <t>24/11/2016</t>
  </si>
  <si>
    <t>Darren Powers</t>
  </si>
  <si>
    <t>13000</t>
  </si>
  <si>
    <t>10000675</t>
  </si>
  <si>
    <t>18/04/2016</t>
  </si>
  <si>
    <t>22/04/2016</t>
  </si>
  <si>
    <t>New Albany</t>
  </si>
  <si>
    <t>10004410</t>
  </si>
  <si>
    <t>14/05/2018</t>
  </si>
  <si>
    <t>18/05/2018</t>
  </si>
  <si>
    <t>10003007</t>
  </si>
  <si>
    <t>Darrin Martin</t>
  </si>
  <si>
    <t>13015</t>
  </si>
  <si>
    <t>10004248</t>
  </si>
  <si>
    <t>10000216</t>
  </si>
  <si>
    <t>21/01/2018</t>
  </si>
  <si>
    <t>25/01/2018</t>
  </si>
  <si>
    <t>Darrin Sayre</t>
  </si>
  <si>
    <t>13030</t>
  </si>
  <si>
    <t>04/04/2018</t>
  </si>
  <si>
    <t>05/04/2018</t>
  </si>
  <si>
    <t>10004006</t>
  </si>
  <si>
    <t>04/12/2018</t>
  </si>
  <si>
    <t>Darrin Van Huff</t>
  </si>
  <si>
    <t>13045</t>
  </si>
  <si>
    <t>10001797</t>
  </si>
  <si>
    <t>16/06/2017</t>
  </si>
  <si>
    <t>06/06/2017</t>
  </si>
  <si>
    <t>07/06/2017</t>
  </si>
  <si>
    <t>Dave Brooks</t>
  </si>
  <si>
    <t>13060</t>
  </si>
  <si>
    <t>10003306</t>
  </si>
  <si>
    <t>10004536</t>
  </si>
  <si>
    <t>25/06/2015</t>
  </si>
  <si>
    <t>10004539</t>
  </si>
  <si>
    <t>28/03/2018</t>
  </si>
  <si>
    <t>Dave Hallsten</t>
  </si>
  <si>
    <t>13075</t>
  </si>
  <si>
    <t>10000232</t>
  </si>
  <si>
    <t>13/06/2016</t>
  </si>
  <si>
    <t>19/06/2016</t>
  </si>
  <si>
    <t>10004269</t>
  </si>
  <si>
    <t>02/03/2016</t>
  </si>
  <si>
    <t>06/03/2016</t>
  </si>
  <si>
    <t>Dave Kipp</t>
  </si>
  <si>
    <t>13090</t>
  </si>
  <si>
    <t>10001768</t>
  </si>
  <si>
    <t>10000923</t>
  </si>
  <si>
    <t>09/10/2016</t>
  </si>
  <si>
    <t>10001321</t>
  </si>
  <si>
    <t>Dave Poirier</t>
  </si>
  <si>
    <t>13105</t>
  </si>
  <si>
    <t>10000057</t>
  </si>
  <si>
    <t>13/04/2018</t>
  </si>
  <si>
    <t>17/04/2018</t>
  </si>
  <si>
    <t>10004076</t>
  </si>
  <si>
    <t>22/08/2016</t>
  </si>
  <si>
    <t>25/08/2016</t>
  </si>
  <si>
    <t>10003694</t>
  </si>
  <si>
    <t>10002335</t>
  </si>
  <si>
    <t>David Bremer</t>
  </si>
  <si>
    <t>13120</t>
  </si>
  <si>
    <t>Santa Clara</t>
  </si>
  <si>
    <t>10002479</t>
  </si>
  <si>
    <t>24/12/2016</t>
  </si>
  <si>
    <t>10000176</t>
  </si>
  <si>
    <t>30/01/2017</t>
  </si>
  <si>
    <t>03/02/2017</t>
  </si>
  <si>
    <t>David Flashing</t>
  </si>
  <si>
    <t>13135</t>
  </si>
  <si>
    <t>10004241</t>
  </si>
  <si>
    <t>04/10/2015</t>
  </si>
  <si>
    <t>Vallejo</t>
  </si>
  <si>
    <t>10004689</t>
  </si>
  <si>
    <t>09/12/2015</t>
  </si>
  <si>
    <t>David Kendrick</t>
  </si>
  <si>
    <t>13150</t>
  </si>
  <si>
    <t>10003455</t>
  </si>
  <si>
    <t>21/08/2016</t>
  </si>
  <si>
    <t>26/08/2016</t>
  </si>
  <si>
    <t>David Smith</t>
  </si>
  <si>
    <t>13180</t>
  </si>
  <si>
    <t>Amarillo</t>
  </si>
  <si>
    <t>10002824</t>
  </si>
  <si>
    <t>09/08/2016</t>
  </si>
  <si>
    <t>16/08/2016</t>
  </si>
  <si>
    <t>10001026</t>
  </si>
  <si>
    <t>04/09/2016</t>
  </si>
  <si>
    <t>10000109</t>
  </si>
  <si>
    <t>David Wiener</t>
  </si>
  <si>
    <t>13195</t>
  </si>
  <si>
    <t>10003774</t>
  </si>
  <si>
    <t>Dean Braden</t>
  </si>
  <si>
    <t>13210</t>
  </si>
  <si>
    <t>Paterson</t>
  </si>
  <si>
    <t>15/09/2017</t>
  </si>
  <si>
    <t>10003651</t>
  </si>
  <si>
    <t>26/03/2017</t>
  </si>
  <si>
    <t>27/03/2017</t>
  </si>
  <si>
    <t>10001291</t>
  </si>
  <si>
    <t>11/12/2018</t>
  </si>
  <si>
    <t>10004859</t>
  </si>
  <si>
    <t>Dean Katz</t>
  </si>
  <si>
    <t>13225</t>
  </si>
  <si>
    <t>10001780</t>
  </si>
  <si>
    <t>20/12/2018</t>
  </si>
  <si>
    <t>26/12/2018</t>
  </si>
  <si>
    <t>10002787</t>
  </si>
  <si>
    <t>10001681</t>
  </si>
  <si>
    <t>Dean percer</t>
  </si>
  <si>
    <t>13240</t>
  </si>
  <si>
    <t>Phoenix</t>
  </si>
  <si>
    <t>10003291</t>
  </si>
  <si>
    <t>14/11/2016</t>
  </si>
  <si>
    <t>10000045</t>
  </si>
  <si>
    <t>20/04/2016</t>
  </si>
  <si>
    <t>Deanra Eno</t>
  </si>
  <si>
    <t>13255</t>
  </si>
  <si>
    <t>10002756</t>
  </si>
  <si>
    <t>24/09/2016</t>
  </si>
  <si>
    <t>28/09/2016</t>
  </si>
  <si>
    <t>Dubuque</t>
  </si>
  <si>
    <t>10001525</t>
  </si>
  <si>
    <t>11/01/2017</t>
  </si>
  <si>
    <t>13/01/2017</t>
  </si>
  <si>
    <t>10001166</t>
  </si>
  <si>
    <t>04/02/2015</t>
  </si>
  <si>
    <t>08/02/2015</t>
  </si>
  <si>
    <t>Deborah Brumfield</t>
  </si>
  <si>
    <t>13270</t>
  </si>
  <si>
    <t>10004230</t>
  </si>
  <si>
    <t>13/12/2017</t>
  </si>
  <si>
    <t>Portland</t>
  </si>
  <si>
    <t>10004218</t>
  </si>
  <si>
    <t>10003289</t>
  </si>
  <si>
    <t>07/10/2018</t>
  </si>
  <si>
    <t>Debra Catini</t>
  </si>
  <si>
    <t>13285</t>
  </si>
  <si>
    <t>10003965</t>
  </si>
  <si>
    <t>Cottage Grove</t>
  </si>
  <si>
    <t>10002444</t>
  </si>
  <si>
    <t>15/11/2017</t>
  </si>
  <si>
    <t>Warner Robins</t>
  </si>
  <si>
    <t>10004999</t>
  </si>
  <si>
    <t>07/12/2018</t>
  </si>
  <si>
    <t>10000175</t>
  </si>
  <si>
    <t>Deirdre Greer</t>
  </si>
  <si>
    <t>13300</t>
  </si>
  <si>
    <t>10000293</t>
  </si>
  <si>
    <t>28/11/2018</t>
  </si>
  <si>
    <t>10002834</t>
  </si>
  <si>
    <t>10/12/2017</t>
  </si>
  <si>
    <t>Delfina Latchford</t>
  </si>
  <si>
    <t>13315</t>
  </si>
  <si>
    <t>10001228</t>
  </si>
  <si>
    <t>16/01/2015</t>
  </si>
  <si>
    <t>18/01/2015</t>
  </si>
  <si>
    <t>10001095</t>
  </si>
  <si>
    <t>10004952</t>
  </si>
  <si>
    <t>10003724</t>
  </si>
  <si>
    <t>10/02/2015</t>
  </si>
  <si>
    <t>Romeoville</t>
  </si>
  <si>
    <t>10001196</t>
  </si>
  <si>
    <t>23/06/2015</t>
  </si>
  <si>
    <t>26/06/2015</t>
  </si>
  <si>
    <t>Denise Leinenbach</t>
  </si>
  <si>
    <t>13330</t>
  </si>
  <si>
    <t>10002766</t>
  </si>
  <si>
    <t>Denise Monton</t>
  </si>
  <si>
    <t>13345</t>
  </si>
  <si>
    <t>10003022</t>
  </si>
  <si>
    <t>08/04/2018</t>
  </si>
  <si>
    <t>Roswell</t>
  </si>
  <si>
    <t>10003832</t>
  </si>
  <si>
    <t>26/04/2017</t>
  </si>
  <si>
    <t>Dennis Bolton</t>
  </si>
  <si>
    <t>13360</t>
  </si>
  <si>
    <t>Dennis Kane</t>
  </si>
  <si>
    <t>13375</t>
  </si>
  <si>
    <t>Abilene</t>
  </si>
  <si>
    <t>10001634</t>
  </si>
  <si>
    <t>Marion</t>
  </si>
  <si>
    <t>10001578</t>
  </si>
  <si>
    <t>12/12/2016</t>
  </si>
  <si>
    <t>15/12/2016</t>
  </si>
  <si>
    <t>10001229</t>
  </si>
  <si>
    <t>10002075</t>
  </si>
  <si>
    <t>Dennis Pardue</t>
  </si>
  <si>
    <t>13390</t>
  </si>
  <si>
    <t>10004785</t>
  </si>
  <si>
    <t>24/03/2016</t>
  </si>
  <si>
    <t>27/03/2016</t>
  </si>
  <si>
    <t>10000362</t>
  </si>
  <si>
    <t>22/03/2018</t>
  </si>
  <si>
    <t>Denny Blanton</t>
  </si>
  <si>
    <t>13405</t>
  </si>
  <si>
    <t>10000081</t>
  </si>
  <si>
    <t>Denny Joy</t>
  </si>
  <si>
    <t>13420</t>
  </si>
  <si>
    <t>10001482</t>
  </si>
  <si>
    <t>16/05/2017</t>
  </si>
  <si>
    <t>Denny Ordway</t>
  </si>
  <si>
    <t>13435</t>
  </si>
  <si>
    <t>10004971</t>
  </si>
  <si>
    <t>29/03/2016</t>
  </si>
  <si>
    <t>04/04/2016</t>
  </si>
  <si>
    <t>10001947</t>
  </si>
  <si>
    <t>30/06/2018</t>
  </si>
  <si>
    <t>10004123</t>
  </si>
  <si>
    <t>02/12/2016</t>
  </si>
  <si>
    <t>Pembroke Pines</t>
  </si>
  <si>
    <t>10000617</t>
  </si>
  <si>
    <t>10004010</t>
  </si>
  <si>
    <t>10001536</t>
  </si>
  <si>
    <t>22/06/2015</t>
  </si>
  <si>
    <t>24/06/2015</t>
  </si>
  <si>
    <t>Dianna Vittorini</t>
  </si>
  <si>
    <t>13465</t>
  </si>
  <si>
    <t>10000357</t>
  </si>
  <si>
    <t>Dianna Wilson</t>
  </si>
  <si>
    <t>13480</t>
  </si>
  <si>
    <t>10004908</t>
  </si>
  <si>
    <t>23/08/2017</t>
  </si>
  <si>
    <t>10004924</t>
  </si>
  <si>
    <t>12/01/2017</t>
  </si>
  <si>
    <t>10003696</t>
  </si>
  <si>
    <t>Dionis Lloyd</t>
  </si>
  <si>
    <t>13495</t>
  </si>
  <si>
    <t>10001142</t>
  </si>
  <si>
    <t>24/07/2017</t>
  </si>
  <si>
    <t>10003766</t>
  </si>
  <si>
    <t>18/08/2018</t>
  </si>
  <si>
    <t>10004459</t>
  </si>
  <si>
    <t>Don Jones</t>
  </si>
  <si>
    <t>13510</t>
  </si>
  <si>
    <t>Murfreesboro</t>
  </si>
  <si>
    <t>10001967</t>
  </si>
  <si>
    <t>Woonsocket</t>
  </si>
  <si>
    <t>10003797</t>
  </si>
  <si>
    <t>08/05/2018</t>
  </si>
  <si>
    <t>10003535</t>
  </si>
  <si>
    <t>21/08/2015</t>
  </si>
  <si>
    <t>10000595</t>
  </si>
  <si>
    <t>05/09/2017</t>
  </si>
  <si>
    <t>07/09/2017</t>
  </si>
  <si>
    <t>Don Miller</t>
  </si>
  <si>
    <t>13525</t>
  </si>
  <si>
    <t>10001870</t>
  </si>
  <si>
    <t>02/03/2017</t>
  </si>
  <si>
    <t>Don Weiss</t>
  </si>
  <si>
    <t>13540</t>
  </si>
  <si>
    <t>10004053</t>
  </si>
  <si>
    <t>25/09/2018</t>
  </si>
  <si>
    <t>10002191</t>
  </si>
  <si>
    <t>14/09/2018</t>
  </si>
  <si>
    <t>Dorothy Badders</t>
  </si>
  <si>
    <t>13555</t>
  </si>
  <si>
    <t>Dublin</t>
  </si>
  <si>
    <t>11/05/2018</t>
  </si>
  <si>
    <t>Fort Worth</t>
  </si>
  <si>
    <t>10002827</t>
  </si>
  <si>
    <t>20/09/2015</t>
  </si>
  <si>
    <t>25/09/2015</t>
  </si>
  <si>
    <t>25/07/2018</t>
  </si>
  <si>
    <t>Dorothy Dickinson</t>
  </si>
  <si>
    <t>13570</t>
  </si>
  <si>
    <t>10004178</t>
  </si>
  <si>
    <t>02/02/2018</t>
  </si>
  <si>
    <t>Dorothy Wardle</t>
  </si>
  <si>
    <t>13585</t>
  </si>
  <si>
    <t>10002293</t>
  </si>
  <si>
    <t>24/08/2015</t>
  </si>
  <si>
    <t>26/08/2015</t>
  </si>
  <si>
    <t>10004661</t>
  </si>
  <si>
    <t>07/04/2017</t>
  </si>
  <si>
    <t>Dorris liebe</t>
  </si>
  <si>
    <t>13600</t>
  </si>
  <si>
    <t>10000454</t>
  </si>
  <si>
    <t>10002203</t>
  </si>
  <si>
    <t>01/07/2015</t>
  </si>
  <si>
    <t>10003355</t>
  </si>
  <si>
    <t>13/10/2017</t>
  </si>
  <si>
    <t>Doug Bickford</t>
  </si>
  <si>
    <t>13615</t>
  </si>
  <si>
    <t>10000676</t>
  </si>
  <si>
    <t>01/09/2016</t>
  </si>
  <si>
    <t>10001922</t>
  </si>
  <si>
    <t>14/12/2016</t>
  </si>
  <si>
    <t>16/12/2016</t>
  </si>
  <si>
    <t>Doug Jacobs</t>
  </si>
  <si>
    <t>13630</t>
  </si>
  <si>
    <t>10001051</t>
  </si>
  <si>
    <t>10003305</t>
  </si>
  <si>
    <t>10002280</t>
  </si>
  <si>
    <t>27/11/2018</t>
  </si>
  <si>
    <t>Doug O'Connell</t>
  </si>
  <si>
    <t>13645</t>
  </si>
  <si>
    <t>10004100</t>
  </si>
  <si>
    <t>10001357</t>
  </si>
  <si>
    <t>10002506</t>
  </si>
  <si>
    <t>23/12/2018</t>
  </si>
  <si>
    <t>Duane Benoit</t>
  </si>
  <si>
    <t>13660</t>
  </si>
  <si>
    <t>10001037</t>
  </si>
  <si>
    <t>30/03/2018</t>
  </si>
  <si>
    <t>10004239</t>
  </si>
  <si>
    <t>Duane Huffman</t>
  </si>
  <si>
    <t>13675</t>
  </si>
  <si>
    <t>12/08/2015</t>
  </si>
  <si>
    <t>10000295</t>
  </si>
  <si>
    <t>12/10/2015</t>
  </si>
  <si>
    <t>16/10/2015</t>
  </si>
  <si>
    <t>Duane Noonan</t>
  </si>
  <si>
    <t>13690</t>
  </si>
  <si>
    <t>10002053</t>
  </si>
  <si>
    <t>13/10/2015</t>
  </si>
  <si>
    <t>10003823</t>
  </si>
  <si>
    <t>14/06/2017</t>
  </si>
  <si>
    <t>Ed Braxton</t>
  </si>
  <si>
    <t>13705</t>
  </si>
  <si>
    <t>10001771</t>
  </si>
  <si>
    <t>07/03/2017</t>
  </si>
  <si>
    <t>12/03/2017</t>
  </si>
  <si>
    <t>02/10/2016</t>
  </si>
  <si>
    <t>08/10/2016</t>
  </si>
  <si>
    <t>20/10/2018</t>
  </si>
  <si>
    <t>24/10/2018</t>
  </si>
  <si>
    <t>Akron</t>
  </si>
  <si>
    <t>10001539</t>
  </si>
  <si>
    <t>08/07/2015</t>
  </si>
  <si>
    <t>10003715</t>
  </si>
  <si>
    <t>03/03/2018</t>
  </si>
  <si>
    <t>08/03/2018</t>
  </si>
  <si>
    <t>Ed Jacobs</t>
  </si>
  <si>
    <t>13720</t>
  </si>
  <si>
    <t>10000990</t>
  </si>
  <si>
    <t>Ed Ludwig</t>
  </si>
  <si>
    <t>13735</t>
  </si>
  <si>
    <t>10001078</t>
  </si>
  <si>
    <t>Jefferson City</t>
  </si>
  <si>
    <t>10003975</t>
  </si>
  <si>
    <t>16/04/2018</t>
  </si>
  <si>
    <t>Edward Becker</t>
  </si>
  <si>
    <t>13750</t>
  </si>
  <si>
    <t>Hoover</t>
  </si>
  <si>
    <t>10000157</t>
  </si>
  <si>
    <t>02/06/2017</t>
  </si>
  <si>
    <t>Edward Hooks</t>
  </si>
  <si>
    <t>13765</t>
  </si>
  <si>
    <t>10000246</t>
  </si>
  <si>
    <t>17/08/2018</t>
  </si>
  <si>
    <t>Watertown</t>
  </si>
  <si>
    <t>10003091</t>
  </si>
  <si>
    <t>30/05/2016</t>
  </si>
  <si>
    <t>01/06/2016</t>
  </si>
  <si>
    <t>Edward Nazzal</t>
  </si>
  <si>
    <t>13780</t>
  </si>
  <si>
    <t>10001795</t>
  </si>
  <si>
    <t>Eileen Kiefer</t>
  </si>
  <si>
    <t>13795</t>
  </si>
  <si>
    <t>Santa Ana</t>
  </si>
  <si>
    <t>10003582</t>
  </si>
  <si>
    <t>16/07/2016</t>
  </si>
  <si>
    <t>Eleni McCrary</t>
  </si>
  <si>
    <t>13810</t>
  </si>
  <si>
    <t>10003312</t>
  </si>
  <si>
    <t>27/08/2017</t>
  </si>
  <si>
    <t>Elizabeth Moffitt</t>
  </si>
  <si>
    <t>13825</t>
  </si>
  <si>
    <t>10002473</t>
  </si>
  <si>
    <t>Sioux Falls</t>
  </si>
  <si>
    <t>South Dakota</t>
  </si>
  <si>
    <t>10004093</t>
  </si>
  <si>
    <t>02/06/2016</t>
  </si>
  <si>
    <t>10002120</t>
  </si>
  <si>
    <t>08/10/2018</t>
  </si>
  <si>
    <t>Ellis Ballard</t>
  </si>
  <si>
    <t>13840</t>
  </si>
  <si>
    <t>10004530</t>
  </si>
  <si>
    <t>04/12/2017</t>
  </si>
  <si>
    <t>10003324</t>
  </si>
  <si>
    <t>13/12/2015</t>
  </si>
  <si>
    <t>17/12/2015</t>
  </si>
  <si>
    <t>10003930</t>
  </si>
  <si>
    <t>06/09/2017</t>
  </si>
  <si>
    <t>Elpida Rittenbach</t>
  </si>
  <si>
    <t>13855</t>
  </si>
  <si>
    <t>Saint Paul</t>
  </si>
  <si>
    <t>10000358</t>
  </si>
  <si>
    <t>21/12/2016</t>
  </si>
  <si>
    <t>Colorado Springs</t>
  </si>
  <si>
    <t>10003971</t>
  </si>
  <si>
    <t>04/02/2018</t>
  </si>
  <si>
    <t>Emily Burns</t>
  </si>
  <si>
    <t>13870</t>
  </si>
  <si>
    <t>10002044</t>
  </si>
  <si>
    <t>10004141</t>
  </si>
  <si>
    <t>03/10/2017</t>
  </si>
  <si>
    <t>10003199</t>
  </si>
  <si>
    <t>Redding</t>
  </si>
  <si>
    <t>10004447</t>
  </si>
  <si>
    <t>14/07/2016</t>
  </si>
  <si>
    <t>10000657</t>
  </si>
  <si>
    <t>24/08/2018</t>
  </si>
  <si>
    <t>Emily Ducich</t>
  </si>
  <si>
    <t>13885</t>
  </si>
  <si>
    <t>10000432</t>
  </si>
  <si>
    <t>24/10/2017</t>
  </si>
  <si>
    <t>10000892</t>
  </si>
  <si>
    <t>10000262</t>
  </si>
  <si>
    <t>02/11/2016</t>
  </si>
  <si>
    <t>Emily Grady</t>
  </si>
  <si>
    <t>13900</t>
  </si>
  <si>
    <t>Naperville</t>
  </si>
  <si>
    <t>10003610</t>
  </si>
  <si>
    <t>05/11/2016</t>
  </si>
  <si>
    <t>10003099</t>
  </si>
  <si>
    <t>06/12/2017</t>
  </si>
  <si>
    <t>10001954</t>
  </si>
  <si>
    <t>11/11/2018</t>
  </si>
  <si>
    <t>Emily Phan</t>
  </si>
  <si>
    <t>13915</t>
  </si>
  <si>
    <t>10004260</t>
  </si>
  <si>
    <t>10002429</t>
  </si>
  <si>
    <t>22/10/2017</t>
  </si>
  <si>
    <t>Eric Barreto</t>
  </si>
  <si>
    <t>13930</t>
  </si>
  <si>
    <t>10003731</t>
  </si>
  <si>
    <t>18/12/2016</t>
  </si>
  <si>
    <t>Eric Hoffmann</t>
  </si>
  <si>
    <t>13945</t>
  </si>
  <si>
    <t>10004351</t>
  </si>
  <si>
    <t>16/01/2017</t>
  </si>
  <si>
    <t>Tempe</t>
  </si>
  <si>
    <t>10003196</t>
  </si>
  <si>
    <t>28/12/2016</t>
  </si>
  <si>
    <t>Eric Murdock</t>
  </si>
  <si>
    <t>13960</t>
  </si>
  <si>
    <t>10003657</t>
  </si>
  <si>
    <t>04/01/2017</t>
  </si>
  <si>
    <t>09/01/2017</t>
  </si>
  <si>
    <t>Erica Bern</t>
  </si>
  <si>
    <t>13975</t>
  </si>
  <si>
    <t>10000971</t>
  </si>
  <si>
    <t>24/11/2015</t>
  </si>
  <si>
    <t>26/11/2015</t>
  </si>
  <si>
    <t>Erica Hackney</t>
  </si>
  <si>
    <t>13990</t>
  </si>
  <si>
    <t>Sacramento</t>
  </si>
  <si>
    <t>06/04/2017</t>
  </si>
  <si>
    <t>10003817</t>
  </si>
  <si>
    <t>Erica Hernandez</t>
  </si>
  <si>
    <t>14005</t>
  </si>
  <si>
    <t>10003040</t>
  </si>
  <si>
    <t>Lansing</t>
  </si>
  <si>
    <t>10001972</t>
  </si>
  <si>
    <t>28/04/2017</t>
  </si>
  <si>
    <t>10001970</t>
  </si>
  <si>
    <t>Erica Smith</t>
  </si>
  <si>
    <t>14020</t>
  </si>
  <si>
    <t>10001569</t>
  </si>
  <si>
    <t>Erin Ashbrook</t>
  </si>
  <si>
    <t>14035</t>
  </si>
  <si>
    <t>10001679</t>
  </si>
  <si>
    <t>23/05/2016</t>
  </si>
  <si>
    <t>28/05/2016</t>
  </si>
  <si>
    <t>10000056</t>
  </si>
  <si>
    <t>10000904</t>
  </si>
  <si>
    <t>10001109</t>
  </si>
  <si>
    <t>01/12/2016</t>
  </si>
  <si>
    <t>10002313</t>
  </si>
  <si>
    <t>16/02/2017</t>
  </si>
  <si>
    <t>31/07/2018</t>
  </si>
  <si>
    <t>05/08/2018</t>
  </si>
  <si>
    <t>10003790</t>
  </si>
  <si>
    <t>29/03/2018</t>
  </si>
  <si>
    <t>Erin Creighton</t>
  </si>
  <si>
    <t>14050</t>
  </si>
  <si>
    <t>10002741</t>
  </si>
  <si>
    <t>17/08/2017</t>
  </si>
  <si>
    <t>Erin Mull</t>
  </si>
  <si>
    <t>14065</t>
  </si>
  <si>
    <t>10000138</t>
  </si>
  <si>
    <t>Erin Smith</t>
  </si>
  <si>
    <t>14080</t>
  </si>
  <si>
    <t>10002262</t>
  </si>
  <si>
    <t>Melbourne</t>
  </si>
  <si>
    <t>10003282</t>
  </si>
  <si>
    <t>19/12/2017</t>
  </si>
  <si>
    <t>25/12/2017</t>
  </si>
  <si>
    <t>10001086</t>
  </si>
  <si>
    <t>09/11/2017</t>
  </si>
  <si>
    <t>Eudokia Martin</t>
  </si>
  <si>
    <t>14095</t>
  </si>
  <si>
    <t>10001294</t>
  </si>
  <si>
    <t>10002867</t>
  </si>
  <si>
    <t>Eugene Hildebrand</t>
  </si>
  <si>
    <t>14125</t>
  </si>
  <si>
    <t>10002789</t>
  </si>
  <si>
    <t>10001215</t>
  </si>
  <si>
    <t>14/04/2017</t>
  </si>
  <si>
    <t>Troy</t>
  </si>
  <si>
    <t>10002312</t>
  </si>
  <si>
    <t>24/05/2017</t>
  </si>
  <si>
    <t>Newport News</t>
  </si>
  <si>
    <t>10000898</t>
  </si>
  <si>
    <t>21/05/2018</t>
  </si>
  <si>
    <t>Eva Jacobs</t>
  </si>
  <si>
    <t>14155</t>
  </si>
  <si>
    <t>Gulfport</t>
  </si>
  <si>
    <t>10004955</t>
  </si>
  <si>
    <t>10/10/2018</t>
  </si>
  <si>
    <t>Evan Bailliet</t>
  </si>
  <si>
    <t>14170</t>
  </si>
  <si>
    <t>10002659</t>
  </si>
  <si>
    <t>25/10/2015</t>
  </si>
  <si>
    <t>Evan Henry</t>
  </si>
  <si>
    <t>14185</t>
  </si>
  <si>
    <t>10001553</t>
  </si>
  <si>
    <t>29/04/2018</t>
  </si>
  <si>
    <t>04/05/2018</t>
  </si>
  <si>
    <t>Filia McAdams</t>
  </si>
  <si>
    <t>14215</t>
  </si>
  <si>
    <t>10001307</t>
  </si>
  <si>
    <t>17/06/2015</t>
  </si>
  <si>
    <t>10003631</t>
  </si>
  <si>
    <t>Frank Atkinson</t>
  </si>
  <si>
    <t>14230</t>
  </si>
  <si>
    <t>10000597</t>
  </si>
  <si>
    <t>25/11/2017</t>
  </si>
  <si>
    <t>Orlando</t>
  </si>
  <si>
    <t>10004695</t>
  </si>
  <si>
    <t>10001817</t>
  </si>
  <si>
    <t>09/02/2016</t>
  </si>
  <si>
    <t>11/02/2016</t>
  </si>
  <si>
    <t>10001074</t>
  </si>
  <si>
    <t>24/09/2015</t>
  </si>
  <si>
    <t>10000624</t>
  </si>
  <si>
    <t>06/03/2018</t>
  </si>
  <si>
    <t>Frank Carlisle</t>
  </si>
  <si>
    <t>14245</t>
  </si>
  <si>
    <t>10003158</t>
  </si>
  <si>
    <t>Frank Gastineau</t>
  </si>
  <si>
    <t>14260</t>
  </si>
  <si>
    <t>10002780</t>
  </si>
  <si>
    <t>10001132</t>
  </si>
  <si>
    <t>15/10/2018</t>
  </si>
  <si>
    <t>18/10/2018</t>
  </si>
  <si>
    <t>10002818</t>
  </si>
  <si>
    <t>Frank Hawley</t>
  </si>
  <si>
    <t>14275</t>
  </si>
  <si>
    <t>La Porte</t>
  </si>
  <si>
    <t>10002831</t>
  </si>
  <si>
    <t>10001878</t>
  </si>
  <si>
    <t>30/08/2015</t>
  </si>
  <si>
    <t>Frank Merwin</t>
  </si>
  <si>
    <t>14290</t>
  </si>
  <si>
    <t>10002323</t>
  </si>
  <si>
    <t>09/07/2018</t>
  </si>
  <si>
    <t>10003590</t>
  </si>
  <si>
    <t>Frank Olsen</t>
  </si>
  <si>
    <t>14305</t>
  </si>
  <si>
    <t>10002557</t>
  </si>
  <si>
    <t>10003669</t>
  </si>
  <si>
    <t>Frank Preis</t>
  </si>
  <si>
    <t>14320</t>
  </si>
  <si>
    <t>10003498</t>
  </si>
  <si>
    <t>30/12/2017</t>
  </si>
  <si>
    <t>10003673</t>
  </si>
  <si>
    <t>10002496</t>
  </si>
  <si>
    <t>Fred Chung</t>
  </si>
  <si>
    <t>14335</t>
  </si>
  <si>
    <t>10000937</t>
  </si>
  <si>
    <t>Fred Harton</t>
  </si>
  <si>
    <t>14350</t>
  </si>
  <si>
    <t>10003429</t>
  </si>
  <si>
    <t>22/07/2018</t>
  </si>
  <si>
    <t>28/07/2018</t>
  </si>
  <si>
    <t>Fred Hopkins</t>
  </si>
  <si>
    <t>14365</t>
  </si>
  <si>
    <t>10000702</t>
  </si>
  <si>
    <t>13/07/2018</t>
  </si>
  <si>
    <t>10000343</t>
  </si>
  <si>
    <t>10000142</t>
  </si>
  <si>
    <t>Fred McMath</t>
  </si>
  <si>
    <t>14380</t>
  </si>
  <si>
    <t>10001963</t>
  </si>
  <si>
    <t>12/07/2016</t>
  </si>
  <si>
    <t>18/07/2016</t>
  </si>
  <si>
    <t>10000526</t>
  </si>
  <si>
    <t>10001404</t>
  </si>
  <si>
    <t>Fred Wasserman</t>
  </si>
  <si>
    <t>14395</t>
  </si>
  <si>
    <t>10003217</t>
  </si>
  <si>
    <t>Gary Hansen</t>
  </si>
  <si>
    <t>14410</t>
  </si>
  <si>
    <t>10004164</t>
  </si>
  <si>
    <t>Yuma</t>
  </si>
  <si>
    <t>10001148</t>
  </si>
  <si>
    <t>04/07/2018</t>
  </si>
  <si>
    <t>10002584</t>
  </si>
  <si>
    <t>Gary McGarr</t>
  </si>
  <si>
    <t>14440</t>
  </si>
  <si>
    <t>22/04/2018</t>
  </si>
  <si>
    <t>10000794</t>
  </si>
  <si>
    <t>27/03/2018</t>
  </si>
  <si>
    <t>19/04/2017</t>
  </si>
  <si>
    <t>25/04/2017</t>
  </si>
  <si>
    <t>Gary Mitchum</t>
  </si>
  <si>
    <t>14455</t>
  </si>
  <si>
    <t>10002622</t>
  </si>
  <si>
    <t>03/01/2016</t>
  </si>
  <si>
    <t>10002501</t>
  </si>
  <si>
    <t>10003442</t>
  </si>
  <si>
    <t>06/08/2018</t>
  </si>
  <si>
    <t>12/08/2018</t>
  </si>
  <si>
    <t>10003601</t>
  </si>
  <si>
    <t>Gary Zandusky</t>
  </si>
  <si>
    <t>14470</t>
  </si>
  <si>
    <t>10003179</t>
  </si>
  <si>
    <t>Bullhead City</t>
  </si>
  <si>
    <t>10003068</t>
  </si>
  <si>
    <t>10004040</t>
  </si>
  <si>
    <t>10001118</t>
  </si>
  <si>
    <t>10001383</t>
  </si>
  <si>
    <t>Morristown</t>
  </si>
  <si>
    <t>10004626</t>
  </si>
  <si>
    <t>Gene Hale</t>
  </si>
  <si>
    <t>14485</t>
  </si>
  <si>
    <t>Richardson</t>
  </si>
  <si>
    <t>10004977</t>
  </si>
  <si>
    <t>14/08/2015</t>
  </si>
  <si>
    <t>Gene McClure</t>
  </si>
  <si>
    <t>14500</t>
  </si>
  <si>
    <t>10001667</t>
  </si>
  <si>
    <t>03/07/2017</t>
  </si>
  <si>
    <t>10/05/2017</t>
  </si>
  <si>
    <t>15/05/2017</t>
  </si>
  <si>
    <t>10001535</t>
  </si>
  <si>
    <t>06/05/2017</t>
  </si>
  <si>
    <t>Bakersfield</t>
  </si>
  <si>
    <t>28/11/2017</t>
  </si>
  <si>
    <t>George Ashbrook</t>
  </si>
  <si>
    <t>14515</t>
  </si>
  <si>
    <t>10004120</t>
  </si>
  <si>
    <t>02/07/2017</t>
  </si>
  <si>
    <t>George Bell</t>
  </si>
  <si>
    <t>14530</t>
  </si>
  <si>
    <t>10002126</t>
  </si>
  <si>
    <t>10004152</t>
  </si>
  <si>
    <t>10000073</t>
  </si>
  <si>
    <t>29/10/2018</t>
  </si>
  <si>
    <t>31/10/2018</t>
  </si>
  <si>
    <t>Auburn</t>
  </si>
  <si>
    <t>10002250</t>
  </si>
  <si>
    <t>13/05/2017</t>
  </si>
  <si>
    <t>Dover</t>
  </si>
  <si>
    <t>10001488</t>
  </si>
  <si>
    <t>Giulietta Baptist</t>
  </si>
  <si>
    <t>14575</t>
  </si>
  <si>
    <t>12/06/2016</t>
  </si>
  <si>
    <t>10003848</t>
  </si>
  <si>
    <t>13/09/2017</t>
  </si>
  <si>
    <t>Giulietta Dortch</t>
  </si>
  <si>
    <t>14590</t>
  </si>
  <si>
    <t>10001204</t>
  </si>
  <si>
    <t>02/08/2018</t>
  </si>
  <si>
    <t>Giulietta Weimer</t>
  </si>
  <si>
    <t>14605</t>
  </si>
  <si>
    <t>10003027</t>
  </si>
  <si>
    <t>Grace Kelly</t>
  </si>
  <si>
    <t>14620</t>
  </si>
  <si>
    <t>10000134</t>
  </si>
  <si>
    <t>28/12/2017</t>
  </si>
  <si>
    <t>10002200</t>
  </si>
  <si>
    <t>13/07/2015</t>
  </si>
  <si>
    <t>10002855</t>
  </si>
  <si>
    <t>23/04/2017</t>
  </si>
  <si>
    <t>Hesperia</t>
  </si>
  <si>
    <t>10004593</t>
  </si>
  <si>
    <t>10002790</t>
  </si>
  <si>
    <t>Grant Thornton</t>
  </si>
  <si>
    <t>14635</t>
  </si>
  <si>
    <t>Burlington</t>
  </si>
  <si>
    <t>10004125</t>
  </si>
  <si>
    <t>04/11/2015</t>
  </si>
  <si>
    <t>Greg Guthrie</t>
  </si>
  <si>
    <t>14650</t>
  </si>
  <si>
    <t>10002975</t>
  </si>
  <si>
    <t>10/04/2016</t>
  </si>
  <si>
    <t>10003650</t>
  </si>
  <si>
    <t>Greg Hansen</t>
  </si>
  <si>
    <t>14665</t>
  </si>
  <si>
    <t>10002537</t>
  </si>
  <si>
    <t>01/01/2019</t>
  </si>
  <si>
    <t>10001958</t>
  </si>
  <si>
    <t>11/08/2015</t>
  </si>
  <si>
    <t>Greg Matthias</t>
  </si>
  <si>
    <t>14680</t>
  </si>
  <si>
    <t>10003691</t>
  </si>
  <si>
    <t>09/06/2017</t>
  </si>
  <si>
    <t>15/06/2017</t>
  </si>
  <si>
    <t>10001198</t>
  </si>
  <si>
    <t>05/10/2017</t>
  </si>
  <si>
    <t>10003238</t>
  </si>
  <si>
    <t>10/05/2015</t>
  </si>
  <si>
    <t>10004353</t>
  </si>
  <si>
    <t>15/05/2018</t>
  </si>
  <si>
    <t>Greg Tran</t>
  </si>
  <si>
    <t>14710</t>
  </si>
  <si>
    <t>27/04/2016</t>
  </si>
  <si>
    <t>03/05/2016</t>
  </si>
  <si>
    <t>District of Columbia</t>
  </si>
  <si>
    <t>12/12/2017</t>
  </si>
  <si>
    <t>10002310</t>
  </si>
  <si>
    <t>21/08/2018</t>
  </si>
  <si>
    <t>28/08/2018</t>
  </si>
  <si>
    <t>Lakeville</t>
  </si>
  <si>
    <t>24/11/2018</t>
  </si>
  <si>
    <t>25/08/2018</t>
  </si>
  <si>
    <t>29/08/2018</t>
  </si>
  <si>
    <t>Guy Armstrong</t>
  </si>
  <si>
    <t>14725</t>
  </si>
  <si>
    <t>10001790</t>
  </si>
  <si>
    <t>01/01/2018</t>
  </si>
  <si>
    <t>10003878</t>
  </si>
  <si>
    <t>15/10/2016</t>
  </si>
  <si>
    <t>Mount Pleasant</t>
  </si>
  <si>
    <t>10000719</t>
  </si>
  <si>
    <t>10001683</t>
  </si>
  <si>
    <t>10/04/2015</t>
  </si>
  <si>
    <t>Guy Phonely</t>
  </si>
  <si>
    <t>14740</t>
  </si>
  <si>
    <t>10003719</t>
  </si>
  <si>
    <t>06/07/2017</t>
  </si>
  <si>
    <t>Guy Thornton</t>
  </si>
  <si>
    <t>14755</t>
  </si>
  <si>
    <t>10000552</t>
  </si>
  <si>
    <t>29/05/2018</t>
  </si>
  <si>
    <t>Harlingen</t>
  </si>
  <si>
    <t>10002036</t>
  </si>
  <si>
    <t>Hallie Redmond</t>
  </si>
  <si>
    <t>14770</t>
  </si>
  <si>
    <t>10000320</t>
  </si>
  <si>
    <t>13/08/2016</t>
  </si>
  <si>
    <t>10004690</t>
  </si>
  <si>
    <t>01/03/2015</t>
  </si>
  <si>
    <t>05/03/2015</t>
  </si>
  <si>
    <t>10003655</t>
  </si>
  <si>
    <t>11/05/2015</t>
  </si>
  <si>
    <t>Harold Dahlen</t>
  </si>
  <si>
    <t>14785</t>
  </si>
  <si>
    <t>10003036</t>
  </si>
  <si>
    <t>Harold Engle</t>
  </si>
  <si>
    <t>14800</t>
  </si>
  <si>
    <t>10001057</t>
  </si>
  <si>
    <t>06/05/2015</t>
  </si>
  <si>
    <t>Harold Pawlan</t>
  </si>
  <si>
    <t>14815</t>
  </si>
  <si>
    <t>10003684</t>
  </si>
  <si>
    <t>10002573</t>
  </si>
  <si>
    <t>10002311</t>
  </si>
  <si>
    <t>10003984</t>
  </si>
  <si>
    <t>Harold Ryan</t>
  </si>
  <si>
    <t>14830</t>
  </si>
  <si>
    <t>10004287</t>
  </si>
  <si>
    <t>17/03/2016</t>
  </si>
  <si>
    <t>10000387</t>
  </si>
  <si>
    <t>30/11/2015</t>
  </si>
  <si>
    <t>10004656</t>
  </si>
  <si>
    <t>13/09/2016</t>
  </si>
  <si>
    <t>Harry Greene</t>
  </si>
  <si>
    <t>14845</t>
  </si>
  <si>
    <t>10004209</t>
  </si>
  <si>
    <t>10001031</t>
  </si>
  <si>
    <t>30/12/2016</t>
  </si>
  <si>
    <t>Harry Marie</t>
  </si>
  <si>
    <t>14860</t>
  </si>
  <si>
    <t>10003026</t>
  </si>
  <si>
    <t>27/09/2017</t>
  </si>
  <si>
    <t>10000780</t>
  </si>
  <si>
    <t>Loveland</t>
  </si>
  <si>
    <t>10001752</t>
  </si>
  <si>
    <t>25/10/2016</t>
  </si>
  <si>
    <t>Heather Kirkland</t>
  </si>
  <si>
    <t>14890</t>
  </si>
  <si>
    <t>10004042</t>
  </si>
  <si>
    <t>07/06/2018</t>
  </si>
  <si>
    <t>10002960</t>
  </si>
  <si>
    <t>10002735</t>
  </si>
  <si>
    <t>23/10/2017</t>
  </si>
  <si>
    <t>05/07/2015</t>
  </si>
  <si>
    <t>Helen Abelman</t>
  </si>
  <si>
    <t>14905</t>
  </si>
  <si>
    <t>10001025</t>
  </si>
  <si>
    <t>10000831</t>
  </si>
  <si>
    <t>09/08/2017</t>
  </si>
  <si>
    <t>12/08/2017</t>
  </si>
  <si>
    <t>Helen Andreada</t>
  </si>
  <si>
    <t>14920</t>
  </si>
  <si>
    <t>10000130</t>
  </si>
  <si>
    <t>10000936</t>
  </si>
  <si>
    <t>10003116</t>
  </si>
  <si>
    <t>31/07/2016</t>
  </si>
  <si>
    <t>10003628</t>
  </si>
  <si>
    <t>18/08/2017</t>
  </si>
  <si>
    <t>Helen Wasserman</t>
  </si>
  <si>
    <t>14935</t>
  </si>
  <si>
    <t>20/02/2018</t>
  </si>
  <si>
    <t>23/02/2018</t>
  </si>
  <si>
    <t>10004090</t>
  </si>
  <si>
    <t>20/03/2018</t>
  </si>
  <si>
    <t>04/09/2018</t>
  </si>
  <si>
    <t>06/09/2018</t>
  </si>
  <si>
    <t>10000112</t>
  </si>
  <si>
    <t>14/03/2017</t>
  </si>
  <si>
    <t>Henia Zydlo</t>
  </si>
  <si>
    <t>14950</t>
  </si>
  <si>
    <t>10004020</t>
  </si>
  <si>
    <t>10003919</t>
  </si>
  <si>
    <t>Henry Goldwyn</t>
  </si>
  <si>
    <t>14965</t>
  </si>
  <si>
    <t>Mesquite</t>
  </si>
  <si>
    <t>10003460</t>
  </si>
  <si>
    <t>10001120</t>
  </si>
  <si>
    <t>10004610</t>
  </si>
  <si>
    <t>23/12/2017</t>
  </si>
  <si>
    <t>10003072</t>
  </si>
  <si>
    <t>18/09/2017</t>
  </si>
  <si>
    <t>Henry MacAllister</t>
  </si>
  <si>
    <t>14980</t>
  </si>
  <si>
    <t>10004654</t>
  </si>
  <si>
    <t>15/12/2018</t>
  </si>
  <si>
    <t>Herbert Flentye</t>
  </si>
  <si>
    <t>14995</t>
  </si>
  <si>
    <t>10000575</t>
  </si>
  <si>
    <t>Hilary Holden</t>
  </si>
  <si>
    <t>15010</t>
  </si>
  <si>
    <t>10002973</t>
  </si>
  <si>
    <t>10004475</t>
  </si>
  <si>
    <t>14/10/2015</t>
  </si>
  <si>
    <t>18/10/2015</t>
  </si>
  <si>
    <t>Hunter Glantz</t>
  </si>
  <si>
    <t>15025</t>
  </si>
  <si>
    <t>10004052</t>
  </si>
  <si>
    <t>Kenner</t>
  </si>
  <si>
    <t>10002222</t>
  </si>
  <si>
    <t>06/10/2017</t>
  </si>
  <si>
    <t>Hunter Lopez</t>
  </si>
  <si>
    <t>15040</t>
  </si>
  <si>
    <t>10001099</t>
  </si>
  <si>
    <t>30/06/2017</t>
  </si>
  <si>
    <t>10001305</t>
  </si>
  <si>
    <t>10002214</t>
  </si>
  <si>
    <t>20/01/2015</t>
  </si>
  <si>
    <t>26/01/2015</t>
  </si>
  <si>
    <t>Jonesboro</t>
  </si>
  <si>
    <t>10001061</t>
  </si>
  <si>
    <t>Irene Maddox</t>
  </si>
  <si>
    <t>15070</t>
  </si>
  <si>
    <t>23/06/2017</t>
  </si>
  <si>
    <t>10003510</t>
  </si>
  <si>
    <t>10004165</t>
  </si>
  <si>
    <t>10001191</t>
  </si>
  <si>
    <t>27/10/2018</t>
  </si>
  <si>
    <t>Ivan Gibson</t>
  </si>
  <si>
    <t>15085</t>
  </si>
  <si>
    <t>10002257</t>
  </si>
  <si>
    <t>22/06/2017</t>
  </si>
  <si>
    <t>10000806</t>
  </si>
  <si>
    <t>10/12/2016</t>
  </si>
  <si>
    <t>Ivan Liston</t>
  </si>
  <si>
    <t>15100</t>
  </si>
  <si>
    <t>North Las Vegas</t>
  </si>
  <si>
    <t>10000048</t>
  </si>
  <si>
    <t>13/02/2016</t>
  </si>
  <si>
    <t>10001708</t>
  </si>
  <si>
    <t>10004506</t>
  </si>
  <si>
    <t>Jack Garza</t>
  </si>
  <si>
    <t>15115</t>
  </si>
  <si>
    <t>10003012</t>
  </si>
  <si>
    <t>27/11/2015</t>
  </si>
  <si>
    <t>Jack O'Briant</t>
  </si>
  <si>
    <t>15145</t>
  </si>
  <si>
    <t>Buffalo</t>
  </si>
  <si>
    <t>10003268</t>
  </si>
  <si>
    <t>James Galang</t>
  </si>
  <si>
    <t>15160</t>
  </si>
  <si>
    <t>Murray</t>
  </si>
  <si>
    <t>10004748</t>
  </si>
  <si>
    <t>Plainfield</t>
  </si>
  <si>
    <t>10002578</t>
  </si>
  <si>
    <t>19/06/2017</t>
  </si>
  <si>
    <t>James Lanier</t>
  </si>
  <si>
    <t>15175</t>
  </si>
  <si>
    <t>10003493</t>
  </si>
  <si>
    <t>31/12/2018</t>
  </si>
  <si>
    <t>Chandler</t>
  </si>
  <si>
    <t>10001731</t>
  </si>
  <si>
    <t>10001560</t>
  </si>
  <si>
    <t>Jamie Frazer</t>
  </si>
  <si>
    <t>15190</t>
  </si>
  <si>
    <t>30/10/2018</t>
  </si>
  <si>
    <t>Jamie Kunitz</t>
  </si>
  <si>
    <t>15205</t>
  </si>
  <si>
    <t>10003077</t>
  </si>
  <si>
    <t>10002874</t>
  </si>
  <si>
    <t>Jane Waco</t>
  </si>
  <si>
    <t>15220</t>
  </si>
  <si>
    <t>Montgomery</t>
  </si>
  <si>
    <t>10002963</t>
  </si>
  <si>
    <t>10001860</t>
  </si>
  <si>
    <t>05/06/2017</t>
  </si>
  <si>
    <t>11/06/2017</t>
  </si>
  <si>
    <t>Janet Lee</t>
  </si>
  <si>
    <t>15235</t>
  </si>
  <si>
    <t>10001496</t>
  </si>
  <si>
    <t>25/05/2015</t>
  </si>
  <si>
    <t>29/05/2015</t>
  </si>
  <si>
    <t>29/03/2017</t>
  </si>
  <si>
    <t>02/04/2017</t>
  </si>
  <si>
    <t>Janet Martin</t>
  </si>
  <si>
    <t>15250</t>
  </si>
  <si>
    <t>10000466</t>
  </si>
  <si>
    <t>10003499</t>
  </si>
  <si>
    <t>Janet Molinari</t>
  </si>
  <si>
    <t>15265</t>
  </si>
  <si>
    <t>Canton</t>
  </si>
  <si>
    <t>10003347</t>
  </si>
  <si>
    <t>04/10/2018</t>
  </si>
  <si>
    <t>Jas O'Carroll</t>
  </si>
  <si>
    <t>15280</t>
  </si>
  <si>
    <t>Memphis</t>
  </si>
  <si>
    <t>10001418</t>
  </si>
  <si>
    <t>Missoula</t>
  </si>
  <si>
    <t>10004632</t>
  </si>
  <si>
    <t>06/11/2016</t>
  </si>
  <si>
    <t>10002903</t>
  </si>
  <si>
    <t>10003529</t>
  </si>
  <si>
    <t>Jason Fortune-</t>
  </si>
  <si>
    <t>15295</t>
  </si>
  <si>
    <t>10000809</t>
  </si>
  <si>
    <t>Jason Gross</t>
  </si>
  <si>
    <t>15310</t>
  </si>
  <si>
    <t>10003505</t>
  </si>
  <si>
    <t>10000914</t>
  </si>
  <si>
    <t>Jasper Cacioppo</t>
  </si>
  <si>
    <t>15340</t>
  </si>
  <si>
    <t>10000448</t>
  </si>
  <si>
    <t>20/09/2018</t>
  </si>
  <si>
    <t>Jay Fein</t>
  </si>
  <si>
    <t>15355</t>
  </si>
  <si>
    <t>10001141</t>
  </si>
  <si>
    <t>30/07/2018</t>
  </si>
  <si>
    <t>10003589</t>
  </si>
  <si>
    <t>01/07/2017</t>
  </si>
  <si>
    <t>10002215</t>
  </si>
  <si>
    <t>09/04/2016</t>
  </si>
  <si>
    <t>14/04/2016</t>
  </si>
  <si>
    <t>Jay Kimmel</t>
  </si>
  <si>
    <t>15370</t>
  </si>
  <si>
    <t>10002774</t>
  </si>
  <si>
    <t>19/12/2016</t>
  </si>
  <si>
    <t>10000828</t>
  </si>
  <si>
    <t>11/04/2015</t>
  </si>
  <si>
    <t>10001332</t>
  </si>
  <si>
    <t>08/07/2018</t>
  </si>
  <si>
    <t>15/07/2018</t>
  </si>
  <si>
    <t>Jenna Caffey</t>
  </si>
  <si>
    <t>15385</t>
  </si>
  <si>
    <t>Kent</t>
  </si>
  <si>
    <t>10002937</t>
  </si>
  <si>
    <t>Jennifer Braxton</t>
  </si>
  <si>
    <t>15400</t>
  </si>
  <si>
    <t>10000891</t>
  </si>
  <si>
    <t>03/09/2016</t>
  </si>
  <si>
    <t>08/09/2016</t>
  </si>
  <si>
    <t>01/05/2016</t>
  </si>
  <si>
    <t>10004348</t>
  </si>
  <si>
    <t>Sunnyvale</t>
  </si>
  <si>
    <t>10003061</t>
  </si>
  <si>
    <t>23/07/2017</t>
  </si>
  <si>
    <t>10002956</t>
  </si>
  <si>
    <t>22/08/2015</t>
  </si>
  <si>
    <t>25/08/2015</t>
  </si>
  <si>
    <t>Jennifer Ferguson</t>
  </si>
  <si>
    <t>15415</t>
  </si>
  <si>
    <t>10001846</t>
  </si>
  <si>
    <t>27/10/2016</t>
  </si>
  <si>
    <t>Sparks</t>
  </si>
  <si>
    <t>10001955</t>
  </si>
  <si>
    <t>Jennifer Halladay</t>
  </si>
  <si>
    <t>15430</t>
  </si>
  <si>
    <t>10000203</t>
  </si>
  <si>
    <t>Jennifer Jackson</t>
  </si>
  <si>
    <t>15445</t>
  </si>
  <si>
    <t>Waukesha</t>
  </si>
  <si>
    <t>10000918</t>
  </si>
  <si>
    <t>10003707</t>
  </si>
  <si>
    <t>18/07/2017</t>
  </si>
  <si>
    <t>Jennifer Patt</t>
  </si>
  <si>
    <t>15460</t>
  </si>
  <si>
    <t>10004782</t>
  </si>
  <si>
    <t>10004586</t>
  </si>
  <si>
    <t>10001184</t>
  </si>
  <si>
    <t>18/03/2016</t>
  </si>
  <si>
    <t>Jeremy Ellison</t>
  </si>
  <si>
    <t>15475</t>
  </si>
  <si>
    <t>10001039</t>
  </si>
  <si>
    <t>New Rochelle</t>
  </si>
  <si>
    <t>10000927</t>
  </si>
  <si>
    <t>19/10/2015</t>
  </si>
  <si>
    <t>Jeremy Farry</t>
  </si>
  <si>
    <t>15490</t>
  </si>
  <si>
    <t>10004519</t>
  </si>
  <si>
    <t>09/12/2016</t>
  </si>
  <si>
    <t>10003467</t>
  </si>
  <si>
    <t>31/08/2018</t>
  </si>
  <si>
    <t>10000344</t>
  </si>
  <si>
    <t>05/10/2016</t>
  </si>
  <si>
    <t>10003660</t>
  </si>
  <si>
    <t>Jeremy Lonsdale</t>
  </si>
  <si>
    <t>15505</t>
  </si>
  <si>
    <t>Midland</t>
  </si>
  <si>
    <t>10000756</t>
  </si>
  <si>
    <t>13/04/2017</t>
  </si>
  <si>
    <t>10002268</t>
  </si>
  <si>
    <t>Mount Vernon</t>
  </si>
  <si>
    <t>10004007</t>
  </si>
  <si>
    <t>09/11/2015</t>
  </si>
  <si>
    <t>11/11/2015</t>
  </si>
  <si>
    <t>Jeremy Pistek</t>
  </si>
  <si>
    <t>15520</t>
  </si>
  <si>
    <t>10002743</t>
  </si>
  <si>
    <t>North Miami</t>
  </si>
  <si>
    <t>10003936</t>
  </si>
  <si>
    <t>04/02/2016</t>
  </si>
  <si>
    <t>10004405</t>
  </si>
  <si>
    <t>Madison</t>
  </si>
  <si>
    <t>10003023</t>
  </si>
  <si>
    <t>16/09/2015</t>
  </si>
  <si>
    <t>Jessica Myrick</t>
  </si>
  <si>
    <t>15535</t>
  </si>
  <si>
    <t>10003543</t>
  </si>
  <si>
    <t>17/07/2016</t>
  </si>
  <si>
    <t>19/07/2016</t>
  </si>
  <si>
    <t>10003159</t>
  </si>
  <si>
    <t>Jesus Ocampo</t>
  </si>
  <si>
    <t>15550</t>
  </si>
  <si>
    <t>10000027</t>
  </si>
  <si>
    <t>30/06/2016</t>
  </si>
  <si>
    <t>Jill Fjeld</t>
  </si>
  <si>
    <t>15565</t>
  </si>
  <si>
    <t>10001979</t>
  </si>
  <si>
    <t>11/10/2015</t>
  </si>
  <si>
    <t>10003816</t>
  </si>
  <si>
    <t>10001943</t>
  </si>
  <si>
    <t>14/08/2017</t>
  </si>
  <si>
    <t>Jill Matthias</t>
  </si>
  <si>
    <t>15580</t>
  </si>
  <si>
    <t>10000551</t>
  </si>
  <si>
    <t>25/04/2016</t>
  </si>
  <si>
    <t>28/04/2016</t>
  </si>
  <si>
    <t>Jill Stevenson</t>
  </si>
  <si>
    <t>15595</t>
  </si>
  <si>
    <t>10002071</t>
  </si>
  <si>
    <t>Jim Epp</t>
  </si>
  <si>
    <t>15610</t>
  </si>
  <si>
    <t>10003476</t>
  </si>
  <si>
    <t>10001153</t>
  </si>
  <si>
    <t>31/05/2015</t>
  </si>
  <si>
    <t>05/06/2015</t>
  </si>
  <si>
    <t>Jim Karlsson</t>
  </si>
  <si>
    <t>15625</t>
  </si>
  <si>
    <t>10002680</t>
  </si>
  <si>
    <t>10003833</t>
  </si>
  <si>
    <t>10000174</t>
  </si>
  <si>
    <t>Jim Kriz</t>
  </si>
  <si>
    <t>15640</t>
  </si>
  <si>
    <t>10001940</t>
  </si>
  <si>
    <t>02/11/2017</t>
  </si>
  <si>
    <t>Jim Mitchum</t>
  </si>
  <si>
    <t>15655</t>
  </si>
  <si>
    <t>Bridgeton</t>
  </si>
  <si>
    <t>10000419</t>
  </si>
  <si>
    <t>08/04/2015</t>
  </si>
  <si>
    <t>15/04/2015</t>
  </si>
  <si>
    <t>10000611</t>
  </si>
  <si>
    <t>Jim Radford</t>
  </si>
  <si>
    <t>15670</t>
  </si>
  <si>
    <t>10002574</t>
  </si>
  <si>
    <t>Jim Sink</t>
  </si>
  <si>
    <t>15685</t>
  </si>
  <si>
    <t>10004930</t>
  </si>
  <si>
    <t>23/10/2018</t>
  </si>
  <si>
    <t>Jocasta Rupert</t>
  </si>
  <si>
    <t>15700</t>
  </si>
  <si>
    <t>12/07/2017</t>
  </si>
  <si>
    <t>Joe Elijah</t>
  </si>
  <si>
    <t>15715</t>
  </si>
  <si>
    <t>Broomfield</t>
  </si>
  <si>
    <t>10003996</t>
  </si>
  <si>
    <t>Joe Kamberova</t>
  </si>
  <si>
    <t>15730</t>
  </si>
  <si>
    <t>10001571</t>
  </si>
  <si>
    <t>20/05/2017</t>
  </si>
  <si>
    <t>Asheville</t>
  </si>
  <si>
    <t>10001530</t>
  </si>
  <si>
    <t>Joel Eaton</t>
  </si>
  <si>
    <t>15745</t>
  </si>
  <si>
    <t>10004318</t>
  </si>
  <si>
    <t>10003194</t>
  </si>
  <si>
    <t>26/04/2016</t>
  </si>
  <si>
    <t>02/05/2016</t>
  </si>
  <si>
    <t>10000513</t>
  </si>
  <si>
    <t>10000167</t>
  </si>
  <si>
    <t>10004698</t>
  </si>
  <si>
    <t>10004114</t>
  </si>
  <si>
    <t>10000665</t>
  </si>
  <si>
    <t>10004975</t>
  </si>
  <si>
    <t>Rockville</t>
  </si>
  <si>
    <t>10001270</t>
  </si>
  <si>
    <t>Joel Jenkins</t>
  </si>
  <si>
    <t>15760</t>
  </si>
  <si>
    <t>10000658</t>
  </si>
  <si>
    <t>25/12/2015</t>
  </si>
  <si>
    <t>John Castell</t>
  </si>
  <si>
    <t>15775</t>
  </si>
  <si>
    <t>10004409</t>
  </si>
  <si>
    <t>Tallahassee</t>
  </si>
  <si>
    <t>10000369</t>
  </si>
  <si>
    <t>Macon</t>
  </si>
  <si>
    <t>10002878</t>
  </si>
  <si>
    <t>John Dryer</t>
  </si>
  <si>
    <t>15790</t>
  </si>
  <si>
    <t>10003329</t>
  </si>
  <si>
    <t>John Grady</t>
  </si>
  <si>
    <t>15805</t>
  </si>
  <si>
    <t>10003045</t>
  </si>
  <si>
    <t>John Huston</t>
  </si>
  <si>
    <t>15820</t>
  </si>
  <si>
    <t>10003692</t>
  </si>
  <si>
    <t>30/03/2016</t>
  </si>
  <si>
    <t>23/04/2015</t>
  </si>
  <si>
    <t>John Lee</t>
  </si>
  <si>
    <t>15835</t>
  </si>
  <si>
    <t>10002859</t>
  </si>
  <si>
    <t>Mission Viejo</t>
  </si>
  <si>
    <t>10000585</t>
  </si>
  <si>
    <t>10003722</t>
  </si>
  <si>
    <t>11/03/2016</t>
  </si>
  <si>
    <t>John Lucas</t>
  </si>
  <si>
    <t>15850</t>
  </si>
  <si>
    <t>29/04/2017</t>
  </si>
  <si>
    <t>10004614</t>
  </si>
  <si>
    <t>29/05/2016</t>
  </si>
  <si>
    <t>03/06/2016</t>
  </si>
  <si>
    <t>10004101</t>
  </si>
  <si>
    <t>John Murray</t>
  </si>
  <si>
    <t>15865</t>
  </si>
  <si>
    <t>10003281</t>
  </si>
  <si>
    <t>Las Vegas</t>
  </si>
  <si>
    <t>10002813</t>
  </si>
  <si>
    <t>10002255</t>
  </si>
  <si>
    <t>John Stevenson</t>
  </si>
  <si>
    <t>15880</t>
  </si>
  <si>
    <t>10003748</t>
  </si>
  <si>
    <t>10004442</t>
  </si>
  <si>
    <t>Jonathan Doherty</t>
  </si>
  <si>
    <t>15895</t>
  </si>
  <si>
    <t>10004848</t>
  </si>
  <si>
    <t>17/04/2015</t>
  </si>
  <si>
    <t>10000122</t>
  </si>
  <si>
    <t>Belleville</t>
  </si>
  <si>
    <t>10002105</t>
  </si>
  <si>
    <t>16/06/2016</t>
  </si>
  <si>
    <t>Jonathan Howell</t>
  </si>
  <si>
    <t>15910</t>
  </si>
  <si>
    <t>West Palm Beach</t>
  </si>
  <si>
    <t>10002844</t>
  </si>
  <si>
    <t>10002533</t>
  </si>
  <si>
    <t>Joni Blumstein</t>
  </si>
  <si>
    <t>15925</t>
  </si>
  <si>
    <t>10002018</t>
  </si>
  <si>
    <t>07/12/2015</t>
  </si>
  <si>
    <t>10001469</t>
  </si>
  <si>
    <t>17/01/2016</t>
  </si>
  <si>
    <t>24/01/2016</t>
  </si>
  <si>
    <t>Joni Sundaresam</t>
  </si>
  <si>
    <t>15940</t>
  </si>
  <si>
    <t>Park Ridge</t>
  </si>
  <si>
    <t>10002918</t>
  </si>
  <si>
    <t>03/05/2015</t>
  </si>
  <si>
    <t>05/05/2015</t>
  </si>
  <si>
    <t>Appleton</t>
  </si>
  <si>
    <t>10002195</t>
  </si>
  <si>
    <t>21/04/2018</t>
  </si>
  <si>
    <t>Joni Wasserman</t>
  </si>
  <si>
    <t>15955</t>
  </si>
  <si>
    <t>10000521</t>
  </si>
  <si>
    <t>Joseph Airdo</t>
  </si>
  <si>
    <t>15970</t>
  </si>
  <si>
    <t>10002923</t>
  </si>
  <si>
    <t>Joseph Holt</t>
  </si>
  <si>
    <t>15985</t>
  </si>
  <si>
    <t>Saginaw</t>
  </si>
  <si>
    <t>10000642</t>
  </si>
  <si>
    <t>22/12/2016</t>
  </si>
  <si>
    <t>10002472</t>
  </si>
  <si>
    <t>14/12/2015</t>
  </si>
  <si>
    <t>Joy Daniels</t>
  </si>
  <si>
    <t>16015</t>
  </si>
  <si>
    <t>10001249</t>
  </si>
  <si>
    <t>19/07/2017</t>
  </si>
  <si>
    <t>Joy Smith</t>
  </si>
  <si>
    <t>16030</t>
  </si>
  <si>
    <t>Hattiesburg</t>
  </si>
  <si>
    <t>10001185</t>
  </si>
  <si>
    <t>10004826</t>
  </si>
  <si>
    <t>10002534</t>
  </si>
  <si>
    <t>25/05/2017</t>
  </si>
  <si>
    <t>Julia Barnett</t>
  </si>
  <si>
    <t>16045</t>
  </si>
  <si>
    <t>10000755</t>
  </si>
  <si>
    <t>21/03/2016</t>
  </si>
  <si>
    <t>Julia West</t>
  </si>
  <si>
    <t>16075</t>
  </si>
  <si>
    <t>21/04/2016</t>
  </si>
  <si>
    <t>Juliana Krohn</t>
  </si>
  <si>
    <t>16090</t>
  </si>
  <si>
    <t>10001891</t>
  </si>
  <si>
    <t>Julie Creighton</t>
  </si>
  <si>
    <t>16105</t>
  </si>
  <si>
    <t>10004484</t>
  </si>
  <si>
    <t>10003739</t>
  </si>
  <si>
    <t>Durham</t>
  </si>
  <si>
    <t>Julie Kriz</t>
  </si>
  <si>
    <t>16120</t>
  </si>
  <si>
    <t>10003716</t>
  </si>
  <si>
    <t>10004327</t>
  </si>
  <si>
    <t>10/08/2016</t>
  </si>
  <si>
    <t>10003623</t>
  </si>
  <si>
    <t>Julie Prescott</t>
  </si>
  <si>
    <t>16135</t>
  </si>
  <si>
    <t>10001267</t>
  </si>
  <si>
    <t>22/12/2017</t>
  </si>
  <si>
    <t>Justin Deggeller</t>
  </si>
  <si>
    <t>16150</t>
  </si>
  <si>
    <t>10000732</t>
  </si>
  <si>
    <t>10000422</t>
  </si>
  <si>
    <t>29/12/2016</t>
  </si>
  <si>
    <t>10001468</t>
  </si>
  <si>
    <t>10002350</t>
  </si>
  <si>
    <t>Justin Ellison</t>
  </si>
  <si>
    <t>16165</t>
  </si>
  <si>
    <t>10000215</t>
  </si>
  <si>
    <t>25/05/2016</t>
  </si>
  <si>
    <t>Justin Hirsh</t>
  </si>
  <si>
    <t>16180</t>
  </si>
  <si>
    <t>Pueblo</t>
  </si>
  <si>
    <t>10004487</t>
  </si>
  <si>
    <t>09/04/2017</t>
  </si>
  <si>
    <t>05/09/2015</t>
  </si>
  <si>
    <t>Justin MacKendrick</t>
  </si>
  <si>
    <t>16195</t>
  </si>
  <si>
    <t>10001303</t>
  </si>
  <si>
    <t>Draper</t>
  </si>
  <si>
    <t>10002396</t>
  </si>
  <si>
    <t>15/02/2016</t>
  </si>
  <si>
    <t>10004285</t>
  </si>
  <si>
    <t>Justin Ritter</t>
  </si>
  <si>
    <t>16210</t>
  </si>
  <si>
    <t>10004716</t>
  </si>
  <si>
    <t>18/09/2016</t>
  </si>
  <si>
    <t>10003198</t>
  </si>
  <si>
    <t>Kalyca Meade</t>
  </si>
  <si>
    <t>16225</t>
  </si>
  <si>
    <t>10001085</t>
  </si>
  <si>
    <t>06/07/2016</t>
  </si>
  <si>
    <t>10000817</t>
  </si>
  <si>
    <t>Karen Bern</t>
  </si>
  <si>
    <t>16240</t>
  </si>
  <si>
    <t>Saint Cloud</t>
  </si>
  <si>
    <t>10002305</t>
  </si>
  <si>
    <t>11/11/2016</t>
  </si>
  <si>
    <t>10000483</t>
  </si>
  <si>
    <t>06/02/2017</t>
  </si>
  <si>
    <t>10000723</t>
  </si>
  <si>
    <t>Karen Carlisle</t>
  </si>
  <si>
    <t>16255</t>
  </si>
  <si>
    <t>10000350</t>
  </si>
  <si>
    <t>11/09/2015</t>
  </si>
  <si>
    <t>Karen Daniels</t>
  </si>
  <si>
    <t>16270</t>
  </si>
  <si>
    <t>10000482</t>
  </si>
  <si>
    <t>10002240</t>
  </si>
  <si>
    <t>10002926</t>
  </si>
  <si>
    <t>Karen Ferguson</t>
  </si>
  <si>
    <t>16285</t>
  </si>
  <si>
    <t>10003172</t>
  </si>
  <si>
    <t>Manteca</t>
  </si>
  <si>
    <t>10004359</t>
  </si>
  <si>
    <t>Karen Seio</t>
  </si>
  <si>
    <t>16300</t>
  </si>
  <si>
    <t>10000390</t>
  </si>
  <si>
    <t>15/03/2016</t>
  </si>
  <si>
    <t>Lehi</t>
  </si>
  <si>
    <t>10003356</t>
  </si>
  <si>
    <t>31/01/2016</t>
  </si>
  <si>
    <t>05/02/2016</t>
  </si>
  <si>
    <t>Karl Braun</t>
  </si>
  <si>
    <t>16315</t>
  </si>
  <si>
    <t>10003177</t>
  </si>
  <si>
    <t>Thomasville</t>
  </si>
  <si>
    <t>10003055</t>
  </si>
  <si>
    <t>Freeport</t>
  </si>
  <si>
    <t>10000411</t>
  </si>
  <si>
    <t>Katharine Harms</t>
  </si>
  <si>
    <t>16330</t>
  </si>
  <si>
    <t>Bowling Green</t>
  </si>
  <si>
    <t>10000988</t>
  </si>
  <si>
    <t>10003433</t>
  </si>
  <si>
    <t>17/06/2018</t>
  </si>
  <si>
    <t>Katherine Ducich</t>
  </si>
  <si>
    <t>16345</t>
  </si>
  <si>
    <t>10001721</t>
  </si>
  <si>
    <t>Katherine Hughes</t>
  </si>
  <si>
    <t>16360</t>
  </si>
  <si>
    <t>10003986</t>
  </si>
  <si>
    <t>03/04/2018</t>
  </si>
  <si>
    <t>Katherine Murray</t>
  </si>
  <si>
    <t>16375</t>
  </si>
  <si>
    <t>10003988</t>
  </si>
  <si>
    <t>Katherine Nockton</t>
  </si>
  <si>
    <t>16390</t>
  </si>
  <si>
    <t>05/03/2016</t>
  </si>
  <si>
    <t>09/03/2016</t>
  </si>
  <si>
    <t>10000562</t>
  </si>
  <si>
    <t>Katrina Bavinger</t>
  </si>
  <si>
    <t>16405</t>
  </si>
  <si>
    <t>10000418</t>
  </si>
  <si>
    <t>Katrina Willman</t>
  </si>
  <si>
    <t>16435</t>
  </si>
  <si>
    <t>10001158</t>
  </si>
  <si>
    <t>24/08/2016</t>
  </si>
  <si>
    <t>28/08/2016</t>
  </si>
  <si>
    <t>10000864</t>
  </si>
  <si>
    <t>16/12/2015</t>
  </si>
  <si>
    <t>Kean Nguyen</t>
  </si>
  <si>
    <t>16450</t>
  </si>
  <si>
    <t>10000591</t>
  </si>
  <si>
    <t>Kean Takahito</t>
  </si>
  <si>
    <t>16465</t>
  </si>
  <si>
    <t>10004465</t>
  </si>
  <si>
    <t>01/10/2015</t>
  </si>
  <si>
    <t>10002961</t>
  </si>
  <si>
    <t>12/05/2015</t>
  </si>
  <si>
    <t>17/05/2015</t>
  </si>
  <si>
    <t>Kean Thornton</t>
  </si>
  <si>
    <t>16480</t>
  </si>
  <si>
    <t>10002228</t>
  </si>
  <si>
    <t>10/03/2015</t>
  </si>
  <si>
    <t>10000078</t>
  </si>
  <si>
    <t>Keith Dawkins</t>
  </si>
  <si>
    <t>16495</t>
  </si>
  <si>
    <t>10001457</t>
  </si>
  <si>
    <t>10001149</t>
  </si>
  <si>
    <t>Keith Herrera</t>
  </si>
  <si>
    <t>16510</t>
  </si>
  <si>
    <t>10000158</t>
  </si>
  <si>
    <t>24/06/2016</t>
  </si>
  <si>
    <t>10003464</t>
  </si>
  <si>
    <t>10002043</t>
  </si>
  <si>
    <t>14/03/2015</t>
  </si>
  <si>
    <t>Kelly Andreada</t>
  </si>
  <si>
    <t>16525</t>
  </si>
  <si>
    <t>10002137</t>
  </si>
  <si>
    <t>20/02/2016</t>
  </si>
  <si>
    <t>23/02/2016</t>
  </si>
  <si>
    <t>Perth Amboy</t>
  </si>
  <si>
    <t>10003903</t>
  </si>
  <si>
    <t>Kelly Collister</t>
  </si>
  <si>
    <t>16540</t>
  </si>
  <si>
    <t>10004569</t>
  </si>
  <si>
    <t>Kelly Lampkin</t>
  </si>
  <si>
    <t>16555</t>
  </si>
  <si>
    <t>10004091</t>
  </si>
  <si>
    <t>Reno</t>
  </si>
  <si>
    <t>10003759</t>
  </si>
  <si>
    <t>15/06/2015</t>
  </si>
  <si>
    <t>10001520</t>
  </si>
  <si>
    <t>10002298</t>
  </si>
  <si>
    <t>Ken Black</t>
  </si>
  <si>
    <t>16585</t>
  </si>
  <si>
    <t>10003228</t>
  </si>
  <si>
    <t>Fremont</t>
  </si>
  <si>
    <t>Ken Brennan</t>
  </si>
  <si>
    <t>16600</t>
  </si>
  <si>
    <t>Taylor</t>
  </si>
  <si>
    <t>10004182</t>
  </si>
  <si>
    <t>10004156</t>
  </si>
  <si>
    <t>10004389</t>
  </si>
  <si>
    <t>Ken Heidel</t>
  </si>
  <si>
    <t>16630</t>
  </si>
  <si>
    <t>10000791</t>
  </si>
  <si>
    <t>Norman</t>
  </si>
  <si>
    <t>10001772</t>
  </si>
  <si>
    <t>29/07/2017</t>
  </si>
  <si>
    <t>10004345</t>
  </si>
  <si>
    <t>10/09/2018</t>
  </si>
  <si>
    <t>10003302</t>
  </si>
  <si>
    <t>Ken Lonsdale</t>
  </si>
  <si>
    <t>16645</t>
  </si>
  <si>
    <t>10003349</t>
  </si>
  <si>
    <t>31/07/2017</t>
  </si>
  <si>
    <t>06/08/2017</t>
  </si>
  <si>
    <t>10001005</t>
  </si>
  <si>
    <t>10002592</t>
  </si>
  <si>
    <t>10000840</t>
  </si>
  <si>
    <t>22/06/2016</t>
  </si>
  <si>
    <t>26/06/2016</t>
  </si>
  <si>
    <t>Layton</t>
  </si>
  <si>
    <t>10000490</t>
  </si>
  <si>
    <t>10002794</t>
  </si>
  <si>
    <t>Khloe Miller</t>
  </si>
  <si>
    <t>16660</t>
  </si>
  <si>
    <t>10003087</t>
  </si>
  <si>
    <t>Kimberly Carter</t>
  </si>
  <si>
    <t>16675</t>
  </si>
  <si>
    <t>Kristen Hastings</t>
  </si>
  <si>
    <t>16690</t>
  </si>
  <si>
    <t>10000149</t>
  </si>
  <si>
    <t>10000730</t>
  </si>
  <si>
    <t>27/05/2016</t>
  </si>
  <si>
    <t>10004507</t>
  </si>
  <si>
    <t>10003208</t>
  </si>
  <si>
    <t>10001474</t>
  </si>
  <si>
    <t>Kristina Nunn</t>
  </si>
  <si>
    <t>16705</t>
  </si>
  <si>
    <t>10004147</t>
  </si>
  <si>
    <t>10000912</t>
  </si>
  <si>
    <t>10002415</t>
  </si>
  <si>
    <t>10004261</t>
  </si>
  <si>
    <t>Kunst Miller</t>
  </si>
  <si>
    <t>16720</t>
  </si>
  <si>
    <t>10004633</t>
  </si>
  <si>
    <t>30/03/2015</t>
  </si>
  <si>
    <t>03/04/2015</t>
  </si>
  <si>
    <t>10001915</t>
  </si>
  <si>
    <t>Larry Hughes</t>
  </si>
  <si>
    <t>16750</t>
  </si>
  <si>
    <t>10002660</t>
  </si>
  <si>
    <t>Larry Tron</t>
  </si>
  <si>
    <t>16765</t>
  </si>
  <si>
    <t>10000441</t>
  </si>
  <si>
    <t>01/09/2015</t>
  </si>
  <si>
    <t>Escondido</t>
  </si>
  <si>
    <t>15/01/2017</t>
  </si>
  <si>
    <t>Laura Armstrong</t>
  </si>
  <si>
    <t>16780</t>
  </si>
  <si>
    <t>10000420</t>
  </si>
  <si>
    <t>10000965</t>
  </si>
  <si>
    <t>10003059</t>
  </si>
  <si>
    <t>Bangor</t>
  </si>
  <si>
    <t>Maine</t>
  </si>
  <si>
    <t>10001944</t>
  </si>
  <si>
    <t>29/06/2016</t>
  </si>
  <si>
    <t>10004708</t>
  </si>
  <si>
    <t>Laurel Beltran</t>
  </si>
  <si>
    <t>16795</t>
  </si>
  <si>
    <t>Highland Park</t>
  </si>
  <si>
    <t>10000285</t>
  </si>
  <si>
    <t>10001695</t>
  </si>
  <si>
    <t>10002500</t>
  </si>
  <si>
    <t>30/05/2015</t>
  </si>
  <si>
    <t>Laurel Elliston</t>
  </si>
  <si>
    <t>16810</t>
  </si>
  <si>
    <t>10004139</t>
  </si>
  <si>
    <t>Whittier</t>
  </si>
  <si>
    <t>19/05/2017</t>
  </si>
  <si>
    <t>10003746</t>
  </si>
  <si>
    <t>16/04/2016</t>
  </si>
  <si>
    <t>Lauren Leatherbury</t>
  </si>
  <si>
    <t>16840</t>
  </si>
  <si>
    <t>10002033</t>
  </si>
  <si>
    <t>10003875</t>
  </si>
  <si>
    <t>29/04/2015</t>
  </si>
  <si>
    <t>10001424</t>
  </si>
  <si>
    <t>10000443</t>
  </si>
  <si>
    <t>Lena Cacioppo</t>
  </si>
  <si>
    <t>16870</t>
  </si>
  <si>
    <t>10000476</t>
  </si>
  <si>
    <t>Thornton</t>
  </si>
  <si>
    <t>10003856</t>
  </si>
  <si>
    <t>10000029</t>
  </si>
  <si>
    <t>28/02/2017</t>
  </si>
  <si>
    <t>04/03/2017</t>
  </si>
  <si>
    <t>10001615</t>
  </si>
  <si>
    <t>Lena Creighton</t>
  </si>
  <si>
    <t>16885</t>
  </si>
  <si>
    <t>10004774</t>
  </si>
  <si>
    <t>10001546</t>
  </si>
  <si>
    <t>10000486</t>
  </si>
  <si>
    <t>10004531</t>
  </si>
  <si>
    <t>Champaign</t>
  </si>
  <si>
    <t>10004904</t>
  </si>
  <si>
    <t>19/10/2017</t>
  </si>
  <si>
    <t>10001804</t>
  </si>
  <si>
    <t>Lena Hernandez</t>
  </si>
  <si>
    <t>16900</t>
  </si>
  <si>
    <t>10000711</t>
  </si>
  <si>
    <t>10002167</t>
  </si>
  <si>
    <t>Lena Radford</t>
  </si>
  <si>
    <t>16915</t>
  </si>
  <si>
    <t>10001856</t>
  </si>
  <si>
    <t>10001476</t>
  </si>
  <si>
    <t>26/08/2017</t>
  </si>
  <si>
    <t>Linda Cazamias</t>
  </si>
  <si>
    <t>16930</t>
  </si>
  <si>
    <t>10004571</t>
  </si>
  <si>
    <t>20/02/2015</t>
  </si>
  <si>
    <t>26/02/2015</t>
  </si>
  <si>
    <t>10001284</t>
  </si>
  <si>
    <t>10002275</t>
  </si>
  <si>
    <t>28/05/2017</t>
  </si>
  <si>
    <t>02/10/2017</t>
  </si>
  <si>
    <t>Linda Southworth</t>
  </si>
  <si>
    <t>16945</t>
  </si>
  <si>
    <t>10004853</t>
  </si>
  <si>
    <t>Lindsay Shagiari</t>
  </si>
  <si>
    <t>16975</t>
  </si>
  <si>
    <t>10001033</t>
  </si>
  <si>
    <t>10004154</t>
  </si>
  <si>
    <t>30/07/2017</t>
  </si>
  <si>
    <t>10002353</t>
  </si>
  <si>
    <t>Lindsay Williams</t>
  </si>
  <si>
    <t>16990</t>
  </si>
  <si>
    <t>10003092</t>
  </si>
  <si>
    <t>09/03/2018</t>
  </si>
  <si>
    <t>10001908</t>
  </si>
  <si>
    <t>10003129</t>
  </si>
  <si>
    <t>10003392</t>
  </si>
  <si>
    <t>Lisa DeCherney</t>
  </si>
  <si>
    <t>17005</t>
  </si>
  <si>
    <t>10001336</t>
  </si>
  <si>
    <t>Lisa Hazard</t>
  </si>
  <si>
    <t>17020</t>
  </si>
  <si>
    <t>10001071</t>
  </si>
  <si>
    <t>08/02/2016</t>
  </si>
  <si>
    <t>10003931</t>
  </si>
  <si>
    <t>Lisa Ryan</t>
  </si>
  <si>
    <t>17035</t>
  </si>
  <si>
    <t>10001564</t>
  </si>
  <si>
    <t>20/08/2018</t>
  </si>
  <si>
    <t>10004768</t>
  </si>
  <si>
    <t>10004290</t>
  </si>
  <si>
    <t>31/01/2015</t>
  </si>
  <si>
    <t>Liz Carlisle</t>
  </si>
  <si>
    <t>17050</t>
  </si>
  <si>
    <t>10003966</t>
  </si>
  <si>
    <t>Liz Preis</t>
  </si>
  <si>
    <t>17095</t>
  </si>
  <si>
    <t>22/10/2016</t>
  </si>
  <si>
    <t>Liz Thompson</t>
  </si>
  <si>
    <t>17110</t>
  </si>
  <si>
    <t>10000301</t>
  </si>
  <si>
    <t>Orange</t>
  </si>
  <si>
    <t>10001725</t>
  </si>
  <si>
    <t>10003752</t>
  </si>
  <si>
    <t>10004675</t>
  </si>
  <si>
    <t>Logan Currie</t>
  </si>
  <si>
    <t>17140</t>
  </si>
  <si>
    <t>10002947</t>
  </si>
  <si>
    <t>10003664</t>
  </si>
  <si>
    <t>08/12/2016</t>
  </si>
  <si>
    <t>10001765</t>
  </si>
  <si>
    <t>Logan Haushalter</t>
  </si>
  <si>
    <t>17155</t>
  </si>
  <si>
    <t>10000689</t>
  </si>
  <si>
    <t>10003555</t>
  </si>
  <si>
    <t>15/12/2017</t>
  </si>
  <si>
    <t>10002965</t>
  </si>
  <si>
    <t>28/10/2018</t>
  </si>
  <si>
    <t>Lori Olson</t>
  </si>
  <si>
    <t>17170</t>
  </si>
  <si>
    <t>10004386</t>
  </si>
  <si>
    <t>Luke Foster</t>
  </si>
  <si>
    <t>17185</t>
  </si>
  <si>
    <t>10003327</t>
  </si>
  <si>
    <t>10002621</t>
  </si>
  <si>
    <t>Luke Schmidt</t>
  </si>
  <si>
    <t>17200</t>
  </si>
  <si>
    <t>10002763</t>
  </si>
  <si>
    <t>22/10/2015</t>
  </si>
  <si>
    <t>Texarkana</t>
  </si>
  <si>
    <t>Luke Weiss</t>
  </si>
  <si>
    <t>17215</t>
  </si>
  <si>
    <t>10002026</t>
  </si>
  <si>
    <t>10001767</t>
  </si>
  <si>
    <t>17/05/2017</t>
  </si>
  <si>
    <t>10000279</t>
  </si>
  <si>
    <t>10000586</t>
  </si>
  <si>
    <t>20/06/2016</t>
  </si>
  <si>
    <t>Lycoris Saunders</t>
  </si>
  <si>
    <t>17230</t>
  </si>
  <si>
    <t>10001028</t>
  </si>
  <si>
    <t>Lynn Smith</t>
  </si>
  <si>
    <t>17245</t>
  </si>
  <si>
    <t>10000136</t>
  </si>
  <si>
    <t>Gladstone</t>
  </si>
  <si>
    <t>10001290</t>
  </si>
  <si>
    <t>10002170</t>
  </si>
  <si>
    <t>19/07/2018</t>
  </si>
  <si>
    <t>Magdelene Morse</t>
  </si>
  <si>
    <t>17260</t>
  </si>
  <si>
    <t>10004094</t>
  </si>
  <si>
    <t>22/03/2017</t>
  </si>
  <si>
    <t>Marc Crier</t>
  </si>
  <si>
    <t>17275</t>
  </si>
  <si>
    <t>10004754</t>
  </si>
  <si>
    <t>13/03/2016</t>
  </si>
  <si>
    <t>Marc Harrigan</t>
  </si>
  <si>
    <t>17290</t>
  </si>
  <si>
    <t>Maria Bertelson</t>
  </si>
  <si>
    <t>17305</t>
  </si>
  <si>
    <t>10002666</t>
  </si>
  <si>
    <t>04/04/2017</t>
  </si>
  <si>
    <t>Maria Etezadi</t>
  </si>
  <si>
    <t>17320</t>
  </si>
  <si>
    <t>10001448</t>
  </si>
  <si>
    <t>10004868</t>
  </si>
  <si>
    <t>10000977</t>
  </si>
  <si>
    <t>Maria Zettner</t>
  </si>
  <si>
    <t>17335</t>
  </si>
  <si>
    <t>10003489</t>
  </si>
  <si>
    <t>10004587</t>
  </si>
  <si>
    <t>Maribeth Dona</t>
  </si>
  <si>
    <t>17350</t>
  </si>
  <si>
    <t>10001434</t>
  </si>
  <si>
    <t>10004540</t>
  </si>
  <si>
    <t>Maribeth Schnelling</t>
  </si>
  <si>
    <t>17365</t>
  </si>
  <si>
    <t>10001295</t>
  </si>
  <si>
    <t>01/04/2018</t>
  </si>
  <si>
    <t>10003663</t>
  </si>
  <si>
    <t>22/09/2015</t>
  </si>
  <si>
    <t>Boca Raton</t>
  </si>
  <si>
    <t>10001613</t>
  </si>
  <si>
    <t>Maribeth Yedwab</t>
  </si>
  <si>
    <t>17380</t>
  </si>
  <si>
    <t>10004008</t>
  </si>
  <si>
    <t>Parker</t>
  </si>
  <si>
    <t>10001670</t>
  </si>
  <si>
    <t>10000520</t>
  </si>
  <si>
    <t>Maris LaWare</t>
  </si>
  <si>
    <t>17410</t>
  </si>
  <si>
    <t>10001079</t>
  </si>
  <si>
    <t>Mark Cousins</t>
  </si>
  <si>
    <t>17425</t>
  </si>
  <si>
    <t>10000087</t>
  </si>
  <si>
    <t>Mobile</t>
  </si>
  <si>
    <t>10001685</t>
  </si>
  <si>
    <t>Mark Hamilton</t>
  </si>
  <si>
    <t>17455</t>
  </si>
  <si>
    <t>10003773</t>
  </si>
  <si>
    <t>10003885</t>
  </si>
  <si>
    <t>17/11/2015</t>
  </si>
  <si>
    <t>21/11/2015</t>
  </si>
  <si>
    <t>Mark Packer</t>
  </si>
  <si>
    <t>17470</t>
  </si>
  <si>
    <t>Moorhead</t>
  </si>
  <si>
    <t>14/10/2016</t>
  </si>
  <si>
    <t>10002613</t>
  </si>
  <si>
    <t>10004528</t>
  </si>
  <si>
    <t>Mark Van Huff</t>
  </si>
  <si>
    <t>17485</t>
  </si>
  <si>
    <t>10001815</t>
  </si>
  <si>
    <t>03/04/2016</t>
  </si>
  <si>
    <t>10000636</t>
  </si>
  <si>
    <t>09/09/2017</t>
  </si>
  <si>
    <t>Mary O'Rourke</t>
  </si>
  <si>
    <t>17500</t>
  </si>
  <si>
    <t>10004761</t>
  </si>
  <si>
    <t>Mary Zewe</t>
  </si>
  <si>
    <t>17515</t>
  </si>
  <si>
    <t>10003784</t>
  </si>
  <si>
    <t>Reading</t>
  </si>
  <si>
    <t>10002562</t>
  </si>
  <si>
    <t>Redlands</t>
  </si>
  <si>
    <t>10001509</t>
  </si>
  <si>
    <t>MaryBeth Skach</t>
  </si>
  <si>
    <t>17530</t>
  </si>
  <si>
    <t>10003001</t>
  </si>
  <si>
    <t>30/08/2018</t>
  </si>
  <si>
    <t>Mathew Reese</t>
  </si>
  <si>
    <t>17545</t>
  </si>
  <si>
    <t>10002352</t>
  </si>
  <si>
    <t>07/10/2015</t>
  </si>
  <si>
    <t>10000222</t>
  </si>
  <si>
    <t>Matt Abelman</t>
  </si>
  <si>
    <t>17560</t>
  </si>
  <si>
    <t>10000249</t>
  </si>
  <si>
    <t>10000743</t>
  </si>
  <si>
    <t>Matt Collins</t>
  </si>
  <si>
    <t>17575</t>
  </si>
  <si>
    <t>13/12/2016</t>
  </si>
  <si>
    <t>Matt Collister</t>
  </si>
  <si>
    <t>17590</t>
  </si>
  <si>
    <t>Coachella</t>
  </si>
  <si>
    <t>10002289</t>
  </si>
  <si>
    <t>10001635</t>
  </si>
  <si>
    <t>Matt Connell</t>
  </si>
  <si>
    <t>17605</t>
  </si>
  <si>
    <t>10003622</t>
  </si>
  <si>
    <t>Lakeland</t>
  </si>
  <si>
    <t>10004667</t>
  </si>
  <si>
    <t>21/02/2017</t>
  </si>
  <si>
    <t>26/02/2017</t>
  </si>
  <si>
    <t>Matthew Clasen</t>
  </si>
  <si>
    <t>17635</t>
  </si>
  <si>
    <t>10004227</t>
  </si>
  <si>
    <t>12/10/2018</t>
  </si>
  <si>
    <t>Matthew Grinstein</t>
  </si>
  <si>
    <t>17650</t>
  </si>
  <si>
    <t>10002085</t>
  </si>
  <si>
    <t>10001754</t>
  </si>
  <si>
    <t>28/10/2015</t>
  </si>
  <si>
    <t>Maureen Gastineau</t>
  </si>
  <si>
    <t>17680</t>
  </si>
  <si>
    <t>10001090</t>
  </si>
  <si>
    <t>Maurice Satty</t>
  </si>
  <si>
    <t>17710</t>
  </si>
  <si>
    <t>10003727</t>
  </si>
  <si>
    <t>26/05/2017</t>
  </si>
  <si>
    <t>10004621</t>
  </si>
  <si>
    <t>Max Engle</t>
  </si>
  <si>
    <t>17725</t>
  </si>
  <si>
    <t>10001044</t>
  </si>
  <si>
    <t>21/08/2017</t>
  </si>
  <si>
    <t>10001989</t>
  </si>
  <si>
    <t>Max Jones</t>
  </si>
  <si>
    <t>17740</t>
  </si>
  <si>
    <t>10004002</t>
  </si>
  <si>
    <t>10000984</t>
  </si>
  <si>
    <t>10002421</t>
  </si>
  <si>
    <t>Max Ludwig</t>
  </si>
  <si>
    <t>17755</t>
  </si>
  <si>
    <t>10004752</t>
  </si>
  <si>
    <t>10004451</t>
  </si>
  <si>
    <t>Maxwell Schwartz</t>
  </si>
  <si>
    <t>17770</t>
  </si>
  <si>
    <t>10004901</t>
  </si>
  <si>
    <t>30/08/2017</t>
  </si>
  <si>
    <t>10003021</t>
  </si>
  <si>
    <t>Maya Herman</t>
  </si>
  <si>
    <t>17785</t>
  </si>
  <si>
    <t>10001272</t>
  </si>
  <si>
    <t>Lindenhurst</t>
  </si>
  <si>
    <t>10004071</t>
  </si>
  <si>
    <t>10002607</t>
  </si>
  <si>
    <t>Meg O'Connel</t>
  </si>
  <si>
    <t>17800</t>
  </si>
  <si>
    <t>10000221</t>
  </si>
  <si>
    <t>10004607</t>
  </si>
  <si>
    <t>10000785</t>
  </si>
  <si>
    <t>09/06/2018</t>
  </si>
  <si>
    <t>10002759</t>
  </si>
  <si>
    <t>Meg Tillman</t>
  </si>
  <si>
    <t>17815</t>
  </si>
  <si>
    <t>10000321</t>
  </si>
  <si>
    <t>10002600</t>
  </si>
  <si>
    <t>09/01/2015</t>
  </si>
  <si>
    <t>13/01/2015</t>
  </si>
  <si>
    <t>Melanie Seite</t>
  </si>
  <si>
    <t>17830</t>
  </si>
  <si>
    <t>Laredo</t>
  </si>
  <si>
    <t>10004078</t>
  </si>
  <si>
    <t>Michael Chen</t>
  </si>
  <si>
    <t>17845</t>
  </si>
  <si>
    <t>10002030</t>
  </si>
  <si>
    <t>10002045</t>
  </si>
  <si>
    <t>Pasco</t>
  </si>
  <si>
    <t>10002988</t>
  </si>
  <si>
    <t>10003911</t>
  </si>
  <si>
    <t>10004256</t>
  </si>
  <si>
    <t>Michael Dominguez</t>
  </si>
  <si>
    <t>17860</t>
  </si>
  <si>
    <t>Michael Grace</t>
  </si>
  <si>
    <t>17875</t>
  </si>
  <si>
    <t>10003779</t>
  </si>
  <si>
    <t>10002645</t>
  </si>
  <si>
    <t>07/03/2018</t>
  </si>
  <si>
    <t>12/03/2018</t>
  </si>
  <si>
    <t>Michael Granlund</t>
  </si>
  <si>
    <t>17890</t>
  </si>
  <si>
    <t>10004510</t>
  </si>
  <si>
    <t>10002111</t>
  </si>
  <si>
    <t>Michael Kennedy</t>
  </si>
  <si>
    <t>17905</t>
  </si>
  <si>
    <t>Manchester</t>
  </si>
  <si>
    <t>10002412</t>
  </si>
  <si>
    <t>13/08/2018</t>
  </si>
  <si>
    <t>Michael Moore</t>
  </si>
  <si>
    <t>17920</t>
  </si>
  <si>
    <t>10001510</t>
  </si>
  <si>
    <t>10001511</t>
  </si>
  <si>
    <t>10000199</t>
  </si>
  <si>
    <t>Rome</t>
  </si>
  <si>
    <t>10000614</t>
  </si>
  <si>
    <t>10/01/2016</t>
  </si>
  <si>
    <t>15/01/2016</t>
  </si>
  <si>
    <t>10001889</t>
  </si>
  <si>
    <t>10/02/2018</t>
  </si>
  <si>
    <t>Michael Nguyen</t>
  </si>
  <si>
    <t>17935</t>
  </si>
  <si>
    <t>10002464</t>
  </si>
  <si>
    <t>07/04/2016</t>
  </si>
  <si>
    <t>Michael Oakman</t>
  </si>
  <si>
    <t>17950</t>
  </si>
  <si>
    <t>10001242</t>
  </si>
  <si>
    <t>Michael Paige</t>
  </si>
  <si>
    <t>17965</t>
  </si>
  <si>
    <t>10004712</t>
  </si>
  <si>
    <t>03/01/2018</t>
  </si>
  <si>
    <t>10004781</t>
  </si>
  <si>
    <t>10000198</t>
  </si>
  <si>
    <t>20/07/2016</t>
  </si>
  <si>
    <t>Port Saint Lucie</t>
  </si>
  <si>
    <t>10004709</t>
  </si>
  <si>
    <t>04/07/2015</t>
  </si>
  <si>
    <t>Michael Stewart</t>
  </si>
  <si>
    <t>17980</t>
  </si>
  <si>
    <t>10002005</t>
  </si>
  <si>
    <t>10001266</t>
  </si>
  <si>
    <t>10001527</t>
  </si>
  <si>
    <t>Michelle Arnett</t>
  </si>
  <si>
    <t>17995</t>
  </si>
  <si>
    <t>10001366</t>
  </si>
  <si>
    <t>10003160</t>
  </si>
  <si>
    <t>21/05/2016</t>
  </si>
  <si>
    <t>Michelle Ellison</t>
  </si>
  <si>
    <t>18010</t>
  </si>
  <si>
    <t>10001636</t>
  </si>
  <si>
    <t>21/07/2015</t>
  </si>
  <si>
    <t>25/07/2015</t>
  </si>
  <si>
    <t>10002067</t>
  </si>
  <si>
    <t>25/07/2016</t>
  </si>
  <si>
    <t>27/07/2016</t>
  </si>
  <si>
    <t>Michelle Huthwaite</t>
  </si>
  <si>
    <t>18025</t>
  </si>
  <si>
    <t>10004395</t>
  </si>
  <si>
    <t>25/02/2018</t>
  </si>
  <si>
    <t>10002609</t>
  </si>
  <si>
    <t>Michelle Lonsdale</t>
  </si>
  <si>
    <t>18040</t>
  </si>
  <si>
    <t>Missouri City</t>
  </si>
  <si>
    <t>10002842</t>
  </si>
  <si>
    <t>Dearborn</t>
  </si>
  <si>
    <t>10004245</t>
  </si>
  <si>
    <t>Michelle Moray</t>
  </si>
  <si>
    <t>18055</t>
  </si>
  <si>
    <t>10000876</t>
  </si>
  <si>
    <t>10004330</t>
  </si>
  <si>
    <t>Michelle Tran</t>
  </si>
  <si>
    <t>18070</t>
  </si>
  <si>
    <t>10003923</t>
  </si>
  <si>
    <t>10003270</t>
  </si>
  <si>
    <t>15/12/2015</t>
  </si>
  <si>
    <t>18/12/2015</t>
  </si>
  <si>
    <t>Mick Crebagga</t>
  </si>
  <si>
    <t>18100</t>
  </si>
  <si>
    <t>10000169</t>
  </si>
  <si>
    <t>10004355</t>
  </si>
  <si>
    <t>Mick Hernandez</t>
  </si>
  <si>
    <t>18115</t>
  </si>
  <si>
    <t>Yonkers</t>
  </si>
  <si>
    <t>10003173</t>
  </si>
  <si>
    <t>10004381</t>
  </si>
  <si>
    <t>25/05/2018</t>
  </si>
  <si>
    <t>14/03/2018</t>
  </si>
  <si>
    <t>Chester</t>
  </si>
  <si>
    <t>10003958</t>
  </si>
  <si>
    <t>Mike Caudle</t>
  </si>
  <si>
    <t>18130</t>
  </si>
  <si>
    <t>10004968</t>
  </si>
  <si>
    <t>17/03/2017</t>
  </si>
  <si>
    <t>Monroe</t>
  </si>
  <si>
    <t>10003953</t>
  </si>
  <si>
    <t>Mike Gockenbach</t>
  </si>
  <si>
    <t>18145</t>
  </si>
  <si>
    <t>10004963</t>
  </si>
  <si>
    <t>10002049</t>
  </si>
  <si>
    <t>Mike Kennedy</t>
  </si>
  <si>
    <t>18160</t>
  </si>
  <si>
    <t>10000773</t>
  </si>
  <si>
    <t>10000726</t>
  </si>
  <si>
    <t>Mike Pelletier</t>
  </si>
  <si>
    <t>18175</t>
  </si>
  <si>
    <t>Mike Vittorini</t>
  </si>
  <si>
    <t>18190</t>
  </si>
  <si>
    <t>10000050</t>
  </si>
  <si>
    <t>Mitch Webber</t>
  </si>
  <si>
    <t>18220</t>
  </si>
  <si>
    <t>Coon Rapids</t>
  </si>
  <si>
    <t>10000877</t>
  </si>
  <si>
    <t>21/05/2015</t>
  </si>
  <si>
    <t>Mitch Willingham</t>
  </si>
  <si>
    <t>18235</t>
  </si>
  <si>
    <t>Virginia Beach</t>
  </si>
  <si>
    <t>10003925</t>
  </si>
  <si>
    <t>Muhammed MacIntyre</t>
  </si>
  <si>
    <t>18280</t>
  </si>
  <si>
    <t>10004187</t>
  </si>
  <si>
    <t>28/09/2017</t>
  </si>
  <si>
    <t>10003039</t>
  </si>
  <si>
    <t>Muhammed Yedwab</t>
  </si>
  <si>
    <t>18295</t>
  </si>
  <si>
    <t>Grapevine</t>
  </si>
  <si>
    <t>10001221</t>
  </si>
  <si>
    <t>28/04/2015</t>
  </si>
  <si>
    <t>10001628</t>
  </si>
  <si>
    <t>10000560</t>
  </si>
  <si>
    <t>20/10/2017</t>
  </si>
  <si>
    <t>25/10/2017</t>
  </si>
  <si>
    <t>El Cajon</t>
  </si>
  <si>
    <t>10001802</t>
  </si>
  <si>
    <t>10/05/2018</t>
  </si>
  <si>
    <t>10002897</t>
  </si>
  <si>
    <t>10000148</t>
  </si>
  <si>
    <t>Naresj Patel</t>
  </si>
  <si>
    <t>18325</t>
  </si>
  <si>
    <t>10002952</t>
  </si>
  <si>
    <t>Nat Carroll</t>
  </si>
  <si>
    <t>18340</t>
  </si>
  <si>
    <t>10003849</t>
  </si>
  <si>
    <t>20/05/2018</t>
  </si>
  <si>
    <t>22/05/2018</t>
  </si>
  <si>
    <t>10001953</t>
  </si>
  <si>
    <t>10000822</t>
  </si>
  <si>
    <t>Nat Gilpin</t>
  </si>
  <si>
    <t>18355</t>
  </si>
  <si>
    <t>Coral Springs</t>
  </si>
  <si>
    <t>10001937</t>
  </si>
  <si>
    <t>23/08/2018</t>
  </si>
  <si>
    <t>01/11/2015</t>
  </si>
  <si>
    <t>05/11/2015</t>
  </si>
  <si>
    <t>Natalie DeCherney</t>
  </si>
  <si>
    <t>18370</t>
  </si>
  <si>
    <t>10003641</t>
  </si>
  <si>
    <t>Natalie Fritzler</t>
  </si>
  <si>
    <t>18385</t>
  </si>
  <si>
    <t>10000015</t>
  </si>
  <si>
    <t>10002331</t>
  </si>
  <si>
    <t>Natalie Webber</t>
  </si>
  <si>
    <t>18400</t>
  </si>
  <si>
    <t>10003569</t>
  </si>
  <si>
    <t>10002598</t>
  </si>
  <si>
    <t>Nathan Cano</t>
  </si>
  <si>
    <t>18415</t>
  </si>
  <si>
    <t>10003606</t>
  </si>
  <si>
    <t>10004828</t>
  </si>
  <si>
    <t>Nathan Gelder</t>
  </si>
  <si>
    <t>18430</t>
  </si>
  <si>
    <t>10004757</t>
  </si>
  <si>
    <t>10002749</t>
  </si>
  <si>
    <t>Nathan Mautz</t>
  </si>
  <si>
    <t>18445</t>
  </si>
  <si>
    <t>10002602</t>
  </si>
  <si>
    <t>Neil Ducich</t>
  </si>
  <si>
    <t>18460</t>
  </si>
  <si>
    <t>10001787</t>
  </si>
  <si>
    <t>15/07/2016</t>
  </si>
  <si>
    <t>10000019</t>
  </si>
  <si>
    <t>14/06/2018</t>
  </si>
  <si>
    <t>10003805</t>
  </si>
  <si>
    <t>Neil Französisch</t>
  </si>
  <si>
    <t>18475</t>
  </si>
  <si>
    <t>10000948</t>
  </si>
  <si>
    <t>10000254</t>
  </si>
  <si>
    <t>Neil Knudson</t>
  </si>
  <si>
    <t>18490</t>
  </si>
  <si>
    <t>10003709</t>
  </si>
  <si>
    <t>26/10/2018</t>
  </si>
  <si>
    <t>Deltona</t>
  </si>
  <si>
    <t>10004956</t>
  </si>
  <si>
    <t>17/10/2017</t>
  </si>
  <si>
    <t>10001547</t>
  </si>
  <si>
    <t>02/05/2018</t>
  </si>
  <si>
    <t>Neoma Murray</t>
  </si>
  <si>
    <t>18520</t>
  </si>
  <si>
    <t>10003388</t>
  </si>
  <si>
    <t>Moreno Valley</t>
  </si>
  <si>
    <t>10002606</t>
  </si>
  <si>
    <t>27/10/2017</t>
  </si>
  <si>
    <t>Riverside</t>
  </si>
  <si>
    <t>10001892</t>
  </si>
  <si>
    <t>10003870</t>
  </si>
  <si>
    <t>10004270</t>
  </si>
  <si>
    <t>Nick Crebassa</t>
  </si>
  <si>
    <t>18535</t>
  </si>
  <si>
    <t>10003894</t>
  </si>
  <si>
    <t>11/06/2015</t>
  </si>
  <si>
    <t>Nick Radford</t>
  </si>
  <si>
    <t>18550</t>
  </si>
  <si>
    <t>10002041</t>
  </si>
  <si>
    <t>Chula Vista</t>
  </si>
  <si>
    <t>10001453</t>
  </si>
  <si>
    <t>Nick Zandusky</t>
  </si>
  <si>
    <t>18565</t>
  </si>
  <si>
    <t>10002983</t>
  </si>
  <si>
    <t>08/08/2018</t>
  </si>
  <si>
    <t>10001172</t>
  </si>
  <si>
    <t>Meridian</t>
  </si>
  <si>
    <t>Idaho</t>
  </si>
  <si>
    <t>10003247</t>
  </si>
  <si>
    <t>10001758</t>
  </si>
  <si>
    <t>23/08/2016</t>
  </si>
  <si>
    <t>08/04/2016</t>
  </si>
  <si>
    <t>Nicole Fjeld</t>
  </si>
  <si>
    <t>18595</t>
  </si>
  <si>
    <t>10000716</t>
  </si>
  <si>
    <t>Nicole Hansen</t>
  </si>
  <si>
    <t>18610</t>
  </si>
  <si>
    <t>10000682</t>
  </si>
  <si>
    <t>01/07/2018</t>
  </si>
  <si>
    <t>Pomona</t>
  </si>
  <si>
    <t>10002135</t>
  </si>
  <si>
    <t>10002518</t>
  </si>
  <si>
    <t>Noah Childs</t>
  </si>
  <si>
    <t>18625</t>
  </si>
  <si>
    <t>10004575</t>
  </si>
  <si>
    <t>Noel Staavos</t>
  </si>
  <si>
    <t>18640</t>
  </si>
  <si>
    <t>12/07/2018</t>
  </si>
  <si>
    <t>10001130</t>
  </si>
  <si>
    <t>Nona Balk</t>
  </si>
  <si>
    <t>18655</t>
  </si>
  <si>
    <t>27/02/2016</t>
  </si>
  <si>
    <t>01/03/2016</t>
  </si>
  <si>
    <t>Nora Paige</t>
  </si>
  <si>
    <t>18670</t>
  </si>
  <si>
    <t>10002076</t>
  </si>
  <si>
    <t>Edmond</t>
  </si>
  <si>
    <t>10002475</t>
  </si>
  <si>
    <t>Nora Pelletier</t>
  </si>
  <si>
    <t>18685</t>
  </si>
  <si>
    <t>Niagara Falls</t>
  </si>
  <si>
    <t>10003770</t>
  </si>
  <si>
    <t>Nora Preis</t>
  </si>
  <si>
    <t>18700</t>
  </si>
  <si>
    <t>10004420</t>
  </si>
  <si>
    <t>12/12/2015</t>
  </si>
  <si>
    <t>10004619</t>
  </si>
  <si>
    <t>Odella Nelson</t>
  </si>
  <si>
    <t>18715</t>
  </si>
  <si>
    <t>10000634</t>
  </si>
  <si>
    <t>10001034</t>
  </si>
  <si>
    <t>11/03/2017</t>
  </si>
  <si>
    <t>10000171</t>
  </si>
  <si>
    <t>02/07/2018</t>
  </si>
  <si>
    <t>Olvera Toch</t>
  </si>
  <si>
    <t>18730</t>
  </si>
  <si>
    <t>10002486</t>
  </si>
  <si>
    <t>10/06/2017</t>
  </si>
  <si>
    <t>10001297</t>
  </si>
  <si>
    <t>Pamela Coakley</t>
  </si>
  <si>
    <t>18745</t>
  </si>
  <si>
    <t>10002205</t>
  </si>
  <si>
    <t>Parhena Norris</t>
  </si>
  <si>
    <t>18775</t>
  </si>
  <si>
    <t>10000629</t>
  </si>
  <si>
    <t>10002564</t>
  </si>
  <si>
    <t>10000352</t>
  </si>
  <si>
    <t>Patricia Hirasaki</t>
  </si>
  <si>
    <t>18790</t>
  </si>
  <si>
    <t>10003379</t>
  </si>
  <si>
    <t>Patrick Bzostek</t>
  </si>
  <si>
    <t>18805</t>
  </si>
  <si>
    <t>Salt Lake City</t>
  </si>
  <si>
    <t>10000740</t>
  </si>
  <si>
    <t>09/05/2015</t>
  </si>
  <si>
    <t>Patrick Gardner</t>
  </si>
  <si>
    <t>18820</t>
  </si>
  <si>
    <t>15/02/2017</t>
  </si>
  <si>
    <t>22/02/2017</t>
  </si>
  <si>
    <t>10000076</t>
  </si>
  <si>
    <t>10003676</t>
  </si>
  <si>
    <t>Patrick Jones</t>
  </si>
  <si>
    <t>18835</t>
  </si>
  <si>
    <t>10002217</t>
  </si>
  <si>
    <t>10001532</t>
  </si>
  <si>
    <t>26/08/2018</t>
  </si>
  <si>
    <t>Patrick O'Brill</t>
  </si>
  <si>
    <t>18850</t>
  </si>
  <si>
    <t>10001459</t>
  </si>
  <si>
    <t>10003645</t>
  </si>
  <si>
    <t>10000556</t>
  </si>
  <si>
    <t>03/01/2019</t>
  </si>
  <si>
    <t>Patrick O'Donnell</t>
  </si>
  <si>
    <t>18865</t>
  </si>
  <si>
    <t>28/05/2018</t>
  </si>
  <si>
    <t>30/05/2018</t>
  </si>
  <si>
    <t>10000863</t>
  </si>
  <si>
    <t>20/10/2015</t>
  </si>
  <si>
    <t>Westland</t>
  </si>
  <si>
    <t>10001713</t>
  </si>
  <si>
    <t>23/12/2016</t>
  </si>
  <si>
    <t>Patrick Ryan</t>
  </si>
  <si>
    <t>18880</t>
  </si>
  <si>
    <t>Glenview</t>
  </si>
  <si>
    <t>10001750</t>
  </si>
  <si>
    <t>16/05/2015</t>
  </si>
  <si>
    <t>Paul Gonzalez</t>
  </si>
  <si>
    <t>18895</t>
  </si>
  <si>
    <t>10001465</t>
  </si>
  <si>
    <t>27/06/2018</t>
  </si>
  <si>
    <t>10001534</t>
  </si>
  <si>
    <t>10003472</t>
  </si>
  <si>
    <t>10001998</t>
  </si>
  <si>
    <t>Paul Knutson</t>
  </si>
  <si>
    <t>18910</t>
  </si>
  <si>
    <t>10000545</t>
  </si>
  <si>
    <t>04/04/2015</t>
  </si>
  <si>
    <t>09/04/2015</t>
  </si>
  <si>
    <t>10001641</t>
  </si>
  <si>
    <t>15/03/2017</t>
  </si>
  <si>
    <t>Paul Lucas</t>
  </si>
  <si>
    <t>18925</t>
  </si>
  <si>
    <t>10004855</t>
  </si>
  <si>
    <t>10001419</t>
  </si>
  <si>
    <t>10003166</t>
  </si>
  <si>
    <t>Paul Prost</t>
  </si>
  <si>
    <t>18955</t>
  </si>
  <si>
    <t>10000938</t>
  </si>
  <si>
    <t>05/02/2017</t>
  </si>
  <si>
    <t>10002344</t>
  </si>
  <si>
    <t>Paul Stevenson</t>
  </si>
  <si>
    <t>18970</t>
  </si>
  <si>
    <t>10000462</t>
  </si>
  <si>
    <t>30/04/2016</t>
  </si>
  <si>
    <t>05/05/2016</t>
  </si>
  <si>
    <t>10001146</t>
  </si>
  <si>
    <t>Paul Van Hugh</t>
  </si>
  <si>
    <t>18985</t>
  </si>
  <si>
    <t>10002854</t>
  </si>
  <si>
    <t>10001205</t>
  </si>
  <si>
    <t>01/08/2016</t>
  </si>
  <si>
    <t>07/08/2016</t>
  </si>
  <si>
    <t>Pauline Chand</t>
  </si>
  <si>
    <t>19000</t>
  </si>
  <si>
    <t>10001868</t>
  </si>
  <si>
    <t>Pauline Johnson</t>
  </si>
  <si>
    <t>19015</t>
  </si>
  <si>
    <t>10004835</t>
  </si>
  <si>
    <t>Pauline Webber</t>
  </si>
  <si>
    <t>19030</t>
  </si>
  <si>
    <t>10002713</t>
  </si>
  <si>
    <t>26/01/2018</t>
  </si>
  <si>
    <t>Penelope Sewall</t>
  </si>
  <si>
    <t>19045</t>
  </si>
  <si>
    <t>10004340</t>
  </si>
  <si>
    <t>Harrisonburg</t>
  </si>
  <si>
    <t>10004337</t>
  </si>
  <si>
    <t>07/03/2016</t>
  </si>
  <si>
    <t>Pete Armstrong</t>
  </si>
  <si>
    <t>19060</t>
  </si>
  <si>
    <t>10003156</t>
  </si>
  <si>
    <t>20/10/2016</t>
  </si>
  <si>
    <t>Orland Park</t>
  </si>
  <si>
    <t>10000844</t>
  </si>
  <si>
    <t>31/10/2017</t>
  </si>
  <si>
    <t>10004308</t>
  </si>
  <si>
    <t>Eau Claire</t>
  </si>
  <si>
    <t>10000666</t>
  </si>
  <si>
    <t>05/03/2018</t>
  </si>
  <si>
    <t>Pete Kriz</t>
  </si>
  <si>
    <t>19075</t>
  </si>
  <si>
    <t>10003537</t>
  </si>
  <si>
    <t>10004186</t>
  </si>
  <si>
    <t>Pete Takahito</t>
  </si>
  <si>
    <t>19090</t>
  </si>
  <si>
    <t>20/03/2017</t>
  </si>
  <si>
    <t>Peter Bühler</t>
  </si>
  <si>
    <t>19105</t>
  </si>
  <si>
    <t>10000004</t>
  </si>
  <si>
    <t>Peter Fuller</t>
  </si>
  <si>
    <t>19120</t>
  </si>
  <si>
    <t>10002245</t>
  </si>
  <si>
    <t>10002651</t>
  </si>
  <si>
    <t>Peter McVee</t>
  </si>
  <si>
    <t>19135</t>
  </si>
  <si>
    <t>10004545</t>
  </si>
  <si>
    <t>Philip Brown</t>
  </si>
  <si>
    <t>19150</t>
  </si>
  <si>
    <t>10004886</t>
  </si>
  <si>
    <t>14/07/2015</t>
  </si>
  <si>
    <t>10000760</t>
  </si>
  <si>
    <t>Philip Fox</t>
  </si>
  <si>
    <t>19165</t>
  </si>
  <si>
    <t>10004534</t>
  </si>
  <si>
    <t>27/08/2016</t>
  </si>
  <si>
    <t>10001218</t>
  </si>
  <si>
    <t>30/09/2016</t>
  </si>
  <si>
    <t>Philisse Overcash</t>
  </si>
  <si>
    <t>19180</t>
  </si>
  <si>
    <t>11/08/2016</t>
  </si>
  <si>
    <t>15/08/2016</t>
  </si>
  <si>
    <t>10001427</t>
  </si>
  <si>
    <t>Phillina Ober</t>
  </si>
  <si>
    <t>19195</t>
  </si>
  <si>
    <t>Bayonne</t>
  </si>
  <si>
    <t>10002006</t>
  </si>
  <si>
    <t>04/01/2015</t>
  </si>
  <si>
    <t>08/01/2015</t>
  </si>
  <si>
    <t>10003223</t>
  </si>
  <si>
    <t>13/02/2017</t>
  </si>
  <si>
    <t>Phillip Breyer</t>
  </si>
  <si>
    <t>19210</t>
  </si>
  <si>
    <t>10004897</t>
  </si>
  <si>
    <t>06/11/2017</t>
  </si>
  <si>
    <t>Phillip Flathmann</t>
  </si>
  <si>
    <t>19225</t>
  </si>
  <si>
    <t>10001190</t>
  </si>
  <si>
    <t>Pierre Wener</t>
  </si>
  <si>
    <t>19240</t>
  </si>
  <si>
    <t>10003481</t>
  </si>
  <si>
    <t>10000849</t>
  </si>
  <si>
    <t>Pensacola</t>
  </si>
  <si>
    <t>10000201</t>
  </si>
  <si>
    <t>Quincy Jones</t>
  </si>
  <si>
    <t>19255</t>
  </si>
  <si>
    <t>10002549</t>
  </si>
  <si>
    <t>17/12/2016</t>
  </si>
  <si>
    <t>Rachel Payne</t>
  </si>
  <si>
    <t>19270</t>
  </si>
  <si>
    <t>10000289</t>
  </si>
  <si>
    <t>Ralph Arnett</t>
  </si>
  <si>
    <t>19285</t>
  </si>
  <si>
    <t>10004015</t>
  </si>
  <si>
    <t>05/08/2017</t>
  </si>
  <si>
    <t>10002003</t>
  </si>
  <si>
    <t>10001574</t>
  </si>
  <si>
    <t>Ralph Kennedy</t>
  </si>
  <si>
    <t>19300</t>
  </si>
  <si>
    <t>South Bend</t>
  </si>
  <si>
    <t>10000464</t>
  </si>
  <si>
    <t>Ralph Ritter</t>
  </si>
  <si>
    <t>19315</t>
  </si>
  <si>
    <t>10000248</t>
  </si>
  <si>
    <t>Randy Bradley</t>
  </si>
  <si>
    <t>19330</t>
  </si>
  <si>
    <t>10000962</t>
  </si>
  <si>
    <t>Randy Ferguson</t>
  </si>
  <si>
    <t>19345</t>
  </si>
  <si>
    <t>10002931</t>
  </si>
  <si>
    <t>22/05/2015</t>
  </si>
  <si>
    <t>10000124</t>
  </si>
  <si>
    <t>10002553</t>
  </si>
  <si>
    <t>29/05/2017</t>
  </si>
  <si>
    <t>Raymond Buch</t>
  </si>
  <si>
    <t>19360</t>
  </si>
  <si>
    <t>10002414</t>
  </si>
  <si>
    <t>03/04/2017</t>
  </si>
  <si>
    <t>10000588</t>
  </si>
  <si>
    <t>11/04/2017</t>
  </si>
  <si>
    <t>Raymond Messe</t>
  </si>
  <si>
    <t>19375</t>
  </si>
  <si>
    <t>10001608</t>
  </si>
  <si>
    <t>Resi Pölking</t>
  </si>
  <si>
    <t>19390</t>
  </si>
  <si>
    <t>10002906</t>
  </si>
  <si>
    <t>10002522</t>
  </si>
  <si>
    <t>10001854</t>
  </si>
  <si>
    <t>10004140</t>
  </si>
  <si>
    <t>10003096</t>
  </si>
  <si>
    <t>10002319</t>
  </si>
  <si>
    <t>14/05/2017</t>
  </si>
  <si>
    <t>Ricardo Sperren</t>
  </si>
  <si>
    <t>19420</t>
  </si>
  <si>
    <t>10001260</t>
  </si>
  <si>
    <t>07/08/2015</t>
  </si>
  <si>
    <t>Meriden</t>
  </si>
  <si>
    <t>10002765</t>
  </si>
  <si>
    <t>08/01/2018</t>
  </si>
  <si>
    <t>11/01/2018</t>
  </si>
  <si>
    <t>10001950</t>
  </si>
  <si>
    <t>Richard Bierner</t>
  </si>
  <si>
    <t>19435</t>
  </si>
  <si>
    <t>10001736</t>
  </si>
  <si>
    <t>10002694</t>
  </si>
  <si>
    <t>02/07/2016</t>
  </si>
  <si>
    <t>10001293</t>
  </si>
  <si>
    <t>Richard Eichhorn</t>
  </si>
  <si>
    <t>19450</t>
  </si>
  <si>
    <t>Rick Bensley</t>
  </si>
  <si>
    <t>19465</t>
  </si>
  <si>
    <t>10003256</t>
  </si>
  <si>
    <t>10002034</t>
  </si>
  <si>
    <t>10002530</t>
  </si>
  <si>
    <t>10001001</t>
  </si>
  <si>
    <t>Rick Duston</t>
  </si>
  <si>
    <t>19480</t>
  </si>
  <si>
    <t>10002432</t>
  </si>
  <si>
    <t>Mishawaka</t>
  </si>
  <si>
    <t>10003876</t>
  </si>
  <si>
    <t>23/06/2016</t>
  </si>
  <si>
    <t>Olympia</t>
  </si>
  <si>
    <t>10004830</t>
  </si>
  <si>
    <t>10002185</t>
  </si>
  <si>
    <t>Rick Hansen</t>
  </si>
  <si>
    <t>19495</t>
  </si>
  <si>
    <t>10000223</t>
  </si>
  <si>
    <t>10000546</t>
  </si>
  <si>
    <t>10003033</t>
  </si>
  <si>
    <t>15/07/2017</t>
  </si>
  <si>
    <t>Rick Huthwaite</t>
  </si>
  <si>
    <t>19510</t>
  </si>
  <si>
    <t>10000952</t>
  </si>
  <si>
    <t>Manhattan</t>
  </si>
  <si>
    <t>10000038</t>
  </si>
  <si>
    <t>Rick Reed</t>
  </si>
  <si>
    <t>19525</t>
  </si>
  <si>
    <t>10001144</t>
  </si>
  <si>
    <t>Rick Wilson</t>
  </si>
  <si>
    <t>19540</t>
  </si>
  <si>
    <t>10000501</t>
  </si>
  <si>
    <t>10003374</t>
  </si>
  <si>
    <t>03/02/2016</t>
  </si>
  <si>
    <t>20/09/2017</t>
  </si>
  <si>
    <t>Rob Beeghly</t>
  </si>
  <si>
    <t>19570</t>
  </si>
  <si>
    <t>10000807</t>
  </si>
  <si>
    <t>10004532</t>
  </si>
  <si>
    <t>14/01/2018</t>
  </si>
  <si>
    <t>15/01/2018</t>
  </si>
  <si>
    <t>10002504</t>
  </si>
  <si>
    <t>Rob Dowd</t>
  </si>
  <si>
    <t>19585</t>
  </si>
  <si>
    <t>10003862</t>
  </si>
  <si>
    <t>10002852</t>
  </si>
  <si>
    <t>10002726</t>
  </si>
  <si>
    <t>10002485</t>
  </si>
  <si>
    <t>08/11/2016</t>
  </si>
  <si>
    <t>Rob Haberlin</t>
  </si>
  <si>
    <t>19600</t>
  </si>
  <si>
    <t>Hampton</t>
  </si>
  <si>
    <t>10003266</t>
  </si>
  <si>
    <t>10002345</t>
  </si>
  <si>
    <t>Rob Lucas</t>
  </si>
  <si>
    <t>19615</t>
  </si>
  <si>
    <t>10004477</t>
  </si>
  <si>
    <t>10001519</t>
  </si>
  <si>
    <t>Rob Williams</t>
  </si>
  <si>
    <t>19630</t>
  </si>
  <si>
    <t>10003495</t>
  </si>
  <si>
    <t>10001664</t>
  </si>
  <si>
    <t>10002115</t>
  </si>
  <si>
    <t>Torrance</t>
  </si>
  <si>
    <t>10001759</t>
  </si>
  <si>
    <t>25/03/2017</t>
  </si>
  <si>
    <t>Robert Barroso</t>
  </si>
  <si>
    <t>19645</t>
  </si>
  <si>
    <t>10001013</t>
  </si>
  <si>
    <t>Billings</t>
  </si>
  <si>
    <t>10002799</t>
  </si>
  <si>
    <t>Robert Marley</t>
  </si>
  <si>
    <t>19675</t>
  </si>
  <si>
    <t>10003273</t>
  </si>
  <si>
    <t>19/10/2016</t>
  </si>
  <si>
    <t>24/10/2016</t>
  </si>
  <si>
    <t>10000275</t>
  </si>
  <si>
    <t>Robert Waldorf</t>
  </si>
  <si>
    <t>19690</t>
  </si>
  <si>
    <t>10000159</t>
  </si>
  <si>
    <t>Roger Barcio</t>
  </si>
  <si>
    <t>19705</t>
  </si>
  <si>
    <t>10004738</t>
  </si>
  <si>
    <t>Roger Demir</t>
  </si>
  <si>
    <t>19720</t>
  </si>
  <si>
    <t>Daytona Beach</t>
  </si>
  <si>
    <t>10003237</t>
  </si>
  <si>
    <t>13/08/2015</t>
  </si>
  <si>
    <t>10004838</t>
  </si>
  <si>
    <t>Roland Fjeld</t>
  </si>
  <si>
    <t>19735</t>
  </si>
  <si>
    <t>10001299</t>
  </si>
  <si>
    <t>10000023</t>
  </si>
  <si>
    <t>22/07/2016</t>
  </si>
  <si>
    <t>10003095</t>
  </si>
  <si>
    <t>Trenton</t>
  </si>
  <si>
    <t>10003638</t>
  </si>
  <si>
    <t>11/03/2018</t>
  </si>
  <si>
    <t>Roland Murray</t>
  </si>
  <si>
    <t>19750</t>
  </si>
  <si>
    <t>10002254</t>
  </si>
  <si>
    <t>Roland Schwarz</t>
  </si>
  <si>
    <t>19765</t>
  </si>
  <si>
    <t>Summerville</t>
  </si>
  <si>
    <t>10002807</t>
  </si>
  <si>
    <t>24/05/2018</t>
  </si>
  <si>
    <t>10001154</t>
  </si>
  <si>
    <t>Rose O'Brian</t>
  </si>
  <si>
    <t>19780</t>
  </si>
  <si>
    <t>10001857</t>
  </si>
  <si>
    <t>29/07/2016</t>
  </si>
  <si>
    <t>Ross Baird</t>
  </si>
  <si>
    <t>19795</t>
  </si>
  <si>
    <t>10001524</t>
  </si>
  <si>
    <t>24/12/2017</t>
  </si>
  <si>
    <t>10001575</t>
  </si>
  <si>
    <t>21/04/2017</t>
  </si>
  <si>
    <t>Gastonia</t>
  </si>
  <si>
    <t>10004584</t>
  </si>
  <si>
    <t>18/02/2017</t>
  </si>
  <si>
    <t>Ross DeVincentis</t>
  </si>
  <si>
    <t>19810</t>
  </si>
  <si>
    <t>10004092</t>
  </si>
  <si>
    <t>27/12/2017</t>
  </si>
  <si>
    <t>Roy Collins</t>
  </si>
  <si>
    <t>19825</t>
  </si>
  <si>
    <t>10002445</t>
  </si>
  <si>
    <t>13/06/2017</t>
  </si>
  <si>
    <t>10001433</t>
  </si>
  <si>
    <t>10002986</t>
  </si>
  <si>
    <t>Roy Französisch</t>
  </si>
  <si>
    <t>19840</t>
  </si>
  <si>
    <t>10004249</t>
  </si>
  <si>
    <t>16/08/2017</t>
  </si>
  <si>
    <t>10002309</t>
  </si>
  <si>
    <t>Roy Phan</t>
  </si>
  <si>
    <t>19855</t>
  </si>
  <si>
    <t>Apopka</t>
  </si>
  <si>
    <t>10001757</t>
  </si>
  <si>
    <t>19/02/2016</t>
  </si>
  <si>
    <t>Kenosha</t>
  </si>
  <si>
    <t>10001819</t>
  </si>
  <si>
    <t>Ruben Ausman</t>
  </si>
  <si>
    <t>19885</t>
  </si>
  <si>
    <t>10003479</t>
  </si>
  <si>
    <t>Ruben Dartt</t>
  </si>
  <si>
    <t>19900</t>
  </si>
  <si>
    <t>10001990</t>
  </si>
  <si>
    <t>22/08/2018</t>
  </si>
  <si>
    <t>Russell Applegate</t>
  </si>
  <si>
    <t>19915</t>
  </si>
  <si>
    <t>10002276</t>
  </si>
  <si>
    <t>Encinitas</t>
  </si>
  <si>
    <t>10003364</t>
  </si>
  <si>
    <t>07/11/2015</t>
  </si>
  <si>
    <t>10001897</t>
  </si>
  <si>
    <t>10000696</t>
  </si>
  <si>
    <t>10004582</t>
  </si>
  <si>
    <t>10003058</t>
  </si>
  <si>
    <t>Russell D'Ascenzo</t>
  </si>
  <si>
    <t>19930</t>
  </si>
  <si>
    <t>Ryan Akin</t>
  </si>
  <si>
    <t>19945</t>
  </si>
  <si>
    <t>Murrieta</t>
  </si>
  <si>
    <t>10000046</t>
  </si>
  <si>
    <t>10001749</t>
  </si>
  <si>
    <t>Ryan Crowe</t>
  </si>
  <si>
    <t>19960</t>
  </si>
  <si>
    <t>10000621</t>
  </si>
  <si>
    <t>Sally Hughsby</t>
  </si>
  <si>
    <t>19975</t>
  </si>
  <si>
    <t>10000252</t>
  </si>
  <si>
    <t>10004467</t>
  </si>
  <si>
    <t>10000940</t>
  </si>
  <si>
    <t>10001415</t>
  </si>
  <si>
    <t>23/04/2018</t>
  </si>
  <si>
    <t>Sally Knutson</t>
  </si>
  <si>
    <t>19990</t>
  </si>
  <si>
    <t>10000026</t>
  </si>
  <si>
    <t>10001890</t>
  </si>
  <si>
    <t>Sally Matthias</t>
  </si>
  <si>
    <t>20005</t>
  </si>
  <si>
    <t>10004470</t>
  </si>
  <si>
    <t>Sam Zeldin</t>
  </si>
  <si>
    <t>20035</t>
  </si>
  <si>
    <t>30/11/2017</t>
  </si>
  <si>
    <t>Sample Company A</t>
  </si>
  <si>
    <t>20050</t>
  </si>
  <si>
    <t>10003484</t>
  </si>
  <si>
    <t>16/07/2018</t>
  </si>
  <si>
    <t>18/07/2018</t>
  </si>
  <si>
    <t>Sandra Flanagan</t>
  </si>
  <si>
    <t>20065</t>
  </si>
  <si>
    <t>10001177</t>
  </si>
  <si>
    <t>Sandra Glassco</t>
  </si>
  <si>
    <t>20080</t>
  </si>
  <si>
    <t>Independence</t>
  </si>
  <si>
    <t>10001058</t>
  </si>
  <si>
    <t>Sanjit Chand</t>
  </si>
  <si>
    <t>20095</t>
  </si>
  <si>
    <t>10002701</t>
  </si>
  <si>
    <t>10002116</t>
  </si>
  <si>
    <t>10002498</t>
  </si>
  <si>
    <t>18/02/2015</t>
  </si>
  <si>
    <t>10000225</t>
  </si>
  <si>
    <t>Sanjit Engle</t>
  </si>
  <si>
    <t>20110</t>
  </si>
  <si>
    <t>Wheeling</t>
  </si>
  <si>
    <t>10004671</t>
  </si>
  <si>
    <t>15/04/2016</t>
  </si>
  <si>
    <t>10003338</t>
  </si>
  <si>
    <t>26/04/2018</t>
  </si>
  <si>
    <t>Sanjit Jacobs</t>
  </si>
  <si>
    <t>20125</t>
  </si>
  <si>
    <t>10004597</t>
  </si>
  <si>
    <t>10003298</t>
  </si>
  <si>
    <t>21/09/2017</t>
  </si>
  <si>
    <t>10004875</t>
  </si>
  <si>
    <t>Saphhira Shifley</t>
  </si>
  <si>
    <t>20140</t>
  </si>
  <si>
    <t>Oak Park</t>
  </si>
  <si>
    <t>10000823</t>
  </si>
  <si>
    <t>10000798</t>
  </si>
  <si>
    <t>Sara Luxemburg</t>
  </si>
  <si>
    <t>20155</t>
  </si>
  <si>
    <t>Muskogee</t>
  </si>
  <si>
    <t>10000895</t>
  </si>
  <si>
    <t>18/06/2018</t>
  </si>
  <si>
    <t>Sarah Bern</t>
  </si>
  <si>
    <t>20170</t>
  </si>
  <si>
    <t>10000697</t>
  </si>
  <si>
    <t>Sarah Brown</t>
  </si>
  <si>
    <t>20185</t>
  </si>
  <si>
    <t>10001766</t>
  </si>
  <si>
    <t>Sarah Foster</t>
  </si>
  <si>
    <t>20200</t>
  </si>
  <si>
    <t>10004224</t>
  </si>
  <si>
    <t>01/11/2018</t>
  </si>
  <si>
    <t>Bellingham</t>
  </si>
  <si>
    <t>10001308</t>
  </si>
  <si>
    <t>Marysville</t>
  </si>
  <si>
    <t>Sarah Jordon</t>
  </si>
  <si>
    <t>20215</t>
  </si>
  <si>
    <t>10004912</t>
  </si>
  <si>
    <t>Scot Coram</t>
  </si>
  <si>
    <t>20230</t>
  </si>
  <si>
    <t>Scot Wooten</t>
  </si>
  <si>
    <t>20245</t>
  </si>
  <si>
    <t>20/07/2015</t>
  </si>
  <si>
    <t>Scott Cohen</t>
  </si>
  <si>
    <t>20260</t>
  </si>
  <si>
    <t>02/09/2016</t>
  </si>
  <si>
    <t>10002545</t>
  </si>
  <si>
    <t>Scott Williamson</t>
  </si>
  <si>
    <t>20275</t>
  </si>
  <si>
    <t>Royal Oak</t>
  </si>
  <si>
    <t>10002259</t>
  </si>
  <si>
    <t>Sean Braxton</t>
  </si>
  <si>
    <t>20290</t>
  </si>
  <si>
    <t>10002998</t>
  </si>
  <si>
    <t>10002399</t>
  </si>
  <si>
    <t>15/06/2018</t>
  </si>
  <si>
    <t>Sean Christensen</t>
  </si>
  <si>
    <t>20305</t>
  </si>
  <si>
    <t>Rochester Hills</t>
  </si>
  <si>
    <t>Sean Miller</t>
  </si>
  <si>
    <t>20320</t>
  </si>
  <si>
    <t>18/03/2015</t>
  </si>
  <si>
    <t>23/03/2015</t>
  </si>
  <si>
    <t>10003626</t>
  </si>
  <si>
    <t>Sean O'Donnell</t>
  </si>
  <si>
    <t>20335</t>
  </si>
  <si>
    <t>11/10/2016</t>
  </si>
  <si>
    <t>18/10/2016</t>
  </si>
  <si>
    <t>Fort Lauderdale</t>
  </si>
  <si>
    <t>10000577</t>
  </si>
  <si>
    <t>Sean Wendt</t>
  </si>
  <si>
    <t>20350</t>
  </si>
  <si>
    <t>10002555</t>
  </si>
  <si>
    <t>10/08/2018</t>
  </si>
  <si>
    <t>Seth Vernon</t>
  </si>
  <si>
    <t>20365</t>
  </si>
  <si>
    <t>10000468</t>
  </si>
  <si>
    <t>11/01/2015</t>
  </si>
  <si>
    <t>14/01/2015</t>
  </si>
  <si>
    <t>10000010</t>
  </si>
  <si>
    <t>Shahid Collister</t>
  </si>
  <si>
    <t>20380</t>
  </si>
  <si>
    <t>10002001</t>
  </si>
  <si>
    <t>11/07/2016</t>
  </si>
  <si>
    <t>10001763</t>
  </si>
  <si>
    <t>Shahid Hopkins</t>
  </si>
  <si>
    <t>20395</t>
  </si>
  <si>
    <t>10002804</t>
  </si>
  <si>
    <t>10002567</t>
  </si>
  <si>
    <t>10003910</t>
  </si>
  <si>
    <t>10004911</t>
  </si>
  <si>
    <t>Shaun Weien</t>
  </si>
  <si>
    <t>20455</t>
  </si>
  <si>
    <t>10001956</t>
  </si>
  <si>
    <t>Suffolk</t>
  </si>
  <si>
    <t>10003205</t>
  </si>
  <si>
    <t>20/05/2016</t>
  </si>
  <si>
    <t>24/05/2016</t>
  </si>
  <si>
    <t>Sheri Gordon</t>
  </si>
  <si>
    <t>20470</t>
  </si>
  <si>
    <t>Wilson</t>
  </si>
  <si>
    <t>10001986</t>
  </si>
  <si>
    <t>Shirley Daniels</t>
  </si>
  <si>
    <t>20485</t>
  </si>
  <si>
    <t>10004804</t>
  </si>
  <si>
    <t>10001826</t>
  </si>
  <si>
    <t>Alexandria</t>
  </si>
  <si>
    <t>Shirley Jackson</t>
  </si>
  <si>
    <t>20500</t>
  </si>
  <si>
    <t>10002133</t>
  </si>
  <si>
    <t>25/04/2018</t>
  </si>
  <si>
    <t>10002684</t>
  </si>
  <si>
    <t>Shui Tom</t>
  </si>
  <si>
    <t>20530</t>
  </si>
  <si>
    <t>10002070</t>
  </si>
  <si>
    <t>10001639</t>
  </si>
  <si>
    <t>06/02/2018</t>
  </si>
  <si>
    <t>12/02/2018</t>
  </si>
  <si>
    <t>Sibella Parks</t>
  </si>
  <si>
    <t>20545</t>
  </si>
  <si>
    <t>10002538</t>
  </si>
  <si>
    <t>10000563</t>
  </si>
  <si>
    <t>30/03/2017</t>
  </si>
  <si>
    <t>10001522</t>
  </si>
  <si>
    <t>09/10/2017</t>
  </si>
  <si>
    <t>11/10/2017</t>
  </si>
  <si>
    <t>10001593</t>
  </si>
  <si>
    <t>Skye Norling</t>
  </si>
  <si>
    <t>20560</t>
  </si>
  <si>
    <t>10000414</t>
  </si>
  <si>
    <t>10003732</t>
  </si>
  <si>
    <t>10001661</t>
  </si>
  <si>
    <t>Sonia Sunley</t>
  </si>
  <si>
    <t>20590</t>
  </si>
  <si>
    <t>10003148</t>
  </si>
  <si>
    <t>10002676</t>
  </si>
  <si>
    <t>Speros Goranitis</t>
  </si>
  <si>
    <t>20605</t>
  </si>
  <si>
    <t>10004255</t>
  </si>
  <si>
    <t>10002817</t>
  </si>
  <si>
    <t>06/01/2016</t>
  </si>
  <si>
    <t>12/01/2016</t>
  </si>
  <si>
    <t>Stefania Perrino</t>
  </si>
  <si>
    <t>20620</t>
  </si>
  <si>
    <t>10004041</t>
  </si>
  <si>
    <t>10001962</t>
  </si>
  <si>
    <t>Stephanie Phelps</t>
  </si>
  <si>
    <t>20650</t>
  </si>
  <si>
    <t>10002468</t>
  </si>
  <si>
    <t>16/04/2015</t>
  </si>
  <si>
    <t>20/04/2015</t>
  </si>
  <si>
    <t>10003478</t>
  </si>
  <si>
    <t>Stephanie Ulpright</t>
  </si>
  <si>
    <t>20665</t>
  </si>
  <si>
    <t>10000799</t>
  </si>
  <si>
    <t>10001838</t>
  </si>
  <si>
    <t>28/07/2017</t>
  </si>
  <si>
    <t>03/08/2017</t>
  </si>
  <si>
    <t>Steve Carroll</t>
  </si>
  <si>
    <t>20680</t>
  </si>
  <si>
    <t>Holland</t>
  </si>
  <si>
    <t>10000735</t>
  </si>
  <si>
    <t>Steve Chapman</t>
  </si>
  <si>
    <t>20695</t>
  </si>
  <si>
    <t>10004664</t>
  </si>
  <si>
    <t>Steve Nguyen</t>
  </si>
  <si>
    <t>20710</t>
  </si>
  <si>
    <t>10001718</t>
  </si>
  <si>
    <t>10002304</t>
  </si>
  <si>
    <t>Steven Cartwright</t>
  </si>
  <si>
    <t>20725</t>
  </si>
  <si>
    <t>10004967</t>
  </si>
  <si>
    <t>10002157</t>
  </si>
  <si>
    <t>24/02/2015</t>
  </si>
  <si>
    <t>Steven Roelle</t>
  </si>
  <si>
    <t>20740</t>
  </si>
  <si>
    <t>10003363</t>
  </si>
  <si>
    <t>Steven Ward</t>
  </si>
  <si>
    <t>20755</t>
  </si>
  <si>
    <t>10004634</t>
  </si>
  <si>
    <t>Stewart Carmichael</t>
  </si>
  <si>
    <t>20770</t>
  </si>
  <si>
    <t>10002118</t>
  </si>
  <si>
    <t>Stewart Visinsky</t>
  </si>
  <si>
    <t>20785</t>
  </si>
  <si>
    <t>10004511</t>
  </si>
  <si>
    <t>10001116</t>
  </si>
  <si>
    <t>Stuart Calhoun</t>
  </si>
  <si>
    <t>20800</t>
  </si>
  <si>
    <t>10001606</t>
  </si>
  <si>
    <t>Stuart Van</t>
  </si>
  <si>
    <t>20815</t>
  </si>
  <si>
    <t>10002922</t>
  </si>
  <si>
    <t>10001761</t>
  </si>
  <si>
    <t>Sue Ann Reed</t>
  </si>
  <si>
    <t>20830</t>
  </si>
  <si>
    <t>10001543</t>
  </si>
  <si>
    <t>10000121</t>
  </si>
  <si>
    <t>Sung Pak</t>
  </si>
  <si>
    <t>20860</t>
  </si>
  <si>
    <t>10001706</t>
  </si>
  <si>
    <t>10003373</t>
  </si>
  <si>
    <t>04/03/2018</t>
  </si>
  <si>
    <t>10001573</t>
  </si>
  <si>
    <t>Susan Gilcrest</t>
  </si>
  <si>
    <t>20890</t>
  </si>
  <si>
    <t>10001231</t>
  </si>
  <si>
    <t>Susan Vittorini</t>
  </si>
  <si>
    <t>20935</t>
  </si>
  <si>
    <t>10000409</t>
  </si>
  <si>
    <t>10000487</t>
  </si>
  <si>
    <t>Suzanne McNair</t>
  </si>
  <si>
    <t>20950</t>
  </si>
  <si>
    <t>10003094</t>
  </si>
  <si>
    <t>10000533</t>
  </si>
  <si>
    <t>24/07/2018</t>
  </si>
  <si>
    <t>Maple Grove</t>
  </si>
  <si>
    <t>10004600</t>
  </si>
  <si>
    <t>10004236</t>
  </si>
  <si>
    <t>21/10/2015</t>
  </si>
  <si>
    <t>26/10/2015</t>
  </si>
  <si>
    <t>Sylvia Foulston</t>
  </si>
  <si>
    <t>20965</t>
  </si>
  <si>
    <t>10001460</t>
  </si>
  <si>
    <t>11/08/2018</t>
  </si>
  <si>
    <t>Bedford</t>
  </si>
  <si>
    <t>10001776</t>
  </si>
  <si>
    <t>Tamara Chand</t>
  </si>
  <si>
    <t>20980</t>
  </si>
  <si>
    <t>10001243</t>
  </si>
  <si>
    <t>10002954</t>
  </si>
  <si>
    <t>Tamara Dahlen</t>
  </si>
  <si>
    <t>20995</t>
  </si>
  <si>
    <t>10002012</t>
  </si>
  <si>
    <t>10004027</t>
  </si>
  <si>
    <t>Garland</t>
  </si>
  <si>
    <t>10001045</t>
  </si>
  <si>
    <t>30/04/2015</t>
  </si>
  <si>
    <t>02/05/2015</t>
  </si>
  <si>
    <t>Tamara Manning</t>
  </si>
  <si>
    <t>21010</t>
  </si>
  <si>
    <t>10002550</t>
  </si>
  <si>
    <t>10004357</t>
  </si>
  <si>
    <t>Vacaville</t>
  </si>
  <si>
    <t>10000532</t>
  </si>
  <si>
    <t>Tamara Willingham</t>
  </si>
  <si>
    <t>21025</t>
  </si>
  <si>
    <t>10000326</t>
  </si>
  <si>
    <t>10000820</t>
  </si>
  <si>
    <t>Tanja Norvell</t>
  </si>
  <si>
    <t>21040</t>
  </si>
  <si>
    <t>10002637</t>
  </si>
  <si>
    <t>Ted Butterfield</t>
  </si>
  <si>
    <t>21055</t>
  </si>
  <si>
    <t>10003845</t>
  </si>
  <si>
    <t>10000604</t>
  </si>
  <si>
    <t>12/05/2017</t>
  </si>
  <si>
    <t>Ted Trevino</t>
  </si>
  <si>
    <t>21070</t>
  </si>
  <si>
    <t>10002751</t>
  </si>
  <si>
    <t>Thais Sissman</t>
  </si>
  <si>
    <t>21085</t>
  </si>
  <si>
    <t>10004352</t>
  </si>
  <si>
    <t>Thea Hendricks</t>
  </si>
  <si>
    <t>21100</t>
  </si>
  <si>
    <t>10004922</t>
  </si>
  <si>
    <t>Thea Hudgings</t>
  </si>
  <si>
    <t>21115</t>
  </si>
  <si>
    <t>10001847</t>
  </si>
  <si>
    <t>Theone Pippenger</t>
  </si>
  <si>
    <t>21130</t>
  </si>
  <si>
    <t>10004115</t>
  </si>
  <si>
    <t>10001114</t>
  </si>
  <si>
    <t>10003002</t>
  </si>
  <si>
    <t>24/01/2018</t>
  </si>
  <si>
    <t>10000053</t>
  </si>
  <si>
    <t>Theresa Swint</t>
  </si>
  <si>
    <t>21160</t>
  </si>
  <si>
    <t>West Allis</t>
  </si>
  <si>
    <t>10001337</t>
  </si>
  <si>
    <t>24/04/2015</t>
  </si>
  <si>
    <t>10004876</t>
  </si>
  <si>
    <t>10001557</t>
  </si>
  <si>
    <t>Thomas Boland</t>
  </si>
  <si>
    <t>21175</t>
  </si>
  <si>
    <t>10000777</t>
  </si>
  <si>
    <t>10004846</t>
  </si>
  <si>
    <t>Thomas Brumley</t>
  </si>
  <si>
    <t>21190</t>
  </si>
  <si>
    <t>10000145</t>
  </si>
  <si>
    <t>27/09/2015</t>
  </si>
  <si>
    <t>Thomas Seio</t>
  </si>
  <si>
    <t>21205</t>
  </si>
  <si>
    <t>Hackensack</t>
  </si>
  <si>
    <t>10001588</t>
  </si>
  <si>
    <t>10002301</t>
  </si>
  <si>
    <t>10001314</t>
  </si>
  <si>
    <t>Tiffany House</t>
  </si>
  <si>
    <t>21235</t>
  </si>
  <si>
    <t>10001919</t>
  </si>
  <si>
    <t>10004231</t>
  </si>
  <si>
    <t>Tim Brockman</t>
  </si>
  <si>
    <t>21250</t>
  </si>
  <si>
    <t>10001597</t>
  </si>
  <si>
    <t>10004001</t>
  </si>
  <si>
    <t>10001835</t>
  </si>
  <si>
    <t>Toby Braunhardt</t>
  </si>
  <si>
    <t>21280</t>
  </si>
  <si>
    <t>10002689</t>
  </si>
  <si>
    <t>10001644</t>
  </si>
  <si>
    <t>Toby Carlisle</t>
  </si>
  <si>
    <t>21295</t>
  </si>
  <si>
    <t>Toby Gnade</t>
  </si>
  <si>
    <t>21310</t>
  </si>
  <si>
    <t>10003527</t>
  </si>
  <si>
    <t>10000193</t>
  </si>
  <si>
    <t>Toby Ritter</t>
  </si>
  <si>
    <t>21325</t>
  </si>
  <si>
    <t>Cedar Rapids</t>
  </si>
  <si>
    <t>10002402</t>
  </si>
  <si>
    <t>Toby Swindell</t>
  </si>
  <si>
    <t>21340</t>
  </si>
  <si>
    <t>10002456</t>
  </si>
  <si>
    <t>10/03/2016</t>
  </si>
  <si>
    <t>Todd Boyes</t>
  </si>
  <si>
    <t>21355</t>
  </si>
  <si>
    <t>10003572</t>
  </si>
  <si>
    <t>25/01/2017</t>
  </si>
  <si>
    <t>27/01/2017</t>
  </si>
  <si>
    <t>10000315</t>
  </si>
  <si>
    <t>10000397</t>
  </si>
  <si>
    <t>Sandy Springs</t>
  </si>
  <si>
    <t>10001492</t>
  </si>
  <si>
    <t>05/10/2018</t>
  </si>
  <si>
    <t>Todd Sumrall</t>
  </si>
  <si>
    <t>21370</t>
  </si>
  <si>
    <t>Tom Ashbrook</t>
  </si>
  <si>
    <t>21385</t>
  </si>
  <si>
    <t>10000277</t>
  </si>
  <si>
    <t>10004722</t>
  </si>
  <si>
    <t>Tom Boeckenhauer</t>
  </si>
  <si>
    <t>21400</t>
  </si>
  <si>
    <t>10001127</t>
  </si>
  <si>
    <t>10004243</t>
  </si>
  <si>
    <t>10001558</t>
  </si>
  <si>
    <t>Tom Prescott</t>
  </si>
  <si>
    <t>21415</t>
  </si>
  <si>
    <t>Tonja Turnell</t>
  </si>
  <si>
    <t>21460</t>
  </si>
  <si>
    <t>10000100</t>
  </si>
  <si>
    <t>10002406</t>
  </si>
  <si>
    <t>Tony Chapman</t>
  </si>
  <si>
    <t>21475</t>
  </si>
  <si>
    <t>10002552</t>
  </si>
  <si>
    <t>Bolingbrook</t>
  </si>
  <si>
    <t>10002571</t>
  </si>
  <si>
    <t>Tony Molinari</t>
  </si>
  <si>
    <t>21490</t>
  </si>
  <si>
    <t>10004206</t>
  </si>
  <si>
    <t>Tony Sayre</t>
  </si>
  <si>
    <t>21505</t>
  </si>
  <si>
    <t>10002982</t>
  </si>
  <si>
    <t>04/02/2017</t>
  </si>
  <si>
    <t>Tracy Blumstein</t>
  </si>
  <si>
    <t>21520</t>
  </si>
  <si>
    <t>10002088</t>
  </si>
  <si>
    <t>10004834</t>
  </si>
  <si>
    <t>10003591</t>
  </si>
  <si>
    <t>Tracy Collins</t>
  </si>
  <si>
    <t>21535</t>
  </si>
  <si>
    <t>10000494</t>
  </si>
  <si>
    <t>10003357</t>
  </si>
  <si>
    <t>Tracy Hopkins</t>
  </si>
  <si>
    <t>21550</t>
  </si>
  <si>
    <t>10004995</t>
  </si>
  <si>
    <t>23/07/2016</t>
  </si>
  <si>
    <t>10002892</t>
  </si>
  <si>
    <t>10001622</t>
  </si>
  <si>
    <t>Tracy Poddar</t>
  </si>
  <si>
    <t>21565</t>
  </si>
  <si>
    <t>Eugene</t>
  </si>
  <si>
    <t>10001756</t>
  </si>
  <si>
    <t>Tracy Zic</t>
  </si>
  <si>
    <t>21580</t>
  </si>
  <si>
    <t>10003723</t>
  </si>
  <si>
    <t>10000034</t>
  </si>
  <si>
    <t>Troy Blackwell</t>
  </si>
  <si>
    <t>21595</t>
  </si>
  <si>
    <t>10000206</t>
  </si>
  <si>
    <t>Troy Staebel</t>
  </si>
  <si>
    <t>21610</t>
  </si>
  <si>
    <t>10003127</t>
  </si>
  <si>
    <t>Trudy Brown</t>
  </si>
  <si>
    <t>21625</t>
  </si>
  <si>
    <t>10002364</t>
  </si>
  <si>
    <t>11/06/2016</t>
  </si>
  <si>
    <t>Trudy Glocke</t>
  </si>
  <si>
    <t>21640</t>
  </si>
  <si>
    <t>Pocatello</t>
  </si>
  <si>
    <t>10003192</t>
  </si>
  <si>
    <t>Trudy Schmidt</t>
  </si>
  <si>
    <t>21655</t>
  </si>
  <si>
    <t>04/08/2015</t>
  </si>
  <si>
    <t>Valerie Dominguez</t>
  </si>
  <si>
    <t>21670</t>
  </si>
  <si>
    <t>Pleasant Grove</t>
  </si>
  <si>
    <t>28/02/2016</t>
  </si>
  <si>
    <t>04/03/2016</t>
  </si>
  <si>
    <t>10004860</t>
  </si>
  <si>
    <t>Valerie Mitchum</t>
  </si>
  <si>
    <t>21685</t>
  </si>
  <si>
    <t>Westfield</t>
  </si>
  <si>
    <t>10001414</t>
  </si>
  <si>
    <t>16/03/2018</t>
  </si>
  <si>
    <t>10002225</t>
  </si>
  <si>
    <t>Vicky Freymann</t>
  </si>
  <si>
    <t>21715</t>
  </si>
  <si>
    <t>10003142</t>
  </si>
  <si>
    <t>05/07/2018</t>
  </si>
  <si>
    <t>Victor Preis</t>
  </si>
  <si>
    <t>21730</t>
  </si>
  <si>
    <t>10004492</t>
  </si>
  <si>
    <t>Sterling Heights</t>
  </si>
  <si>
    <t>10002182</t>
  </si>
  <si>
    <t>Victoria Brennan</t>
  </si>
  <si>
    <t>21745</t>
  </si>
  <si>
    <t>10003806</t>
  </si>
  <si>
    <t>10001124</t>
  </si>
  <si>
    <t>Lincoln Park</t>
  </si>
  <si>
    <t>10003842</t>
  </si>
  <si>
    <t>10000994</t>
  </si>
  <si>
    <t>09/01/2016</t>
  </si>
  <si>
    <t>Victoria Wilson</t>
  </si>
  <si>
    <t>21775</t>
  </si>
  <si>
    <t>Medina</t>
  </si>
  <si>
    <t>10004544</t>
  </si>
  <si>
    <t>10001315</t>
  </si>
  <si>
    <t>Vivek Gonzalez</t>
  </si>
  <si>
    <t>21790</t>
  </si>
  <si>
    <t>10001602</t>
  </si>
  <si>
    <t>San Mateo</t>
  </si>
  <si>
    <t>10002762</t>
  </si>
  <si>
    <t>24/03/2017</t>
  </si>
  <si>
    <t>Vivek Grady</t>
  </si>
  <si>
    <t>21805</t>
  </si>
  <si>
    <t>10001994</t>
  </si>
  <si>
    <t>Vivian Mathis</t>
  </si>
  <si>
    <t>21835</t>
  </si>
  <si>
    <t>10004518</t>
  </si>
  <si>
    <t>William Brown</t>
  </si>
  <si>
    <t>21850</t>
  </si>
  <si>
    <t>10004854</t>
  </si>
  <si>
    <t>Xylona Preis</t>
  </si>
  <si>
    <t>21865</t>
  </si>
  <si>
    <t>10001561</t>
  </si>
  <si>
    <t>10001445</t>
  </si>
  <si>
    <t>Yana Sorensen</t>
  </si>
  <si>
    <t>21880</t>
  </si>
  <si>
    <t>10003514</t>
  </si>
  <si>
    <t>Yoseph Carroll</t>
  </si>
  <si>
    <t>21895</t>
  </si>
  <si>
    <t>10003016</t>
  </si>
  <si>
    <t>10002095</t>
  </si>
  <si>
    <t>Zuschuss Carroll</t>
  </si>
  <si>
    <t>21910</t>
  </si>
  <si>
    <t>16/05/2018</t>
  </si>
  <si>
    <t>10004456</t>
  </si>
  <si>
    <t>10003800</t>
  </si>
  <si>
    <t>10004655</t>
  </si>
  <si>
    <t>13/04/2016</t>
  </si>
  <si>
    <t>19/04/2016</t>
  </si>
  <si>
    <t>10002800</t>
  </si>
  <si>
    <t>Zuschuss Donatelli</t>
  </si>
  <si>
    <t>21925</t>
  </si>
  <si>
    <t>10003056</t>
  </si>
  <si>
    <t>10003799</t>
  </si>
  <si>
    <t>KPI Calculations</t>
  </si>
  <si>
    <t>KPI's</t>
  </si>
  <si>
    <t>Amount</t>
  </si>
  <si>
    <t>Grand Total Sales   =</t>
  </si>
  <si>
    <t>Total Repeat Customers =</t>
  </si>
  <si>
    <t>Unique Orders =</t>
  </si>
  <si>
    <t>Average Order Value =</t>
  </si>
  <si>
    <t>Sales by Segment (Corporate) =</t>
  </si>
  <si>
    <t>Sales by Region (South) =</t>
  </si>
  <si>
    <t>Sales in 2018 =</t>
  </si>
  <si>
    <t xml:space="preserve">Average Delivery Time (By Days) = </t>
  </si>
  <si>
    <t>Categories</t>
  </si>
  <si>
    <t>Sum of Sales</t>
  </si>
  <si>
    <t>Regions</t>
  </si>
  <si>
    <t xml:space="preserve">Yearly Sales Trend </t>
  </si>
  <si>
    <t>Top 10 Products</t>
  </si>
  <si>
    <t>Grand Total</t>
  </si>
  <si>
    <t>States</t>
  </si>
  <si>
    <t>Segments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</si>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</sst>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quot;$&quot;* #,##0.00_-;_-&quot;$&quot;* &quot;-&quot;??_-;_-@_-"/>
  </numFmts>
  <fonts count="4">
    <font>
      <sz val="11"/>
      <color theme="1"/>
      <name val="Aptos Narrow"/>
      <family val="2"/>
      <scheme val="minor"/>
    </font>
    <font>
      <sz val="8"/>
      <name val="Aptos Narrow"/>
      <family val="2"/>
      <scheme val="minor"/>
    </font>
    <font>
      <b/>
      <sz val="20"/>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theme="7"/>
        <bgColor indexed="64"/>
      </patternFill>
    </fill>
    <fill>
      <patternFill patternType="solid">
        <fgColor theme="1" tint="0.34998626667073579"/>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3" fillId="0" borderId="0" xfId="0" applyFont="1"/>
    <xf numFmtId="2"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4" fontId="0" fillId="0" borderId="0" xfId="0" applyNumberFormat="1"/>
    <xf numFmtId="17" fontId="0" fillId="0" borderId="0" xfId="0" applyNumberFormat="1" applyAlignment="1">
      <alignment horizontal="left"/>
    </xf>
    <xf numFmtId="0" fontId="0" fillId="3" borderId="0" xfId="0" applyFill="1"/>
    <xf numFmtId="0" fontId="2" fillId="2" borderId="1" xfId="0" applyFont="1" applyFill="1" applyBorder="1" applyAlignment="1">
      <alignment horizontal="center"/>
    </xf>
    <xf numFmtId="0" fontId="0" fillId="2" borderId="1" xfId="0" applyFill="1" applyBorder="1" applyAlignment="1">
      <alignment horizontal="center"/>
    </xf>
  </cellXfs>
  <cellStyles count="1">
    <cellStyle name="Normal" xfId="0" builtinId="0"/>
  </cellStyles>
  <dxfs count="32">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font>
        <b val="0"/>
        <i val="0"/>
        <strike val="0"/>
        <condense val="0"/>
        <extend val="0"/>
        <outline val="0"/>
        <shadow val="0"/>
        <u val="none"/>
        <vertAlign val="baseline"/>
        <sz val="14"/>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64" formatCode="_-&quot;$&quot;* #,##0.00_-;\-&quot;$&quot;* #,##0.00_-;_-&quot;$&quot;* &quot;-&quot;??_-;_-@_-"/>
    </dxf>
    <dxf>
      <numFmt numFmtId="2" formatCode="0.00"/>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4" formatCode="_-&quot;$&quot;* #,##0.00_-;\-&quot;$&quot;* #,##0.00_-;_-&quot;$&quot;* &quot;-&quot;??_-;_-@_-"/>
    </dxf>
    <dxf>
      <numFmt numFmtId="165" formatCode="&quot;$&quot;#,##0.00"/>
    </dxf>
    <dxf>
      <numFmt numFmtId="2" formatCode="0.00"/>
    </dxf>
    <dxf>
      <numFmt numFmtId="164" formatCode="_-&quot;$&quot;* #,##0.00_-;\-&quot;$&quot;* #,##0.00_-;_-&quot;$&quot;* &quot;-&quot;??_-;_-@_-"/>
    </dxf>
    <dxf>
      <numFmt numFmtId="2" formatCode="0.00"/>
    </dxf>
    <dxf>
      <numFmt numFmtId="22" formatCode="mmm\-yy"/>
    </dxf>
    <dxf>
      <numFmt numFmtId="2" formatCode="0.00"/>
    </dxf>
  </dxfs>
  <tableStyles count="1" defaultTableStyle="TableStyleMedium2" defaultPivotStyle="PivotStyleLight16">
    <tableStyle name="Slicer Style 1" pivot="0" table="0" count="0" xr9:uid="{45D1BACD-1E47-403C-B811-4F2FB6F90CDB}"/>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Tables!Regiona</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REGIONS</a:t>
            </a:r>
            <a:endParaRPr lang="en-US"/>
          </a:p>
        </c:rich>
      </c:tx>
      <c:layout>
        <c:manualLayout>
          <c:xMode val="edge"/>
          <c:yMode val="edge"/>
          <c:x val="0.30861524293441034"/>
          <c:y val="3.4439716262100378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6953125"/>
              <c:y val="-1.851851851851851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8.7890625E-2"/>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9.765625E-2"/>
              <c:y val="4.166666666666666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7.8125000000000014E-2"/>
              <c:y val="-4.16666666666667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26953125"/>
              <c:y val="-1.851851851851851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8.7890625E-2"/>
              <c:y val="3.24074074074074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9.765625E-2"/>
              <c:y val="4.166666666666666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7.8125000000000014E-2"/>
              <c:y val="-4.16666666666667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840472068531858"/>
          <c:y val="0.158584947890725"/>
          <c:w val="0.52432357896090342"/>
          <c:h val="0.75756314795083091"/>
        </c:manualLayout>
      </c:layout>
      <c:doughnutChart>
        <c:varyColors val="1"/>
        <c:ser>
          <c:idx val="0"/>
          <c:order val="0"/>
          <c:tx>
            <c:strRef>
              <c:f>'Pivot Tables'!$F$3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27-4F4B-BE16-E26BB3DB1B2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27-4F4B-BE16-E26BB3DB1B2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027-4F4B-BE16-E26BB3DB1B2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027-4F4B-BE16-E26BB3DB1B22}"/>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Tables'!$E$4:$E$8</c:f>
              <c:strCache>
                <c:ptCount val="4"/>
                <c:pt idx="0">
                  <c:v>Central</c:v>
                </c:pt>
                <c:pt idx="1">
                  <c:v>East</c:v>
                </c:pt>
                <c:pt idx="2">
                  <c:v>South</c:v>
                </c:pt>
                <c:pt idx="3">
                  <c:v>West</c:v>
                </c:pt>
              </c:strCache>
            </c:strRef>
          </c:cat>
          <c:val>
            <c:numRef>
              <c:f>'Pivot Tables'!$F$4:$F$8</c:f>
              <c:numCache>
                <c:formatCode>0.00</c:formatCode>
                <c:ptCount val="4"/>
                <c:pt idx="0">
                  <c:v>82964.73299999992</c:v>
                </c:pt>
                <c:pt idx="1">
                  <c:v>118599.63299999994</c:v>
                </c:pt>
                <c:pt idx="2">
                  <c:v>82188.134999999995</c:v>
                </c:pt>
                <c:pt idx="3">
                  <c:v>113570.16549999999</c:v>
                </c:pt>
              </c:numCache>
            </c:numRef>
          </c:val>
          <c:extLst>
            <c:ext xmlns:c16="http://schemas.microsoft.com/office/drawing/2014/chart" uri="{C3380CC4-5D6E-409C-BE32-E72D297353CC}">
              <c16:uniqueId val="{00000008-3027-4F4B-BE16-E26BB3DB1B22}"/>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9852445609220257"/>
          <c:y val="0.26884720692386688"/>
          <c:w val="0.18110978495682872"/>
          <c:h val="0.5033066459577563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Tables!Segments</c:name>
    <c:fmtId val="17"/>
  </c:pivotSource>
  <c:chart>
    <c:title>
      <c:tx>
        <c:rich>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r>
              <a:rPr lang="en-US" sz="1800" u="none"/>
              <a:t>Sales</a:t>
            </a:r>
            <a:r>
              <a:rPr lang="en-US" sz="1800" u="none" baseline="0"/>
              <a:t> by Segments</a:t>
            </a:r>
            <a:endParaRPr lang="en-US" sz="1800" u="none"/>
          </a:p>
        </c:rich>
      </c:tx>
      <c:layout>
        <c:manualLayout>
          <c:xMode val="edge"/>
          <c:yMode val="edge"/>
          <c:x val="0.2418562152916815"/>
          <c:y val="5.8472833983571594E-2"/>
        </c:manualLayout>
      </c:layout>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Tables'!$F$11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Tables'!$E$12:$E$15</c:f>
              <c:strCache>
                <c:ptCount val="3"/>
                <c:pt idx="0">
                  <c:v>Consumer</c:v>
                </c:pt>
                <c:pt idx="1">
                  <c:v>Corporate</c:v>
                </c:pt>
                <c:pt idx="2">
                  <c:v>Home Office</c:v>
                </c:pt>
              </c:strCache>
            </c:strRef>
          </c:cat>
          <c:val>
            <c:numRef>
              <c:f>'Pivot Tables'!$F$12:$F$15</c:f>
              <c:numCache>
                <c:formatCode>0.00</c:formatCode>
                <c:ptCount val="3"/>
                <c:pt idx="0">
                  <c:v>185082.74099999983</c:v>
                </c:pt>
                <c:pt idx="1">
                  <c:v>129021.0610999999</c:v>
                </c:pt>
                <c:pt idx="2">
                  <c:v>83218.864399999977</c:v>
                </c:pt>
              </c:numCache>
            </c:numRef>
          </c:val>
          <c:extLst>
            <c:ext xmlns:c16="http://schemas.microsoft.com/office/drawing/2014/chart" uri="{C3380CC4-5D6E-409C-BE32-E72D297353CC}">
              <c16:uniqueId val="{00000000-7639-4B76-B892-8C4518491918}"/>
            </c:ext>
          </c:extLst>
        </c:ser>
        <c:dLbls>
          <c:showLegendKey val="0"/>
          <c:showVal val="1"/>
          <c:showCatName val="0"/>
          <c:showSerName val="0"/>
          <c:showPercent val="0"/>
          <c:showBubbleSize val="0"/>
        </c:dLbls>
        <c:gapWidth val="79"/>
        <c:shape val="box"/>
        <c:axId val="710614928"/>
        <c:axId val="710615888"/>
        <c:axId val="0"/>
      </c:bar3DChart>
      <c:catAx>
        <c:axId val="710614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crossAx val="710615888"/>
        <c:crosses val="autoZero"/>
        <c:auto val="1"/>
        <c:lblAlgn val="ctr"/>
        <c:lblOffset val="100"/>
        <c:noMultiLvlLbl val="0"/>
      </c:catAx>
      <c:valAx>
        <c:axId val="710615888"/>
        <c:scaling>
          <c:orientation val="minMax"/>
        </c:scaling>
        <c:delete val="1"/>
        <c:axPos val="b"/>
        <c:numFmt formatCode="0.00" sourceLinked="1"/>
        <c:majorTickMark val="out"/>
        <c:minorTickMark val="none"/>
        <c:tickLblPos val="nextTo"/>
        <c:crossAx val="7106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Dashboard.xlsx]Pivot Tables!Category</c:name>
    <c:fmtId val="65"/>
  </c:pivotSource>
  <c:chart>
    <c:title>
      <c:tx>
        <c:rich>
          <a:bodyPr rot="0" spcFirstLastPara="1" vertOverflow="ellipsis" vert="horz" wrap="square" anchor="ctr" anchorCtr="1"/>
          <a:lstStyle/>
          <a:p>
            <a:pPr>
              <a:defRPr sz="1800" b="1" i="0" u="none" strike="noStrike" kern="1200" spc="0" baseline="0">
                <a:solidFill>
                  <a:schemeClr val="tx1">
                    <a:lumMod val="50000"/>
                    <a:lumOff val="50000"/>
                  </a:schemeClr>
                </a:solidFill>
                <a:latin typeface="+mn-lt"/>
                <a:ea typeface="+mn-ea"/>
                <a:cs typeface="+mn-cs"/>
              </a:defRPr>
            </a:pPr>
            <a:r>
              <a:rPr lang="en-CA" sz="1800" b="1">
                <a:solidFill>
                  <a:schemeClr val="tx1">
                    <a:lumMod val="50000"/>
                    <a:lumOff val="50000"/>
                  </a:schemeClr>
                </a:solidFill>
              </a:rPr>
              <a:t>SALES</a:t>
            </a:r>
            <a:r>
              <a:rPr lang="en-CA" sz="1800" b="1" baseline="0">
                <a:solidFill>
                  <a:schemeClr val="tx1">
                    <a:lumMod val="50000"/>
                    <a:lumOff val="50000"/>
                  </a:schemeClr>
                </a:solidFill>
              </a:rPr>
              <a:t> BY CATEGORIES &amp; SUB-CATEGORIES</a:t>
            </a:r>
            <a:endParaRPr lang="en-CA" sz="1800" b="1">
              <a:solidFill>
                <a:schemeClr val="tx1">
                  <a:lumMod val="50000"/>
                  <a:lumOff val="50000"/>
                </a:schemeClr>
              </a:solidFill>
            </a:endParaRPr>
          </a:p>
        </c:rich>
      </c:tx>
      <c:layout>
        <c:manualLayout>
          <c:xMode val="edge"/>
          <c:yMode val="edge"/>
          <c:x val="0.18006799154771902"/>
          <c:y val="5.303030619364747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50000"/>
                  <a:lumOff val="50000"/>
                </a:schemeClr>
              </a:solidFill>
              <a:latin typeface="+mn-lt"/>
              <a:ea typeface="+mn-ea"/>
              <a:cs typeface="+mn-cs"/>
            </a:defRPr>
          </a:pPr>
          <a:endParaRPr lang="en-C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2"/>
            </a:solidFill>
            <a:ln>
              <a:noFill/>
            </a:ln>
            <a:effectLst/>
          </c:spPr>
          <c:invertIfNegative val="0"/>
          <c:cat>
            <c:multiLvlStrRef>
              <c:f>'Pivot Tables'!$A$4:$A$24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 Tables'!$B$4:$B$24</c:f>
              <c:numCache>
                <c:formatCode>0.00</c:formatCode>
                <c:ptCount val="17"/>
                <c:pt idx="0">
                  <c:v>19526.089499999998</c:v>
                </c:pt>
                <c:pt idx="1">
                  <c:v>42139.578999999991</c:v>
                </c:pt>
                <c:pt idx="2">
                  <c:v>17643.375999999989</c:v>
                </c:pt>
                <c:pt idx="3">
                  <c:v>34559.264999999992</c:v>
                </c:pt>
                <c:pt idx="4">
                  <c:v>17887.294000000002</c:v>
                </c:pt>
                <c:pt idx="5">
                  <c:v>5964.4820000000027</c:v>
                </c:pt>
                <c:pt idx="6">
                  <c:v>22116.453000000012</c:v>
                </c:pt>
                <c:pt idx="7">
                  <c:v>3425.5460000000003</c:v>
                </c:pt>
                <c:pt idx="8">
                  <c:v>534.80799999999999</c:v>
                </c:pt>
                <c:pt idx="9">
                  <c:v>1547.7920000000001</c:v>
                </c:pt>
                <c:pt idx="10">
                  <c:v>13672.181999999995</c:v>
                </c:pt>
                <c:pt idx="11">
                  <c:v>29656.183999999997</c:v>
                </c:pt>
                <c:pt idx="12">
                  <c:v>7926.6919999999982</c:v>
                </c:pt>
                <c:pt idx="13">
                  <c:v>25975.194000000007</c:v>
                </c:pt>
                <c:pt idx="14">
                  <c:v>23419.675999999996</c:v>
                </c:pt>
                <c:pt idx="15">
                  <c:v>59940.334000000003</c:v>
                </c:pt>
                <c:pt idx="16">
                  <c:v>71387.72</c:v>
                </c:pt>
              </c:numCache>
            </c:numRef>
          </c:val>
          <c:extLst>
            <c:ext xmlns:c16="http://schemas.microsoft.com/office/drawing/2014/chart" uri="{C3380CC4-5D6E-409C-BE32-E72D297353CC}">
              <c16:uniqueId val="{00000000-FE7B-413D-BF77-203FCBCF1D97}"/>
            </c:ext>
          </c:extLst>
        </c:ser>
        <c:dLbls>
          <c:showLegendKey val="0"/>
          <c:showVal val="0"/>
          <c:showCatName val="0"/>
          <c:showSerName val="0"/>
          <c:showPercent val="0"/>
          <c:showBubbleSize val="0"/>
        </c:dLbls>
        <c:gapWidth val="150"/>
        <c:overlap val="100"/>
        <c:axId val="2083126544"/>
        <c:axId val="2083110224"/>
      </c:barChart>
      <c:catAx>
        <c:axId val="2083126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2083110224"/>
        <c:crosses val="autoZero"/>
        <c:auto val="1"/>
        <c:lblAlgn val="ctr"/>
        <c:lblOffset val="100"/>
        <c:noMultiLvlLbl val="0"/>
      </c:catAx>
      <c:valAx>
        <c:axId val="2083110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2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Tables!Monthly Sales</c:name>
    <c:fmtId val="3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Yearly Sales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Tables'!$H$4:$H$8</c:f>
              <c:strCache>
                <c:ptCount val="4"/>
                <c:pt idx="0">
                  <c:v>2015</c:v>
                </c:pt>
                <c:pt idx="1">
                  <c:v>2016</c:v>
                </c:pt>
                <c:pt idx="2">
                  <c:v>2017</c:v>
                </c:pt>
                <c:pt idx="3">
                  <c:v>2018</c:v>
                </c:pt>
              </c:strCache>
            </c:strRef>
          </c:cat>
          <c:val>
            <c:numRef>
              <c:f>'Pivot Tables'!$I$4:$I$8</c:f>
              <c:numCache>
                <c:formatCode>General</c:formatCode>
                <c:ptCount val="4"/>
                <c:pt idx="0">
                  <c:v>73293.969999999987</c:v>
                </c:pt>
                <c:pt idx="1">
                  <c:v>88950.280000000028</c:v>
                </c:pt>
                <c:pt idx="2">
                  <c:v>110823.73129999997</c:v>
                </c:pt>
                <c:pt idx="3">
                  <c:v>124254.68519999995</c:v>
                </c:pt>
              </c:numCache>
            </c:numRef>
          </c:val>
          <c:smooth val="0"/>
          <c:extLst>
            <c:ext xmlns:c16="http://schemas.microsoft.com/office/drawing/2014/chart" uri="{C3380CC4-5D6E-409C-BE32-E72D297353CC}">
              <c16:uniqueId val="{00000000-0121-4605-8D5C-445A7E217D47}"/>
            </c:ext>
          </c:extLst>
        </c:ser>
        <c:dLbls>
          <c:dLblPos val="r"/>
          <c:showLegendKey val="0"/>
          <c:showVal val="1"/>
          <c:showCatName val="0"/>
          <c:showSerName val="0"/>
          <c:showPercent val="0"/>
          <c:showBubbleSize val="0"/>
        </c:dLbls>
        <c:marker val="1"/>
        <c:smooth val="0"/>
        <c:axId val="82055904"/>
        <c:axId val="82056864"/>
      </c:lineChart>
      <c:catAx>
        <c:axId val="820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056864"/>
        <c:crosses val="autoZero"/>
        <c:auto val="1"/>
        <c:lblAlgn val="ctr"/>
        <c:lblOffset val="100"/>
        <c:noMultiLvlLbl val="0"/>
      </c:catAx>
      <c:valAx>
        <c:axId val="8205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Tables!PivotTable8</c:name>
    <c:fmtId val="83"/>
  </c:pivotSource>
  <c:chart>
    <c:title>
      <c:tx>
        <c:rich>
          <a:bodyPr rot="0" spcFirstLastPara="1" vertOverflow="ellipsis" vert="horz" wrap="square" anchor="ctr" anchorCtr="1"/>
          <a:lstStyle/>
          <a:p>
            <a:pPr>
              <a:defRPr sz="1800" b="1" i="0" u="none" strike="noStrike" kern="1200" spc="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r>
              <a:rPr lang="en-US" sz="1800" b="1" u="none">
                <a:solidFill>
                  <a:schemeClr val="tx1">
                    <a:lumMod val="50000"/>
                    <a:lumOff val="50000"/>
                  </a:schemeClr>
                </a:solidFill>
                <a:latin typeface="Times New Roman" panose="02020603050405020304" pitchFamily="18" charset="0"/>
                <a:cs typeface="Times New Roman" panose="02020603050405020304" pitchFamily="18" charset="0"/>
              </a:rPr>
              <a:t>SALES</a:t>
            </a:r>
            <a:r>
              <a:rPr lang="en-US" sz="1800" b="1" u="none" baseline="0">
                <a:solidFill>
                  <a:schemeClr val="tx1">
                    <a:lumMod val="50000"/>
                    <a:lumOff val="50000"/>
                  </a:schemeClr>
                </a:solidFill>
                <a:latin typeface="Times New Roman" panose="02020603050405020304" pitchFamily="18" charset="0"/>
                <a:cs typeface="Times New Roman" panose="02020603050405020304" pitchFamily="18" charset="0"/>
              </a:rPr>
              <a:t> BY STATES</a:t>
            </a:r>
            <a:endParaRPr lang="en-US" sz="1800" b="1" u="none">
              <a:solidFill>
                <a:schemeClr val="tx1">
                  <a:lumMod val="50000"/>
                  <a:lumOff val="50000"/>
                </a:schemeClr>
              </a:solidFill>
              <a:latin typeface="Times New Roman" panose="02020603050405020304" pitchFamily="18" charset="0"/>
              <a:cs typeface="Times New Roman" panose="02020603050405020304" pitchFamily="18" charset="0"/>
            </a:endParaRPr>
          </a:p>
        </c:rich>
      </c:tx>
      <c:layout>
        <c:manualLayout>
          <c:xMode val="edge"/>
          <c:yMode val="edge"/>
          <c:x val="0.42806897377066583"/>
          <c:y val="2.849165833790433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Tables'!$I$10</c:f>
              <c:strCache>
                <c:ptCount val="1"/>
                <c:pt idx="0">
                  <c:v>Total</c:v>
                </c:pt>
              </c:strCache>
            </c:strRef>
          </c:tx>
          <c:spPr>
            <a:solidFill>
              <a:schemeClr val="accent1"/>
            </a:solidFill>
            <a:ln>
              <a:noFill/>
            </a:ln>
            <a:effectLst/>
            <a:sp3d/>
          </c:spPr>
          <c:invertIfNegative val="0"/>
          <c:cat>
            <c:strRef>
              <c:f>'Pivot Tables'!$H$11:$H$57</c:f>
              <c:strCache>
                <c:ptCount val="46"/>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Virginia</c:v>
                </c:pt>
                <c:pt idx="44">
                  <c:v>Washington</c:v>
                </c:pt>
                <c:pt idx="45">
                  <c:v>Wisconsin</c:v>
                </c:pt>
              </c:strCache>
            </c:strRef>
          </c:cat>
          <c:val>
            <c:numRef>
              <c:f>'Pivot Tables'!$I$11:$I$57</c:f>
              <c:numCache>
                <c:formatCode>0.00</c:formatCode>
                <c:ptCount val="46"/>
                <c:pt idx="0">
                  <c:v>2938.17</c:v>
                </c:pt>
                <c:pt idx="1">
                  <c:v>6391.2400000000016</c:v>
                </c:pt>
                <c:pt idx="2">
                  <c:v>3053.53</c:v>
                </c:pt>
                <c:pt idx="3">
                  <c:v>68510.209499999968</c:v>
                </c:pt>
                <c:pt idx="4">
                  <c:v>6175.286000000001</c:v>
                </c:pt>
                <c:pt idx="5">
                  <c:v>1732.99</c:v>
                </c:pt>
                <c:pt idx="6">
                  <c:v>3003.9400000000005</c:v>
                </c:pt>
                <c:pt idx="7">
                  <c:v>42.18</c:v>
                </c:pt>
                <c:pt idx="8">
                  <c:v>18086.908999999996</c:v>
                </c:pt>
                <c:pt idx="9">
                  <c:v>6404.46</c:v>
                </c:pt>
                <c:pt idx="10">
                  <c:v>397.32</c:v>
                </c:pt>
                <c:pt idx="11">
                  <c:v>21948.734999999997</c:v>
                </c:pt>
                <c:pt idx="12">
                  <c:v>2205.36</c:v>
                </c:pt>
                <c:pt idx="13">
                  <c:v>495.02</c:v>
                </c:pt>
                <c:pt idx="14">
                  <c:v>363.41999999999996</c:v>
                </c:pt>
                <c:pt idx="15">
                  <c:v>5644.08</c:v>
                </c:pt>
                <c:pt idx="16">
                  <c:v>2854.75</c:v>
                </c:pt>
                <c:pt idx="17">
                  <c:v>437.85</c:v>
                </c:pt>
                <c:pt idx="18">
                  <c:v>830.84</c:v>
                </c:pt>
                <c:pt idx="19">
                  <c:v>4196</c:v>
                </c:pt>
                <c:pt idx="20">
                  <c:v>8225.9079999999994</c:v>
                </c:pt>
                <c:pt idx="21">
                  <c:v>6734.73</c:v>
                </c:pt>
                <c:pt idx="22">
                  <c:v>3564.8199999999997</c:v>
                </c:pt>
                <c:pt idx="23">
                  <c:v>2526.5499999999997</c:v>
                </c:pt>
                <c:pt idx="24">
                  <c:v>3612.3419999999996</c:v>
                </c:pt>
                <c:pt idx="25">
                  <c:v>105.41</c:v>
                </c:pt>
                <c:pt idx="26">
                  <c:v>6486.0119999999997</c:v>
                </c:pt>
                <c:pt idx="27">
                  <c:v>1266.1100000000001</c:v>
                </c:pt>
                <c:pt idx="28">
                  <c:v>12867.149999999998</c:v>
                </c:pt>
                <c:pt idx="29">
                  <c:v>986.7299999999999</c:v>
                </c:pt>
                <c:pt idx="30">
                  <c:v>61619.031999999985</c:v>
                </c:pt>
                <c:pt idx="31">
                  <c:v>20544.055999999993</c:v>
                </c:pt>
                <c:pt idx="32">
                  <c:v>134.41999999999999</c:v>
                </c:pt>
                <c:pt idx="33">
                  <c:v>14469.976999999999</c:v>
                </c:pt>
                <c:pt idx="34">
                  <c:v>4172.24</c:v>
                </c:pt>
                <c:pt idx="35">
                  <c:v>1974.7400000000005</c:v>
                </c:pt>
                <c:pt idx="36">
                  <c:v>16290.333999999995</c:v>
                </c:pt>
                <c:pt idx="37">
                  <c:v>1843.2300000000002</c:v>
                </c:pt>
                <c:pt idx="38">
                  <c:v>2689.7999999999997</c:v>
                </c:pt>
                <c:pt idx="39">
                  <c:v>14.62</c:v>
                </c:pt>
                <c:pt idx="40">
                  <c:v>2945.69</c:v>
                </c:pt>
                <c:pt idx="41">
                  <c:v>28391.949999999997</c:v>
                </c:pt>
                <c:pt idx="42">
                  <c:v>3761.0680000000002</c:v>
                </c:pt>
                <c:pt idx="43">
                  <c:v>13461.869999999995</c:v>
                </c:pt>
                <c:pt idx="44">
                  <c:v>15275.218000000001</c:v>
                </c:pt>
                <c:pt idx="45">
                  <c:v>7646.37</c:v>
                </c:pt>
              </c:numCache>
            </c:numRef>
          </c:val>
          <c:extLst>
            <c:ext xmlns:c16="http://schemas.microsoft.com/office/drawing/2014/chart" uri="{C3380CC4-5D6E-409C-BE32-E72D297353CC}">
              <c16:uniqueId val="{00000000-8FF1-409E-9C13-B0339D054687}"/>
            </c:ext>
          </c:extLst>
        </c:ser>
        <c:dLbls>
          <c:showLegendKey val="0"/>
          <c:showVal val="0"/>
          <c:showCatName val="0"/>
          <c:showSerName val="0"/>
          <c:showPercent val="0"/>
          <c:showBubbleSize val="0"/>
        </c:dLbls>
        <c:gapWidth val="150"/>
        <c:shape val="box"/>
        <c:axId val="82061184"/>
        <c:axId val="82057344"/>
        <c:axId val="0"/>
      </c:bar3DChart>
      <c:catAx>
        <c:axId val="8206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82057344"/>
        <c:crosses val="autoZero"/>
        <c:auto val="1"/>
        <c:lblAlgn val="ctr"/>
        <c:lblOffset val="100"/>
        <c:noMultiLvlLbl val="0"/>
      </c:catAx>
      <c:valAx>
        <c:axId val="82057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206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Tables!Top 10 Products</c:name>
    <c:fmtId val="24"/>
  </c:pivotSource>
  <c:chart>
    <c:title>
      <c:tx>
        <c:rich>
          <a:bodyPr rot="0" spcFirstLastPara="1" vertOverflow="ellipsis" vert="horz" wrap="square" anchor="ctr" anchorCtr="1"/>
          <a:lstStyle/>
          <a:p>
            <a:pPr>
              <a:defRPr sz="1800" b="1" i="0" u="none" strike="noStrike" kern="1200" cap="all" baseline="0">
                <a:solidFill>
                  <a:schemeClr val="tx1">
                    <a:lumMod val="50000"/>
                    <a:lumOff val="50000"/>
                  </a:schemeClr>
                </a:solidFill>
                <a:latin typeface="+mn-lt"/>
                <a:ea typeface="+mn-ea"/>
                <a:cs typeface="+mn-cs"/>
              </a:defRPr>
            </a:pPr>
            <a:r>
              <a:rPr lang="en-US" sz="1800">
                <a:solidFill>
                  <a:schemeClr val="tx1">
                    <a:lumMod val="50000"/>
                    <a:lumOff val="50000"/>
                  </a:schemeClr>
                </a:solidFill>
              </a:rPr>
              <a:t>Top 10 Products</a:t>
            </a:r>
          </a:p>
        </c:rich>
      </c:tx>
      <c:layout>
        <c:manualLayout>
          <c:xMode val="edge"/>
          <c:yMode val="edge"/>
          <c:x val="0.272716234942457"/>
          <c:y val="4.1688977675261564E-2"/>
        </c:manualLayout>
      </c:layout>
      <c:overlay val="0"/>
      <c:spPr>
        <a:noFill/>
        <a:ln>
          <a:noFill/>
        </a:ln>
        <a:effectLst/>
      </c:sp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5"/>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6"/>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7"/>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8"/>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9"/>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0"/>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1"/>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2"/>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3"/>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3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3"/>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4"/>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5"/>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6"/>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7"/>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8"/>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59"/>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60"/>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61"/>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6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6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72"/>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3"/>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4"/>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5"/>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6"/>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7"/>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8"/>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79"/>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80"/>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81"/>
        <c:dLbl>
          <c:idx val="0"/>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8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3"/>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5"/>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6"/>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9"/>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1"/>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93"/>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7"/>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1"/>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2"/>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3"/>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20860305358025E-2"/>
          <c:y val="0.18067554120906518"/>
          <c:w val="0.77858393176349805"/>
          <c:h val="0.68970960280262394"/>
        </c:manualLayout>
      </c:layout>
      <c:pie3DChart>
        <c:varyColors val="1"/>
        <c:ser>
          <c:idx val="0"/>
          <c:order val="0"/>
          <c:tx>
            <c:strRef>
              <c:f>'Pivot Tables'!$L$3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DF7-4BBA-A2FC-61366BC6A4D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DF7-4BBA-A2FC-61366BC6A4D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DF7-4BBA-A2FC-61366BC6A4D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DF7-4BBA-A2FC-61366BC6A4D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DF7-4BBA-A2FC-61366BC6A4D8}"/>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DF7-4BBA-A2FC-61366BC6A4D8}"/>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4DF7-4BBA-A2FC-61366BC6A4D8}"/>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4DF7-4BBA-A2FC-61366BC6A4D8}"/>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4DF7-4BBA-A2FC-61366BC6A4D8}"/>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DF7-4BBA-A2FC-61366BC6A4D8}"/>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Tables'!$K$4:$K$14</c:f>
              <c:strCache>
                <c:ptCount val="10"/>
                <c:pt idx="0">
                  <c:v>10000151</c:v>
                </c:pt>
                <c:pt idx="1">
                  <c:v>10000730</c:v>
                </c:pt>
                <c:pt idx="2">
                  <c:v>10000984</c:v>
                </c:pt>
                <c:pt idx="3">
                  <c:v>10001047</c:v>
                </c:pt>
                <c:pt idx="4">
                  <c:v>10001127</c:v>
                </c:pt>
                <c:pt idx="5">
                  <c:v>10001459</c:v>
                </c:pt>
                <c:pt idx="6">
                  <c:v>10002073</c:v>
                </c:pt>
                <c:pt idx="7">
                  <c:v>10003673</c:v>
                </c:pt>
                <c:pt idx="8">
                  <c:v>10004125</c:v>
                </c:pt>
                <c:pt idx="9">
                  <c:v>10004722</c:v>
                </c:pt>
              </c:strCache>
            </c:strRef>
          </c:cat>
          <c:val>
            <c:numRef>
              <c:f>'Pivot Tables'!$L$4:$L$14</c:f>
              <c:numCache>
                <c:formatCode>General</c:formatCode>
                <c:ptCount val="10"/>
                <c:pt idx="0">
                  <c:v>3930.0720000000001</c:v>
                </c:pt>
                <c:pt idx="1">
                  <c:v>3499.93</c:v>
                </c:pt>
                <c:pt idx="2">
                  <c:v>5456.75</c:v>
                </c:pt>
                <c:pt idx="3">
                  <c:v>9099.93</c:v>
                </c:pt>
                <c:pt idx="4">
                  <c:v>6999.96</c:v>
                </c:pt>
                <c:pt idx="5">
                  <c:v>4367.8959999999997</c:v>
                </c:pt>
                <c:pt idx="6">
                  <c:v>3921.3119999999999</c:v>
                </c:pt>
                <c:pt idx="7">
                  <c:v>3438.4</c:v>
                </c:pt>
                <c:pt idx="8">
                  <c:v>7999.98</c:v>
                </c:pt>
                <c:pt idx="9">
                  <c:v>11199.968000000001</c:v>
                </c:pt>
              </c:numCache>
            </c:numRef>
          </c:val>
          <c:extLst>
            <c:ext xmlns:c16="http://schemas.microsoft.com/office/drawing/2014/chart" uri="{C3380CC4-5D6E-409C-BE32-E72D297353CC}">
              <c16:uniqueId val="{00000014-4DF7-4BBA-A2FC-61366BC6A4D8}"/>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12</xdr:col>
      <xdr:colOff>327959</xdr:colOff>
      <xdr:row>13</xdr:row>
      <xdr:rowOff>171824</xdr:rowOff>
    </xdr:from>
    <xdr:to>
      <xdr:col>14</xdr:col>
      <xdr:colOff>685053</xdr:colOff>
      <xdr:row>19</xdr:row>
      <xdr:rowOff>67235</xdr:rowOff>
    </xdr:to>
    <mc:AlternateContent xmlns:mc="http://schemas.openxmlformats.org/markup-compatibility/2006" xmlns:a14="http://schemas.microsoft.com/office/drawing/2010/main">
      <mc:Choice Requires="a14">
        <xdr:graphicFrame macro="">
          <xdr:nvGraphicFramePr>
            <xdr:cNvPr id="4" name="Order Year">
              <a:extLst>
                <a:ext uri="{FF2B5EF4-FFF2-40B4-BE49-F238E27FC236}">
                  <a16:creationId xmlns:a16="http://schemas.microsoft.com/office/drawing/2014/main" id="{73179845-19E0-AD58-A4F2-3A0D027A133E}"/>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0674724" y="2502648"/>
              <a:ext cx="1828800" cy="9711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322431</xdr:colOff>
      <xdr:row>7</xdr:row>
      <xdr:rowOff>28539</xdr:rowOff>
    </xdr:from>
    <xdr:to>
      <xdr:col>14</xdr:col>
      <xdr:colOff>679525</xdr:colOff>
      <xdr:row>13</xdr:row>
      <xdr:rowOff>141941</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72E92123-D6E6-B00D-C2DD-CF60B26ADDC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392784" y="1283598"/>
              <a:ext cx="1828800" cy="11891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351118</xdr:colOff>
      <xdr:row>1</xdr:row>
      <xdr:rowOff>105188</xdr:rowOff>
    </xdr:from>
    <xdr:to>
      <xdr:col>14</xdr:col>
      <xdr:colOff>651584</xdr:colOff>
      <xdr:row>7</xdr:row>
      <xdr:rowOff>14941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0014141-45BB-7579-782E-E2E8AE8497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21471" y="284482"/>
              <a:ext cx="1772172" cy="98551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0</xdr:colOff>
      <xdr:row>0</xdr:row>
      <xdr:rowOff>91440</xdr:rowOff>
    </xdr:from>
    <xdr:to>
      <xdr:col>16</xdr:col>
      <xdr:colOff>30480</xdr:colOff>
      <xdr:row>3</xdr:row>
      <xdr:rowOff>121920</xdr:rowOff>
    </xdr:to>
    <xdr:sp macro="" textlink="">
      <xdr:nvSpPr>
        <xdr:cNvPr id="2" name="Rectangle: Rounded Corners 1">
          <a:extLst>
            <a:ext uri="{FF2B5EF4-FFF2-40B4-BE49-F238E27FC236}">
              <a16:creationId xmlns:a16="http://schemas.microsoft.com/office/drawing/2014/main" id="{8659A66F-AA6C-75BA-438F-9B2E4F7960B6}"/>
            </a:ext>
          </a:extLst>
        </xdr:cNvPr>
        <xdr:cNvSpPr/>
      </xdr:nvSpPr>
      <xdr:spPr>
        <a:xfrm>
          <a:off x="3657600" y="91440"/>
          <a:ext cx="6126480" cy="579120"/>
        </a:xfrm>
        <a:prstGeom prst="roundRect">
          <a:avLst>
            <a:gd name="adj" fmla="val 1083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0</xdr:col>
      <xdr:colOff>43543</xdr:colOff>
      <xdr:row>0</xdr:row>
      <xdr:rowOff>91439</xdr:rowOff>
    </xdr:from>
    <xdr:to>
      <xdr:col>5</xdr:col>
      <xdr:colOff>533401</xdr:colOff>
      <xdr:row>12</xdr:row>
      <xdr:rowOff>32657</xdr:rowOff>
    </xdr:to>
    <xdr:sp macro="" textlink="">
      <xdr:nvSpPr>
        <xdr:cNvPr id="3" name="Rectangle: Rounded Corners 2">
          <a:extLst>
            <a:ext uri="{FF2B5EF4-FFF2-40B4-BE49-F238E27FC236}">
              <a16:creationId xmlns:a16="http://schemas.microsoft.com/office/drawing/2014/main" id="{0C1801DB-7861-F53F-D49D-7BC70DE8CABB}"/>
            </a:ext>
          </a:extLst>
        </xdr:cNvPr>
        <xdr:cNvSpPr/>
      </xdr:nvSpPr>
      <xdr:spPr>
        <a:xfrm>
          <a:off x="43543" y="91439"/>
          <a:ext cx="3537858" cy="2161904"/>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16</xdr:col>
      <xdr:colOff>118533</xdr:colOff>
      <xdr:row>0</xdr:row>
      <xdr:rowOff>92286</xdr:rowOff>
    </xdr:from>
    <xdr:to>
      <xdr:col>24</xdr:col>
      <xdr:colOff>185057</xdr:colOff>
      <xdr:row>12</xdr:row>
      <xdr:rowOff>32657</xdr:rowOff>
    </xdr:to>
    <xdr:sp macro="" textlink="">
      <xdr:nvSpPr>
        <xdr:cNvPr id="5" name="Rectangle: Rounded Corners 4">
          <a:extLst>
            <a:ext uri="{FF2B5EF4-FFF2-40B4-BE49-F238E27FC236}">
              <a16:creationId xmlns:a16="http://schemas.microsoft.com/office/drawing/2014/main" id="{CC68B102-4281-C961-F10A-8873A92AEB4D}"/>
            </a:ext>
          </a:extLst>
        </xdr:cNvPr>
        <xdr:cNvSpPr/>
      </xdr:nvSpPr>
      <xdr:spPr>
        <a:xfrm>
          <a:off x="9872133" y="92286"/>
          <a:ext cx="4943324" cy="2161057"/>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24</xdr:col>
      <xdr:colOff>326571</xdr:colOff>
      <xdr:row>0</xdr:row>
      <xdr:rowOff>87087</xdr:rowOff>
    </xdr:from>
    <xdr:to>
      <xdr:col>31</xdr:col>
      <xdr:colOff>522515</xdr:colOff>
      <xdr:row>19</xdr:row>
      <xdr:rowOff>87085</xdr:rowOff>
    </xdr:to>
    <xdr:sp macro="" textlink="">
      <xdr:nvSpPr>
        <xdr:cNvPr id="6" name="Rectangle: Rounded Corners 5">
          <a:extLst>
            <a:ext uri="{FF2B5EF4-FFF2-40B4-BE49-F238E27FC236}">
              <a16:creationId xmlns:a16="http://schemas.microsoft.com/office/drawing/2014/main" id="{7EA71C82-7C87-D459-2225-6D5DEFCEF736}"/>
            </a:ext>
          </a:extLst>
        </xdr:cNvPr>
        <xdr:cNvSpPr/>
      </xdr:nvSpPr>
      <xdr:spPr>
        <a:xfrm>
          <a:off x="14956971" y="87087"/>
          <a:ext cx="4463144" cy="3516084"/>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5</xdr:col>
      <xdr:colOff>588739</xdr:colOff>
      <xdr:row>4</xdr:row>
      <xdr:rowOff>4848</xdr:rowOff>
    </xdr:from>
    <xdr:to>
      <xdr:col>9</xdr:col>
      <xdr:colOff>101600</xdr:colOff>
      <xdr:row>12</xdr:row>
      <xdr:rowOff>32656</xdr:rowOff>
    </xdr:to>
    <xdr:sp macro="" textlink="">
      <xdr:nvSpPr>
        <xdr:cNvPr id="7" name="Rectangle: Rounded Corners 6">
          <a:extLst>
            <a:ext uri="{FF2B5EF4-FFF2-40B4-BE49-F238E27FC236}">
              <a16:creationId xmlns:a16="http://schemas.microsoft.com/office/drawing/2014/main" id="{12558985-ABC9-A743-FC44-1ED21B74BDDF}"/>
            </a:ext>
          </a:extLst>
        </xdr:cNvPr>
        <xdr:cNvSpPr/>
      </xdr:nvSpPr>
      <xdr:spPr>
        <a:xfrm>
          <a:off x="3636739" y="745077"/>
          <a:ext cx="1951261" cy="1508265"/>
        </a:xfrm>
        <a:prstGeom prst="roundRect">
          <a:avLst>
            <a:gd name="adj" fmla="val 26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9</xdr:col>
      <xdr:colOff>186267</xdr:colOff>
      <xdr:row>4</xdr:row>
      <xdr:rowOff>669</xdr:rowOff>
    </xdr:from>
    <xdr:to>
      <xdr:col>12</xdr:col>
      <xdr:colOff>364067</xdr:colOff>
      <xdr:row>12</xdr:row>
      <xdr:rowOff>32657</xdr:rowOff>
    </xdr:to>
    <xdr:sp macro="" textlink="">
      <xdr:nvSpPr>
        <xdr:cNvPr id="8" name="Rectangle: Rounded Corners 7">
          <a:extLst>
            <a:ext uri="{FF2B5EF4-FFF2-40B4-BE49-F238E27FC236}">
              <a16:creationId xmlns:a16="http://schemas.microsoft.com/office/drawing/2014/main" id="{59A3ADA2-376B-6492-AFDC-42514D3A974C}"/>
            </a:ext>
          </a:extLst>
        </xdr:cNvPr>
        <xdr:cNvSpPr/>
      </xdr:nvSpPr>
      <xdr:spPr>
        <a:xfrm>
          <a:off x="5672667" y="740898"/>
          <a:ext cx="2006600" cy="1512445"/>
        </a:xfrm>
        <a:prstGeom prst="roundRect">
          <a:avLst>
            <a:gd name="adj" fmla="val 26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12</xdr:col>
      <xdr:colOff>457199</xdr:colOff>
      <xdr:row>3</xdr:row>
      <xdr:rowOff>177800</xdr:rowOff>
    </xdr:from>
    <xdr:to>
      <xdr:col>16</xdr:col>
      <xdr:colOff>33866</xdr:colOff>
      <xdr:row>12</xdr:row>
      <xdr:rowOff>54428</xdr:rowOff>
    </xdr:to>
    <xdr:sp macro="" textlink="">
      <xdr:nvSpPr>
        <xdr:cNvPr id="9" name="Rectangle: Rounded Corners 8">
          <a:extLst>
            <a:ext uri="{FF2B5EF4-FFF2-40B4-BE49-F238E27FC236}">
              <a16:creationId xmlns:a16="http://schemas.microsoft.com/office/drawing/2014/main" id="{45E12F84-3F76-EE84-491F-18437D2BE571}"/>
            </a:ext>
          </a:extLst>
        </xdr:cNvPr>
        <xdr:cNvSpPr/>
      </xdr:nvSpPr>
      <xdr:spPr>
        <a:xfrm>
          <a:off x="7772399" y="732971"/>
          <a:ext cx="2015067" cy="1542143"/>
        </a:xfrm>
        <a:prstGeom prst="roundRect">
          <a:avLst>
            <a:gd name="adj" fmla="val 26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16</xdr:col>
      <xdr:colOff>130629</xdr:colOff>
      <xdr:row>12</xdr:row>
      <xdr:rowOff>108857</xdr:rowOff>
    </xdr:from>
    <xdr:to>
      <xdr:col>24</xdr:col>
      <xdr:colOff>228600</xdr:colOff>
      <xdr:row>26</xdr:row>
      <xdr:rowOff>39914</xdr:rowOff>
    </xdr:to>
    <xdr:sp macro="" textlink="">
      <xdr:nvSpPr>
        <xdr:cNvPr id="15" name="Rectangle: Rounded Corners 14">
          <a:extLst>
            <a:ext uri="{FF2B5EF4-FFF2-40B4-BE49-F238E27FC236}">
              <a16:creationId xmlns:a16="http://schemas.microsoft.com/office/drawing/2014/main" id="{EFFDC6C9-A404-2A52-5011-F749C92922EF}"/>
            </a:ext>
          </a:extLst>
        </xdr:cNvPr>
        <xdr:cNvSpPr/>
      </xdr:nvSpPr>
      <xdr:spPr>
        <a:xfrm>
          <a:off x="9884229" y="2329543"/>
          <a:ext cx="4974771" cy="2521857"/>
        </a:xfrm>
        <a:prstGeom prst="roundRect">
          <a:avLst>
            <a:gd name="adj" fmla="val 245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16</xdr:col>
      <xdr:colOff>130629</xdr:colOff>
      <xdr:row>26</xdr:row>
      <xdr:rowOff>87086</xdr:rowOff>
    </xdr:from>
    <xdr:to>
      <xdr:col>24</xdr:col>
      <xdr:colOff>239486</xdr:colOff>
      <xdr:row>40</xdr:row>
      <xdr:rowOff>116116</xdr:rowOff>
    </xdr:to>
    <xdr:sp macro="" textlink="">
      <xdr:nvSpPr>
        <xdr:cNvPr id="16" name="Rectangle: Rounded Corners 15">
          <a:extLst>
            <a:ext uri="{FF2B5EF4-FFF2-40B4-BE49-F238E27FC236}">
              <a16:creationId xmlns:a16="http://schemas.microsoft.com/office/drawing/2014/main" id="{B6E7C3A5-A90F-238F-8A25-743D519E2BA7}"/>
            </a:ext>
          </a:extLst>
        </xdr:cNvPr>
        <xdr:cNvSpPr/>
      </xdr:nvSpPr>
      <xdr:spPr>
        <a:xfrm>
          <a:off x="9884229" y="4898572"/>
          <a:ext cx="4985657" cy="2619830"/>
        </a:xfrm>
        <a:prstGeom prst="roundRect">
          <a:avLst>
            <a:gd name="adj" fmla="val 3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editAs="absolute">
    <xdr:from>
      <xdr:col>8</xdr:col>
      <xdr:colOff>406400</xdr:colOff>
      <xdr:row>1</xdr:row>
      <xdr:rowOff>42330</xdr:rowOff>
    </xdr:from>
    <xdr:to>
      <xdr:col>15</xdr:col>
      <xdr:colOff>33866</xdr:colOff>
      <xdr:row>3</xdr:row>
      <xdr:rowOff>8464</xdr:rowOff>
    </xdr:to>
    <xdr:sp macro="" textlink="">
      <xdr:nvSpPr>
        <xdr:cNvPr id="17" name="TextBox 16">
          <a:extLst>
            <a:ext uri="{FF2B5EF4-FFF2-40B4-BE49-F238E27FC236}">
              <a16:creationId xmlns:a16="http://schemas.microsoft.com/office/drawing/2014/main" id="{DDE1C43F-359E-346E-3672-B4FDAA5E0D32}"/>
            </a:ext>
          </a:extLst>
        </xdr:cNvPr>
        <xdr:cNvSpPr txBox="1"/>
      </xdr:nvSpPr>
      <xdr:spPr>
        <a:xfrm>
          <a:off x="5283200" y="228597"/>
          <a:ext cx="3894666"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2000"/>
            <a:t>Superstore Sales Dashboard</a:t>
          </a:r>
        </a:p>
      </xdr:txBody>
    </xdr:sp>
    <xdr:clientData/>
  </xdr:twoCellAnchor>
  <xdr:twoCellAnchor editAs="oneCell">
    <xdr:from>
      <xdr:col>6</xdr:col>
      <xdr:colOff>135467</xdr:colOff>
      <xdr:row>0</xdr:row>
      <xdr:rowOff>140070</xdr:rowOff>
    </xdr:from>
    <xdr:to>
      <xdr:col>8</xdr:col>
      <xdr:colOff>262466</xdr:colOff>
      <xdr:row>3</xdr:row>
      <xdr:rowOff>59266</xdr:rowOff>
    </xdr:to>
    <xdr:pic>
      <xdr:nvPicPr>
        <xdr:cNvPr id="19" name="Picture 18">
          <a:extLst>
            <a:ext uri="{FF2B5EF4-FFF2-40B4-BE49-F238E27FC236}">
              <a16:creationId xmlns:a16="http://schemas.microsoft.com/office/drawing/2014/main" id="{D1357AC4-D6FE-574F-E4B4-FE3930B186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3067" y="140070"/>
          <a:ext cx="1346199" cy="477996"/>
        </a:xfrm>
        <a:prstGeom prst="rect">
          <a:avLst/>
        </a:prstGeom>
      </xdr:spPr>
    </xdr:pic>
    <xdr:clientData/>
  </xdr:twoCellAnchor>
  <xdr:twoCellAnchor editAs="absolute">
    <xdr:from>
      <xdr:col>6</xdr:col>
      <xdr:colOff>55338</xdr:colOff>
      <xdr:row>7</xdr:row>
      <xdr:rowOff>177801</xdr:rowOff>
    </xdr:from>
    <xdr:to>
      <xdr:col>8</xdr:col>
      <xdr:colOff>558799</xdr:colOff>
      <xdr:row>9</xdr:row>
      <xdr:rowOff>67736</xdr:rowOff>
    </xdr:to>
    <xdr:sp macro="" textlink="">
      <xdr:nvSpPr>
        <xdr:cNvPr id="22" name="TextBox 21">
          <a:extLst>
            <a:ext uri="{FF2B5EF4-FFF2-40B4-BE49-F238E27FC236}">
              <a16:creationId xmlns:a16="http://schemas.microsoft.com/office/drawing/2014/main" id="{57776FE2-1BAD-4666-821E-1818DF7B3E74}"/>
            </a:ext>
          </a:extLst>
        </xdr:cNvPr>
        <xdr:cNvSpPr txBox="1"/>
      </xdr:nvSpPr>
      <xdr:spPr>
        <a:xfrm>
          <a:off x="3712938" y="1481668"/>
          <a:ext cx="1722661"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1400"/>
            <a:t>Grand</a:t>
          </a:r>
          <a:r>
            <a:rPr lang="en-CA" sz="1400" baseline="0"/>
            <a:t> Total in Sales</a:t>
          </a:r>
          <a:endParaRPr lang="en-CA" sz="1400"/>
        </a:p>
      </xdr:txBody>
    </xdr:sp>
    <xdr:clientData/>
  </xdr:twoCellAnchor>
  <xdr:twoCellAnchor editAs="absolute">
    <xdr:from>
      <xdr:col>6</xdr:col>
      <xdr:colOff>110068</xdr:colOff>
      <xdr:row>6</xdr:row>
      <xdr:rowOff>157249</xdr:rowOff>
    </xdr:from>
    <xdr:to>
      <xdr:col>8</xdr:col>
      <xdr:colOff>491067</xdr:colOff>
      <xdr:row>8</xdr:row>
      <xdr:rowOff>1</xdr:rowOff>
    </xdr:to>
    <xdr:sp macro="" textlink="'Summary Table '!B4">
      <xdr:nvSpPr>
        <xdr:cNvPr id="23" name="TextBox 22">
          <a:extLst>
            <a:ext uri="{FF2B5EF4-FFF2-40B4-BE49-F238E27FC236}">
              <a16:creationId xmlns:a16="http://schemas.microsoft.com/office/drawing/2014/main" id="{5D2ECED3-A99E-41A7-88B9-E6750E0E3700}"/>
            </a:ext>
          </a:extLst>
        </xdr:cNvPr>
        <xdr:cNvSpPr txBox="1"/>
      </xdr:nvSpPr>
      <xdr:spPr>
        <a:xfrm>
          <a:off x="3767668" y="1274849"/>
          <a:ext cx="1600199" cy="21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1D42CCB-A8D3-4F19-A869-9D4459CC3BC3}" type="TxLink">
            <a:rPr lang="en-US" sz="1400" b="0" i="0" u="none" strike="noStrike">
              <a:solidFill>
                <a:srgbClr val="000000"/>
              </a:solidFill>
              <a:latin typeface="Aptos Narrow"/>
            </a:rPr>
            <a:pPr algn="ctr"/>
            <a:t>397322.6665</a:t>
          </a:fld>
          <a:endParaRPr lang="en-CA" sz="2000"/>
        </a:p>
      </xdr:txBody>
    </xdr:sp>
    <xdr:clientData/>
  </xdr:twoCellAnchor>
  <xdr:twoCellAnchor editAs="absolute">
    <xdr:from>
      <xdr:col>9</xdr:col>
      <xdr:colOff>300871</xdr:colOff>
      <xdr:row>7</xdr:row>
      <xdr:rowOff>177801</xdr:rowOff>
    </xdr:from>
    <xdr:to>
      <xdr:col>12</xdr:col>
      <xdr:colOff>194732</xdr:colOff>
      <xdr:row>9</xdr:row>
      <xdr:rowOff>67736</xdr:rowOff>
    </xdr:to>
    <xdr:sp macro="" textlink="">
      <xdr:nvSpPr>
        <xdr:cNvPr id="26" name="TextBox 25">
          <a:extLst>
            <a:ext uri="{FF2B5EF4-FFF2-40B4-BE49-F238E27FC236}">
              <a16:creationId xmlns:a16="http://schemas.microsoft.com/office/drawing/2014/main" id="{A6F1B811-7023-A1AD-E6EF-2B9061BE64E8}"/>
            </a:ext>
          </a:extLst>
        </xdr:cNvPr>
        <xdr:cNvSpPr txBox="1"/>
      </xdr:nvSpPr>
      <xdr:spPr>
        <a:xfrm>
          <a:off x="5787271" y="1481668"/>
          <a:ext cx="1722661"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1400"/>
            <a:t>Average</a:t>
          </a:r>
          <a:r>
            <a:rPr lang="en-CA" sz="1400" baseline="0"/>
            <a:t> Order Value</a:t>
          </a:r>
          <a:endParaRPr lang="en-CA" sz="1400"/>
        </a:p>
      </xdr:txBody>
    </xdr:sp>
    <xdr:clientData/>
  </xdr:twoCellAnchor>
  <xdr:twoCellAnchor editAs="absolute">
    <xdr:from>
      <xdr:col>9</xdr:col>
      <xdr:colOff>414869</xdr:colOff>
      <xdr:row>7</xdr:row>
      <xdr:rowOff>4847</xdr:rowOff>
    </xdr:from>
    <xdr:to>
      <xdr:col>12</xdr:col>
      <xdr:colOff>186268</xdr:colOff>
      <xdr:row>8</xdr:row>
      <xdr:rowOff>50799</xdr:rowOff>
    </xdr:to>
    <xdr:sp macro="" textlink="'Summary Table '!B7">
      <xdr:nvSpPr>
        <xdr:cNvPr id="27" name="TextBox 26">
          <a:extLst>
            <a:ext uri="{FF2B5EF4-FFF2-40B4-BE49-F238E27FC236}">
              <a16:creationId xmlns:a16="http://schemas.microsoft.com/office/drawing/2014/main" id="{FF6DFDAA-10D6-9702-F9C8-D370C0DE52C2}"/>
            </a:ext>
          </a:extLst>
        </xdr:cNvPr>
        <xdr:cNvSpPr txBox="1"/>
      </xdr:nvSpPr>
      <xdr:spPr>
        <a:xfrm>
          <a:off x="5901269" y="1308714"/>
          <a:ext cx="1600199" cy="23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0D16739-649D-49A4-A410-88009CD92D75}" type="TxLink">
            <a:rPr lang="en-US" sz="1400" b="0" i="0" u="none" strike="noStrike">
              <a:solidFill>
                <a:srgbClr val="000000"/>
              </a:solidFill>
              <a:latin typeface="Aptos Narrow"/>
            </a:rPr>
            <a:pPr algn="ctr"/>
            <a:t>230.7332558</a:t>
          </a:fld>
          <a:endParaRPr lang="en-CA" sz="2000"/>
        </a:p>
      </xdr:txBody>
    </xdr:sp>
    <xdr:clientData/>
  </xdr:twoCellAnchor>
  <xdr:twoCellAnchor editAs="absolute">
    <xdr:from>
      <xdr:col>13</xdr:col>
      <xdr:colOff>29937</xdr:colOff>
      <xdr:row>8</xdr:row>
      <xdr:rowOff>16935</xdr:rowOff>
    </xdr:from>
    <xdr:to>
      <xdr:col>15</xdr:col>
      <xdr:colOff>533398</xdr:colOff>
      <xdr:row>9</xdr:row>
      <xdr:rowOff>59268</xdr:rowOff>
    </xdr:to>
    <xdr:sp macro="" textlink="">
      <xdr:nvSpPr>
        <xdr:cNvPr id="28" name="TextBox 27">
          <a:extLst>
            <a:ext uri="{FF2B5EF4-FFF2-40B4-BE49-F238E27FC236}">
              <a16:creationId xmlns:a16="http://schemas.microsoft.com/office/drawing/2014/main" id="{B680D9BE-CA5C-7291-9D75-6CE1AE749E17}"/>
            </a:ext>
          </a:extLst>
        </xdr:cNvPr>
        <xdr:cNvSpPr txBox="1"/>
      </xdr:nvSpPr>
      <xdr:spPr>
        <a:xfrm>
          <a:off x="7954737" y="1507068"/>
          <a:ext cx="172266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CA" sz="1400"/>
            <a:t>Unique Orders</a:t>
          </a:r>
        </a:p>
      </xdr:txBody>
    </xdr:sp>
    <xdr:clientData/>
  </xdr:twoCellAnchor>
  <xdr:twoCellAnchor editAs="absolute">
    <xdr:from>
      <xdr:col>13</xdr:col>
      <xdr:colOff>50803</xdr:colOff>
      <xdr:row>7</xdr:row>
      <xdr:rowOff>21781</xdr:rowOff>
    </xdr:from>
    <xdr:to>
      <xdr:col>15</xdr:col>
      <xdr:colOff>431802</xdr:colOff>
      <xdr:row>8</xdr:row>
      <xdr:rowOff>67733</xdr:rowOff>
    </xdr:to>
    <xdr:sp macro="" textlink="'Summary Table '!B6">
      <xdr:nvSpPr>
        <xdr:cNvPr id="29" name="TextBox 28">
          <a:extLst>
            <a:ext uri="{FF2B5EF4-FFF2-40B4-BE49-F238E27FC236}">
              <a16:creationId xmlns:a16="http://schemas.microsoft.com/office/drawing/2014/main" id="{124A27BC-23FF-3D00-666B-7F08D95DD6E2}"/>
            </a:ext>
          </a:extLst>
        </xdr:cNvPr>
        <xdr:cNvSpPr txBox="1"/>
      </xdr:nvSpPr>
      <xdr:spPr>
        <a:xfrm>
          <a:off x="7975603" y="1325648"/>
          <a:ext cx="1600199" cy="23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8DCABC-4D71-4A03-AC1D-DC5E4981D4D8}" type="TxLink">
            <a:rPr lang="en-US" sz="1400" b="0" i="0" u="none" strike="noStrike">
              <a:solidFill>
                <a:srgbClr val="000000"/>
              </a:solidFill>
              <a:latin typeface="Aptos Narrow"/>
            </a:rPr>
            <a:pPr algn="ctr"/>
            <a:t>1722</a:t>
          </a:fld>
          <a:endParaRPr lang="en-US" sz="1400" b="0" i="0" u="none" strike="noStrike">
            <a:solidFill>
              <a:srgbClr val="000000"/>
            </a:solidFill>
            <a:latin typeface="Aptos Narrow"/>
          </a:endParaRPr>
        </a:p>
      </xdr:txBody>
    </xdr:sp>
    <xdr:clientData/>
  </xdr:twoCellAnchor>
  <xdr:twoCellAnchor>
    <xdr:from>
      <xdr:col>24</xdr:col>
      <xdr:colOff>381001</xdr:colOff>
      <xdr:row>0</xdr:row>
      <xdr:rowOff>152400</xdr:rowOff>
    </xdr:from>
    <xdr:to>
      <xdr:col>31</xdr:col>
      <xdr:colOff>478971</xdr:colOff>
      <xdr:row>19</xdr:row>
      <xdr:rowOff>43543</xdr:rowOff>
    </xdr:to>
    <xdr:graphicFrame macro="">
      <xdr:nvGraphicFramePr>
        <xdr:cNvPr id="30" name="Chart 29">
          <a:extLst>
            <a:ext uri="{FF2B5EF4-FFF2-40B4-BE49-F238E27FC236}">
              <a16:creationId xmlns:a16="http://schemas.microsoft.com/office/drawing/2014/main" id="{DECC7987-3054-4CBE-B97A-0DE851763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233438</xdr:colOff>
      <xdr:row>26</xdr:row>
      <xdr:rowOff>153608</xdr:rowOff>
    </xdr:from>
    <xdr:to>
      <xdr:col>24</xdr:col>
      <xdr:colOff>141514</xdr:colOff>
      <xdr:row>40</xdr:row>
      <xdr:rowOff>10885</xdr:rowOff>
    </xdr:to>
    <xdr:graphicFrame macro="">
      <xdr:nvGraphicFramePr>
        <xdr:cNvPr id="31" name="Chart 30">
          <a:extLst>
            <a:ext uri="{FF2B5EF4-FFF2-40B4-BE49-F238E27FC236}">
              <a16:creationId xmlns:a16="http://schemas.microsoft.com/office/drawing/2014/main" id="{7FDC2FBA-F4BF-4CCB-B047-27DF7A014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185058</xdr:colOff>
      <xdr:row>13</xdr:row>
      <xdr:rowOff>0</xdr:rowOff>
    </xdr:from>
    <xdr:to>
      <xdr:col>24</xdr:col>
      <xdr:colOff>152400</xdr:colOff>
      <xdr:row>25</xdr:row>
      <xdr:rowOff>163285</xdr:rowOff>
    </xdr:to>
    <xdr:graphicFrame macro="">
      <xdr:nvGraphicFramePr>
        <xdr:cNvPr id="32" name="Chart 31">
          <a:extLst>
            <a:ext uri="{FF2B5EF4-FFF2-40B4-BE49-F238E27FC236}">
              <a16:creationId xmlns:a16="http://schemas.microsoft.com/office/drawing/2014/main" id="{6FB63252-DA70-4A33-9B23-44F5BE76A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0</xdr:row>
      <xdr:rowOff>127000</xdr:rowOff>
    </xdr:from>
    <xdr:to>
      <xdr:col>24</xdr:col>
      <xdr:colOff>97970</xdr:colOff>
      <xdr:row>11</xdr:row>
      <xdr:rowOff>152400</xdr:rowOff>
    </xdr:to>
    <xdr:graphicFrame macro="">
      <xdr:nvGraphicFramePr>
        <xdr:cNvPr id="33" name="Chart 32">
          <a:extLst>
            <a:ext uri="{FF2B5EF4-FFF2-40B4-BE49-F238E27FC236}">
              <a16:creationId xmlns:a16="http://schemas.microsoft.com/office/drawing/2014/main" id="{260FF471-88DB-4930-8A2E-E60D2AE0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32658</xdr:colOff>
      <xdr:row>12</xdr:row>
      <xdr:rowOff>97971</xdr:rowOff>
    </xdr:from>
    <xdr:to>
      <xdr:col>16</xdr:col>
      <xdr:colOff>32658</xdr:colOff>
      <xdr:row>40</xdr:row>
      <xdr:rowOff>97970</xdr:rowOff>
    </xdr:to>
    <xdr:sp macro="" textlink="">
      <xdr:nvSpPr>
        <xdr:cNvPr id="35" name="Rectangle: Rounded Corners 34">
          <a:extLst>
            <a:ext uri="{FF2B5EF4-FFF2-40B4-BE49-F238E27FC236}">
              <a16:creationId xmlns:a16="http://schemas.microsoft.com/office/drawing/2014/main" id="{2A3459BC-C07D-CF1C-70F8-F27F81D0280F}"/>
            </a:ext>
          </a:extLst>
        </xdr:cNvPr>
        <xdr:cNvSpPr/>
      </xdr:nvSpPr>
      <xdr:spPr>
        <a:xfrm>
          <a:off x="32658" y="2318657"/>
          <a:ext cx="9753600" cy="5181599"/>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0</xdr:col>
      <xdr:colOff>163286</xdr:colOff>
      <xdr:row>13</xdr:row>
      <xdr:rowOff>10887</xdr:rowOff>
    </xdr:from>
    <xdr:to>
      <xdr:col>15</xdr:col>
      <xdr:colOff>598714</xdr:colOff>
      <xdr:row>40</xdr:row>
      <xdr:rowOff>0</xdr:rowOff>
    </xdr:to>
    <xdr:graphicFrame macro="">
      <xdr:nvGraphicFramePr>
        <xdr:cNvPr id="36" name="Chart 35">
          <a:extLst>
            <a:ext uri="{FF2B5EF4-FFF2-40B4-BE49-F238E27FC236}">
              <a16:creationId xmlns:a16="http://schemas.microsoft.com/office/drawing/2014/main" id="{411E9E2C-9CA2-47E2-917E-0354B9D5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84667</xdr:colOff>
      <xdr:row>0</xdr:row>
      <xdr:rowOff>91439</xdr:rowOff>
    </xdr:from>
    <xdr:to>
      <xdr:col>5</xdr:col>
      <xdr:colOff>522754</xdr:colOff>
      <xdr:row>3</xdr:row>
      <xdr:rowOff>171437</xdr:rowOff>
    </xdr:to>
    <mc:AlternateContent xmlns:mc="http://schemas.openxmlformats.org/markup-compatibility/2006" xmlns:a14="http://schemas.microsoft.com/office/drawing/2010/main">
      <mc:Choice Requires="a14">
        <xdr:graphicFrame macro="">
          <xdr:nvGraphicFramePr>
            <xdr:cNvPr id="45" name="Order Year 2">
              <a:extLst>
                <a:ext uri="{FF2B5EF4-FFF2-40B4-BE49-F238E27FC236}">
                  <a16:creationId xmlns:a16="http://schemas.microsoft.com/office/drawing/2014/main" id="{C965C468-5C02-4137-AFF9-E29481083337}"/>
                </a:ext>
              </a:extLst>
            </xdr:cNvPr>
            <xdr:cNvGraphicFramePr/>
          </xdr:nvGraphicFramePr>
          <xdr:xfrm>
            <a:off x="0" y="0"/>
            <a:ext cx="0" cy="0"/>
          </xdr:xfrm>
          <a:graphic>
            <a:graphicData uri="http://schemas.microsoft.com/office/drawing/2010/slicer">
              <sle:slicer xmlns:sle="http://schemas.microsoft.com/office/drawing/2010/slicer" name="Order Year 2"/>
            </a:graphicData>
          </a:graphic>
        </xdr:graphicFrame>
      </mc:Choice>
      <mc:Fallback xmlns="">
        <xdr:sp macro="" textlink="">
          <xdr:nvSpPr>
            <xdr:cNvPr id="0" name=""/>
            <xdr:cNvSpPr>
              <a:spLocks noTextEdit="1"/>
            </xdr:cNvSpPr>
          </xdr:nvSpPr>
          <xdr:spPr>
            <a:xfrm>
              <a:off x="84667" y="91439"/>
              <a:ext cx="3486087" cy="63516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4</xdr:row>
      <xdr:rowOff>15239</xdr:rowOff>
    </xdr:from>
    <xdr:to>
      <xdr:col>5</xdr:col>
      <xdr:colOff>489857</xdr:colOff>
      <xdr:row>8</xdr:row>
      <xdr:rowOff>43543</xdr:rowOff>
    </xdr:to>
    <mc:AlternateContent xmlns:mc="http://schemas.openxmlformats.org/markup-compatibility/2006" xmlns:a14="http://schemas.microsoft.com/office/drawing/2010/main">
      <mc:Choice Requires="a14">
        <xdr:graphicFrame macro="">
          <xdr:nvGraphicFramePr>
            <xdr:cNvPr id="46" name="Segment 2">
              <a:extLst>
                <a:ext uri="{FF2B5EF4-FFF2-40B4-BE49-F238E27FC236}">
                  <a16:creationId xmlns:a16="http://schemas.microsoft.com/office/drawing/2014/main" id="{961A5ABF-7DDF-4AD4-8C73-EE73C51F27E8}"/>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76200" y="755468"/>
              <a:ext cx="3461657" cy="76853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87085</xdr:colOff>
      <xdr:row>8</xdr:row>
      <xdr:rowOff>87086</xdr:rowOff>
    </xdr:from>
    <xdr:to>
      <xdr:col>5</xdr:col>
      <xdr:colOff>478971</xdr:colOff>
      <xdr:row>11</xdr:row>
      <xdr:rowOff>141513</xdr:rowOff>
    </xdr:to>
    <mc:AlternateContent xmlns:mc="http://schemas.openxmlformats.org/markup-compatibility/2006" xmlns:a14="http://schemas.microsoft.com/office/drawing/2010/main">
      <mc:Choice Requires="a14">
        <xdr:graphicFrame macro="">
          <xdr:nvGraphicFramePr>
            <xdr:cNvPr id="47" name="Region 2">
              <a:extLst>
                <a:ext uri="{FF2B5EF4-FFF2-40B4-BE49-F238E27FC236}">
                  <a16:creationId xmlns:a16="http://schemas.microsoft.com/office/drawing/2014/main" id="{E7C916E0-622D-48C7-B989-49341CBC1C5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7085" y="1567543"/>
              <a:ext cx="3439886" cy="6095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24</xdr:col>
      <xdr:colOff>315686</xdr:colOff>
      <xdr:row>19</xdr:row>
      <xdr:rowOff>152401</xdr:rowOff>
    </xdr:from>
    <xdr:to>
      <xdr:col>31</xdr:col>
      <xdr:colOff>533400</xdr:colOff>
      <xdr:row>40</xdr:row>
      <xdr:rowOff>97971</xdr:rowOff>
    </xdr:to>
    <xdr:sp macro="" textlink="">
      <xdr:nvSpPr>
        <xdr:cNvPr id="48" name="Rectangle: Rounded Corners 47">
          <a:extLst>
            <a:ext uri="{FF2B5EF4-FFF2-40B4-BE49-F238E27FC236}">
              <a16:creationId xmlns:a16="http://schemas.microsoft.com/office/drawing/2014/main" id="{1BDA3CD9-3A41-4F32-C5AE-7AA71FF6CBB1}"/>
            </a:ext>
          </a:extLst>
        </xdr:cNvPr>
        <xdr:cNvSpPr/>
      </xdr:nvSpPr>
      <xdr:spPr>
        <a:xfrm>
          <a:off x="14946086" y="3668487"/>
          <a:ext cx="4484914" cy="3831770"/>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24</xdr:col>
      <xdr:colOff>359229</xdr:colOff>
      <xdr:row>20</xdr:row>
      <xdr:rowOff>43544</xdr:rowOff>
    </xdr:from>
    <xdr:to>
      <xdr:col>31</xdr:col>
      <xdr:colOff>457200</xdr:colOff>
      <xdr:row>40</xdr:row>
      <xdr:rowOff>32657</xdr:rowOff>
    </xdr:to>
    <xdr:graphicFrame macro="">
      <xdr:nvGraphicFramePr>
        <xdr:cNvPr id="49" name="Chart 48">
          <a:extLst>
            <a:ext uri="{FF2B5EF4-FFF2-40B4-BE49-F238E27FC236}">
              <a16:creationId xmlns:a16="http://schemas.microsoft.com/office/drawing/2014/main" id="{83E399B6-0DA5-443A-8450-E3DA184D5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141513</xdr:colOff>
      <xdr:row>4</xdr:row>
      <xdr:rowOff>10886</xdr:rowOff>
    </xdr:from>
    <xdr:to>
      <xdr:col>16</xdr:col>
      <xdr:colOff>54427</xdr:colOff>
      <xdr:row>6</xdr:row>
      <xdr:rowOff>163286</xdr:rowOff>
    </xdr:to>
    <xdr:pic>
      <xdr:nvPicPr>
        <xdr:cNvPr id="51" name="Graphic 50" descr="Fingerprint with solid fill">
          <a:extLst>
            <a:ext uri="{FF2B5EF4-FFF2-40B4-BE49-F238E27FC236}">
              <a16:creationId xmlns:a16="http://schemas.microsoft.com/office/drawing/2014/main" id="{90C2F393-4C1B-488B-B912-3AF2937D129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5513" y="751115"/>
          <a:ext cx="522514" cy="522514"/>
        </a:xfrm>
        <a:prstGeom prst="rect">
          <a:avLst/>
        </a:prstGeom>
      </xdr:spPr>
    </xdr:pic>
    <xdr:clientData/>
  </xdr:twoCellAnchor>
  <xdr:twoCellAnchor editAs="oneCell">
    <xdr:from>
      <xdr:col>11</xdr:col>
      <xdr:colOff>500743</xdr:colOff>
      <xdr:row>4</xdr:row>
      <xdr:rowOff>21770</xdr:rowOff>
    </xdr:from>
    <xdr:to>
      <xdr:col>12</xdr:col>
      <xdr:colOff>354131</xdr:colOff>
      <xdr:row>6</xdr:row>
      <xdr:rowOff>87085</xdr:rowOff>
    </xdr:to>
    <xdr:pic>
      <xdr:nvPicPr>
        <xdr:cNvPr id="53" name="Graphic 52" descr="Magnifying glass with solid fill">
          <a:extLst>
            <a:ext uri="{FF2B5EF4-FFF2-40B4-BE49-F238E27FC236}">
              <a16:creationId xmlns:a16="http://schemas.microsoft.com/office/drawing/2014/main" id="{548C0661-526A-6218-2DE4-29DB142E22F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06343" y="761999"/>
          <a:ext cx="462988" cy="435429"/>
        </a:xfrm>
        <a:prstGeom prst="rect">
          <a:avLst/>
        </a:prstGeom>
      </xdr:spPr>
    </xdr:pic>
    <xdr:clientData/>
  </xdr:twoCellAnchor>
  <xdr:twoCellAnchor editAs="oneCell">
    <xdr:from>
      <xdr:col>8</xdr:col>
      <xdr:colOff>217713</xdr:colOff>
      <xdr:row>3</xdr:row>
      <xdr:rowOff>185056</xdr:rowOff>
    </xdr:from>
    <xdr:to>
      <xdr:col>9</xdr:col>
      <xdr:colOff>21772</xdr:colOff>
      <xdr:row>6</xdr:row>
      <xdr:rowOff>43543</xdr:rowOff>
    </xdr:to>
    <xdr:pic>
      <xdr:nvPicPr>
        <xdr:cNvPr id="55" name="Graphic 54" descr="Bullseye with solid fill">
          <a:extLst>
            <a:ext uri="{FF2B5EF4-FFF2-40B4-BE49-F238E27FC236}">
              <a16:creationId xmlns:a16="http://schemas.microsoft.com/office/drawing/2014/main" id="{B9800F8B-A85A-7E40-0836-360E022BFCF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94513" y="740227"/>
          <a:ext cx="413659" cy="41365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Imtiaz" refreshedDate="45857.556739120373" createdVersion="8" refreshedVersion="8" minRefreshableVersion="3" recordCount="1722" xr:uid="{C2EFD28D-B07D-4F06-8FA0-390FE6839EFD}">
  <cacheSource type="worksheet">
    <worksheetSource name="Superstore_Sales_ProjectProject"/>
  </cacheSource>
  <cacheFields count="16">
    <cacheField name="Order Year" numFmtId="0">
      <sharedItems containsSemiMixedTypes="0" containsString="0" containsNumber="1" containsInteger="1" minValue="2015" maxValue="2018" count="4">
        <n v="2018"/>
        <n v="2015"/>
        <n v="2017"/>
        <n v="2016"/>
      </sharedItems>
    </cacheField>
    <cacheField name="Order ID" numFmtId="0">
      <sharedItems containsSemiMixedTypes="0" containsString="0" containsNumber="1" containsInteger="1" minValue="100006" maxValue="169922"/>
    </cacheField>
    <cacheField name="Order Date" numFmtId="0">
      <sharedItems count="873">
        <s v="18/12/2018"/>
        <s v="01/08/2018"/>
        <s v="02/01/2018"/>
        <s v="27/07/2015"/>
        <s v="28/03/2017"/>
        <s v="07/05/2018"/>
        <s v="29/08/2017"/>
        <s v="13/03/2017"/>
        <s v="26/11/2018"/>
        <s v="15/04/2018"/>
        <s v="09/11/2016"/>
        <s v="02/12/2018"/>
        <s v="11/09/2017"/>
        <s v="05/06/2018"/>
        <s v="20/12/2015"/>
        <s v="19/11/2018"/>
        <s v="02/02/2017"/>
        <s v="18/07/2015"/>
        <s v="10/09/2016"/>
        <s v="16/11/2015"/>
        <s v="28/03/2016"/>
        <s v="05/12/2018"/>
        <s v="25/06/2016"/>
        <s v="04/07/2016"/>
        <s v="14/06/2016"/>
        <s v="19/11/2015"/>
        <s v="26/12/2015"/>
        <s v="22/01/2018"/>
        <s v="18/12/2017"/>
        <s v="05/11/2018"/>
        <s v="20/02/2017"/>
        <s v="10/11/2016"/>
        <s v="17/09/2018"/>
        <s v="02/12/2017"/>
        <s v="08/12/2018"/>
        <s v="04/05/2016"/>
        <s v="21/06/2018"/>
        <s v="15/03/2015"/>
        <s v="25/06/2017"/>
        <s v="17/07/2018"/>
        <s v="16/06/2018"/>
        <s v="26/06/2017"/>
        <s v="02/06/2018"/>
        <s v="13/05/2015"/>
        <s v="04/11/2017"/>
        <s v="28/10/2017"/>
        <s v="05/11/2017"/>
        <s v="05/12/2017"/>
        <s v="03/03/2017"/>
        <s v="04/10/2016"/>
        <s v="31/03/2015"/>
        <s v="10/12/2018"/>
        <s v="16/07/2017"/>
        <s v="06/10/2015"/>
        <s v="14/11/2017"/>
        <s v="08/05/2016"/>
        <s v="24/10/2015"/>
        <s v="10/07/2017"/>
        <s v="21/04/2015"/>
        <s v="03/09/2015"/>
        <s v="20/11/2017"/>
        <s v="03/10/2015"/>
        <s v="19/06/2018"/>
        <s v="27/08/2018"/>
        <s v="12/07/2015"/>
        <s v="24/11/2017"/>
        <s v="27/12/2015"/>
        <s v="03/10/2018"/>
        <s v="19/12/2018"/>
        <s v="15/06/2016"/>
        <s v="17/07/2017"/>
        <s v="04/05/2015"/>
        <s v="26/10/2016"/>
        <s v="13/10/2018"/>
        <s v="23/05/2015"/>
        <s v="31/08/2016"/>
        <s v="09/08/2015"/>
        <s v="02/09/2015"/>
        <s v="22/11/2016"/>
        <s v="24/12/2018"/>
        <s v="06/04/2015"/>
        <s v="09/12/2018"/>
        <s v="06/07/2018"/>
        <s v="18/02/2016"/>
        <s v="18/11/2015"/>
        <s v="01/08/2015"/>
        <s v="30/04/2018"/>
        <s v="01/12/2015"/>
        <s v="15/10/2015"/>
        <s v="24/09/2018"/>
        <s v="07/09/2018"/>
        <s v="29/07/2018"/>
        <s v="14/01/2017"/>
        <s v="08/09/2017"/>
        <s v="12/11/2016"/>
        <s v="25/06/2018"/>
        <s v="25/09/2016"/>
        <s v="19/09/2017"/>
        <s v="03/03/2015"/>
        <s v="23/05/2017"/>
        <s v="03/11/2015"/>
        <s v="07/07/2018"/>
        <s v="19/05/2018"/>
        <s v="12/05/2016"/>
        <s v="25/03/2015"/>
        <s v="17/09/2015"/>
        <s v="16/10/2018"/>
        <s v="31/10/2015"/>
        <s v="10/01/2015"/>
        <s v="22/01/2017"/>
        <s v="12/09/2017"/>
        <s v="14/05/2015"/>
        <s v="05/01/2017"/>
        <s v="29/12/2015"/>
        <s v="11/12/2017"/>
        <s v="02/11/2018"/>
        <s v="30/06/2015"/>
        <s v="29/11/2016"/>
        <s v="09/09/2018"/>
        <s v="17/12/2018"/>
        <s v="20/12/2016"/>
        <s v="06/12/2016"/>
        <s v="18/11/2018"/>
        <s v="13/10/2016"/>
        <s v="23/07/2015"/>
        <s v="27/12/2016"/>
        <s v="03/09/2018"/>
        <s v="05/09/2016"/>
        <s v="23/08/2015"/>
        <s v="23/09/2018"/>
        <s v="18/11/2017"/>
        <s v="30/12/2015"/>
        <s v="17/10/2018"/>
        <s v="14/09/2015"/>
        <s v="30/09/2018"/>
        <s v="05/07/2016"/>
        <s v="01/04/2017"/>
        <s v="01/06/2018"/>
        <s v="16/09/2018"/>
        <s v="05/05/2017"/>
        <s v="02/08/2017"/>
        <s v="30/10/2016"/>
        <s v="18/09/2018"/>
        <s v="12/09/2018"/>
        <s v="19/12/2015"/>
        <s v="07/06/2015"/>
        <s v="20/03/2016"/>
        <s v="08/10/2017"/>
        <s v="27/05/2018"/>
        <s v="11/06/2018"/>
        <s v="08/09/2015"/>
        <s v="26/02/2018"/>
        <s v="02/10/2018"/>
        <s v="04/06/2016"/>
        <s v="10/07/2018"/>
        <s v="31/12/2017"/>
        <s v="13/04/2015"/>
        <s v="30/04/2017"/>
        <s v="24/12/2015"/>
        <s v="30/09/2015"/>
        <s v="10/06/2018"/>
        <s v="13/03/2018"/>
        <s v="21/11/2018"/>
        <s v="26/03/2016"/>
        <s v="30/01/2018"/>
        <s v="14/10/2018"/>
        <s v="19/03/2016"/>
        <s v="03/08/2015"/>
        <s v="22/03/2015"/>
        <s v="31/05/2017"/>
        <s v="12/04/2017"/>
        <s v="06/09/2016"/>
        <s v="28/01/2018"/>
        <s v="12/04/2018"/>
        <s v="24/06/2017"/>
        <s v="15/04/2017"/>
        <s v="31/05/2016"/>
        <s v="23/03/2018"/>
        <s v="02/09/2018"/>
        <s v="15/08/2018"/>
        <s v="19/08/2015"/>
        <s v="16/04/2017"/>
        <s v="03/12/2016"/>
        <s v="07/02/2017"/>
        <s v="18/06/2017"/>
        <s v="19/03/2017"/>
        <s v="12/09/2015"/>
        <s v="06/12/2018"/>
        <s v="01/02/2015"/>
        <s v="25/11/2018"/>
        <s v="21/12/2018"/>
        <s v="01/09/2018"/>
        <s v="22/12/2015"/>
        <s v="15/09/2018"/>
        <s v="11/11/2017"/>
        <s v="26/12/2017"/>
        <s v="05/06/2016"/>
        <s v="05/12/2015"/>
        <s v="26/12/2016"/>
        <s v="22/10/2018"/>
        <s v="13/05/2018"/>
        <s v="23/09/2015"/>
        <s v="20/11/2016"/>
        <s v="09/11/2018"/>
        <s v="17/11/2016"/>
        <s v="20/11/2018"/>
        <s v="10/04/2017"/>
        <s v="28/11/2015"/>
        <s v="30/05/2017"/>
        <s v="09/06/2015"/>
        <s v="03/07/2016"/>
        <s v="18/05/2015"/>
        <s v="29/12/2018"/>
        <s v="02/05/2017"/>
        <s v="03/10/2016"/>
        <s v="14/07/2017"/>
        <s v="06/06/2015"/>
        <s v="26/09/2016"/>
        <s v="09/04/2018"/>
        <s v="14/11/2015"/>
        <s v="23/09/2017"/>
        <s v="10/03/2018"/>
        <s v="31/12/2015"/>
        <s v="11/02/2018"/>
        <s v="23/01/2016"/>
        <s v="24/03/2015"/>
        <s v="29/12/2017"/>
        <s v="27/11/2016"/>
        <s v="08/06/2015"/>
        <s v="20/07/2018"/>
        <s v="05/04/2016"/>
        <s v="18/03/2018"/>
        <s v="29/06/2018"/>
        <s v="15/09/2016"/>
        <s v="10/03/2017"/>
        <s v="22/07/2017"/>
        <s v="24/06/2018"/>
        <s v="03/12/2017"/>
        <s v="07/05/2017"/>
        <s v="01/05/2018"/>
        <s v="21/03/2015"/>
        <s v="11/09/2018"/>
        <s v="10/09/2017"/>
        <s v="19/03/2018"/>
        <s v="20/06/2017"/>
        <s v="24/04/2017"/>
        <s v="08/08/2017"/>
        <s v="08/02/2017"/>
        <s v="09/10/2018"/>
        <s v="04/12/2015"/>
        <s v="13/01/2018"/>
        <s v="07/07/2017"/>
        <s v="29/09/2017"/>
        <s v="31/03/2018"/>
        <s v="28/08/2017"/>
        <s v="05/08/2015"/>
        <s v="21/09/2016"/>
        <s v="07/09/2016"/>
        <s v="30/01/2016"/>
        <s v="28/09/2018"/>
        <s v="17/04/2017"/>
        <s v="26/09/2017"/>
        <s v="03/08/2018"/>
        <s v="16/11/2018"/>
        <s v="21/11/2017"/>
        <s v="11/03/2015"/>
        <s v="16/06/2015"/>
        <s v="26/06/2018"/>
        <s v="07/05/2016"/>
        <s v="08/07/2017"/>
        <s v="01/05/2017"/>
        <s v="03/11/2016"/>
        <s v="28/06/2017"/>
        <s v="14/09/2016"/>
        <s v="04/11/2018"/>
        <s v="25/03/2018"/>
        <s v="02/06/2015"/>
        <s v="21/05/2017"/>
        <s v="17/03/2015"/>
        <s v="14/10/2017"/>
        <s v="17/11/2018"/>
        <s v="15/08/2015"/>
        <s v="16/03/2016"/>
        <s v="28/12/2018"/>
        <s v="13/11/2018"/>
        <s v="26/09/2015"/>
        <s v="07/04/2018"/>
        <s v="25/07/2017"/>
        <s v="13/11/2017"/>
        <s v="06/11/2018"/>
        <s v="30/12/2018"/>
        <s v="17/01/2017"/>
        <s v="10/11/2017"/>
        <s v="03/07/2018"/>
        <s v="07/10/2017"/>
        <s v="01/11/2017"/>
        <s v="17/09/2017"/>
        <s v="08/11/2017"/>
        <s v="07/11/2017"/>
        <s v="09/07/2016"/>
        <s v="02/01/2016"/>
        <s v="03/12/2018"/>
        <s v="01/12/2018"/>
        <s v="04/03/2015"/>
        <s v="03/11/2017"/>
        <s v="08/05/2017"/>
        <s v="17/03/2018"/>
        <s v="14/11/2018"/>
        <s v="27/08/2015"/>
        <s v="10/10/2017"/>
        <s v="30/07/2016"/>
        <s v="01/06/2015"/>
        <s v="29/11/2015"/>
        <s v="01/10/2018"/>
        <s v="27/11/2017"/>
        <s v="16/12/2017"/>
        <s v="23/10/2016"/>
        <s v="10/10/2015"/>
        <s v="22/08/2017"/>
        <s v="12/06/2017"/>
        <s v="15/08/2017"/>
        <s v="07/02/2015"/>
        <s v="28/06/2015"/>
        <s v="26/07/2016"/>
        <s v="15/10/2017"/>
        <s v="02/02/2015"/>
        <s v="20/01/2018"/>
        <s v="18/02/2018"/>
        <s v="25/12/2018"/>
        <s v="01/09/2017"/>
        <s v="17/02/2018"/>
        <s v="31/10/2016"/>
        <s v="24/04/2018"/>
        <s v="09/12/2017"/>
        <s v="26/03/2015"/>
        <s v="04/06/2018"/>
        <s v="22/06/2018"/>
        <s v="13/09/2015"/>
        <s v="29/06/2015"/>
        <s v="27/02/2017"/>
        <s v="19/01/2018"/>
        <s v="27/12/2018"/>
        <s v="28/11/2016"/>
        <s v="15/11/2018"/>
        <s v="09/09/2015"/>
        <s v="12/10/2016"/>
        <s v="03/11/2018"/>
        <s v="22/09/2016"/>
        <s v="02/08/2016"/>
        <s v="07/12/2016"/>
        <s v="05/05/2018"/>
        <s v="24/11/2016"/>
        <s v="18/04/2016"/>
        <s v="14/05/2018"/>
        <s v="08/07/2016"/>
        <s v="21/01/2018"/>
        <s v="04/04/2018"/>
        <s v="04/12/2018"/>
        <s v="06/06/2017"/>
        <s v="21/06/2015"/>
        <s v="28/03/2018"/>
        <s v="13/06/2016"/>
        <s v="02/03/2016"/>
        <s v="09/10/2016"/>
        <s v="19/09/2018"/>
        <s v="13/04/2018"/>
        <s v="22/08/2016"/>
        <s v="12/11/2018"/>
        <s v="24/12/2016"/>
        <s v="30/01/2017"/>
        <s v="04/10/2015"/>
        <s v="21/08/2016"/>
        <s v="09/08/2016"/>
        <s v="04/09/2016"/>
        <s v="15/09/2017"/>
        <s v="26/03/2017"/>
        <s v="20/12/2018"/>
        <s v="24/09/2016"/>
        <s v="11/01/2017"/>
        <s v="04/02/2015"/>
        <s v="07/11/2018"/>
        <s v="07/10/2018"/>
        <s v="07/12/2018"/>
        <s v="28/11/2018"/>
        <s v="10/12/2017"/>
        <s v="16/01/2015"/>
        <s v="06/02/2015"/>
        <s v="23/06/2015"/>
        <s v="08/04/2018"/>
        <s v="26/04/2017"/>
        <s v="11/12/2018"/>
        <s v="12/12/2016"/>
        <s v="07/09/2015"/>
        <s v="24/03/2016"/>
        <s v="16/05/2017"/>
        <s v="29/03/2016"/>
        <s v="22/06/2015"/>
        <s v="12/11/2017"/>
        <s v="20/08/2017"/>
        <s v="07/01/2017"/>
        <s v="08/05/2018"/>
        <s v="17/08/2015"/>
        <s v="05/09/2017"/>
        <s v="08/09/2018"/>
        <s v="06/05/2018"/>
        <s v="20/09/2015"/>
        <s v="25/07/2018"/>
        <s v="02/02/2018"/>
        <s v="24/08/2015"/>
        <s v="07/04/2017"/>
        <s v="08/06/2018"/>
        <s v="01/07/2015"/>
        <s v="01/09/2016"/>
        <s v="14/12/2016"/>
        <s v="19/11/2017"/>
        <s v="27/11/2018"/>
        <s v="07/11/2016"/>
        <s v="12/08/2015"/>
        <s v="12/10/2015"/>
        <s v="08/10/2015"/>
        <s v="14/06/2017"/>
        <s v="07/03/2017"/>
        <s v="02/10/2016"/>
        <s v="20/10/2018"/>
        <s v="08/07/2015"/>
        <s v="03/03/2018"/>
        <s v="22/04/2017"/>
        <s v="16/04/2018"/>
        <s v="02/06/2017"/>
        <s v="17/08/2018"/>
        <s v="30/05/2016"/>
        <s v="16/07/2016"/>
        <s v="27/08/2017"/>
        <s v="04/12/2017"/>
        <s v="13/12/2015"/>
        <s v="06/09/2017"/>
        <s v="21/12/2016"/>
        <s v="21/09/2018"/>
        <s v="03/10/2017"/>
        <s v="08/11/2015"/>
        <s v="24/10/2017"/>
        <s v="02/11/2016"/>
        <s v="11/11/2018"/>
        <s v="22/10/2017"/>
        <s v="16/01/2017"/>
        <s v="10/07/2016"/>
        <s v="28/12/2016"/>
        <s v="04/01/2017"/>
        <s v="24/11/2015"/>
        <s v="31/03/2017"/>
        <s v="22/09/2018"/>
        <s v="28/04/2017"/>
        <s v="23/05/2016"/>
        <s v="26/11/2016"/>
        <s v="16/02/2017"/>
        <s v="31/07/2018"/>
        <s v="13/08/2017"/>
        <s v="19/12/2017"/>
        <s v="21/11/2016"/>
        <s v="08/04/2017"/>
        <s v="24/05/2017"/>
        <s v="25/10/2015"/>
        <s v="29/04/2018"/>
        <s v="23/12/2018"/>
        <s v="13/06/2015"/>
        <s v="09/02/2016"/>
        <s v="19/09/2015"/>
        <s v="06/03/2018"/>
        <s v="15/10/2018"/>
        <s v="26/08/2015"/>
        <s v="22/07/2018"/>
        <s v="12/07/2016"/>
        <s v="22/03/2016"/>
        <s v="06/06/2018"/>
        <s v="30/06/2018"/>
        <s v="22/04/2018"/>
        <s v="26/03/2018"/>
        <s v="19/04/2017"/>
        <s v="14/12/2018"/>
        <s v="05/04/2017"/>
        <s v="06/08/2018"/>
        <s v="01/12/2017"/>
        <s v="08/12/2017"/>
        <s v="10/05/2017"/>
        <s v="06/05/2017"/>
        <s v="02/07/2017"/>
        <s v="11/09/2016"/>
        <s v="29/10/2018"/>
        <s v="12/06/2016"/>
        <s v="25/12/2017"/>
        <s v="13/07/2015"/>
        <s v="23/04/2017"/>
        <s v="11/08/2015"/>
        <s v="09/06/2017"/>
        <s v="01/10/2017"/>
        <s v="10/05/2015"/>
        <s v="27/04/2016"/>
        <s v="06/12/2017"/>
        <s v="21/08/2018"/>
        <s v="24/11/2018"/>
        <s v="25/08/2018"/>
        <s v="01/01/2018"/>
        <s v="15/10/2016"/>
        <s v="01/11/2016"/>
        <s v="03/07/2017"/>
        <s v="29/05/2018"/>
        <s v="01/03/2015"/>
        <s v="11/05/2015"/>
        <s v="06/05/2015"/>
        <s v="30/11/2018"/>
        <s v="17/03/2016"/>
        <s v="13/09/2016"/>
        <s v="27/09/2017"/>
        <s v="04/08/2018"/>
        <s v="25/10/2016"/>
        <s v="03/06/2018"/>
        <s v="23/10/2017"/>
        <s v="13/11/2016"/>
        <s v="09/08/2017"/>
        <s v="18/08/2017"/>
        <s v="20/02/2018"/>
        <s v="20/03/2018"/>
        <s v="04/09/2018"/>
        <s v="14/03/2017"/>
        <s v="18/09/2017"/>
        <s v="19/10/2018"/>
        <s v="29/08/2015"/>
        <s v="14/10/2015"/>
        <s v="20/01/2015"/>
        <s v="11/12/2016"/>
        <s v="23/06/2017"/>
        <s v="17/06/2017"/>
        <s v="06/02/2016"/>
        <s v="21/09/2015"/>
        <s v="27/11/2015"/>
        <s v="16/06/2017"/>
        <s v="02/04/2018"/>
        <s v="30/10/2018"/>
        <s v="05/06/2017"/>
        <s v="25/05/2015"/>
        <s v="29/03/2017"/>
        <s v="23/11/2018"/>
        <s v="29/09/2018"/>
        <s v="31/12/2016"/>
        <s v="22/12/2018"/>
        <s v="21/07/2017"/>
        <s v="30/07/2018"/>
        <s v="01/07/2017"/>
        <s v="09/04/2016"/>
        <s v="19/12/2016"/>
        <s v="11/04/2015"/>
        <s v="08/07/2018"/>
        <s v="03/09/2016"/>
        <s v="01/05/2016"/>
        <s v="23/07/2017"/>
        <s v="22/08/2015"/>
        <s v="03/09/2017"/>
        <s v="18/07/2017"/>
        <s v="13/02/2018"/>
        <s v="20/06/2018"/>
        <s v="19/10/2015"/>
        <s v="31/08/2018"/>
        <s v="05/10/2016"/>
        <s v="30/11/2015"/>
        <s v="09/11/2015"/>
        <s v="17/07/2016"/>
        <s v="11/10/2015"/>
        <s v="14/08/2017"/>
        <s v="25/04/2016"/>
        <s v="31/05/2015"/>
        <s v="15/12/2016"/>
        <s v="29/10/2017"/>
        <s v="08/04/2015"/>
        <s v="23/10/2018"/>
        <s v="20/05/2017"/>
        <s v="26/11/2015"/>
        <s v="26/04/2016"/>
        <s v="21/12/2015"/>
        <s v="02/04/2016"/>
        <s v="09/07/2018"/>
        <s v="18/04/2015"/>
        <s v="06/03/2016"/>
        <s v="25/04/2017"/>
        <s v="29/05/2016"/>
        <s v="30/11/2016"/>
        <s v="16/08/2016"/>
        <s v="17/01/2016"/>
        <s v="03/05/2015"/>
        <s v="21/04/2018"/>
        <s v="15/05/2018"/>
        <s v="14/12/2015"/>
        <s v="19/07/2017"/>
        <s v="25/05/2017"/>
        <s v="21/03/2016"/>
        <s v="09/05/2017"/>
        <s v="21/04/2016"/>
        <s v="10/08/2016"/>
        <s v="25/12/2016"/>
        <s v="25/05/2016"/>
        <s v="15/02/2016"/>
        <s v="18/09/2016"/>
        <s v="06/07/2016"/>
        <s v="10/12/2016"/>
        <s v="06/02/2017"/>
        <s v="19/06/2017"/>
        <s v="04/06/2017"/>
        <s v="02/09/2017"/>
        <s v="15/03/2016"/>
        <s v="31/01/2016"/>
        <s v="28/05/2016"/>
        <s v="17/06/2018"/>
        <s v="03/04/2018"/>
        <s v="02/12/2015"/>
        <s v="05/03/2016"/>
        <s v="25/09/2018"/>
        <s v="24/08/2016"/>
        <s v="16/12/2015"/>
        <s v="21/03/2017"/>
        <s v="12/05/2015"/>
        <s v="10/03/2015"/>
        <s v="28/09/2015"/>
        <s v="18/06/2016"/>
        <s v="20/02/2016"/>
        <s v="15/06/2015"/>
        <s v="09/12/2016"/>
        <s v="13/12/2017"/>
        <s v="10/09/2018"/>
        <s v="31/07/2017"/>
        <s v="23/05/2018"/>
        <s v="22/06/2016"/>
        <s v="05/11/2016"/>
        <s v="12/07/2017"/>
        <s v="28/08/2018"/>
        <s v="16/03/2015"/>
        <s v="01/04/2015"/>
        <s v="30/03/2015"/>
        <s v="01/09/2015"/>
        <s v="09/01/2017"/>
        <s v="26/06/2016"/>
        <s v="06/10/2017"/>
        <s v="27/05/2015"/>
        <s v="19/05/2017"/>
        <s v="16/04/2016"/>
        <s v="29/04/2015"/>
        <s v="27/03/2018"/>
        <s v="12/08/2017"/>
        <s v="28/02/2017"/>
        <s v="12/06/2018"/>
        <s v="25/04/2015"/>
        <s v="13/10/2017"/>
        <s v="08/08/2015"/>
        <s v="26/08/2017"/>
        <s v="20/02/2015"/>
        <s v="04/08/2017"/>
        <s v="17/09/2016"/>
        <s v="30/07/2017"/>
        <s v="04/05/2018"/>
        <s v="09/03/2018"/>
        <s v="08/02/2016"/>
        <s v="20/08/2018"/>
        <s v="31/01/2015"/>
        <s v="22/10/2016"/>
        <s v="14/09/2018"/>
        <s v="23/12/2017"/>
        <s v="01/12/2016"/>
        <s v="28/10/2018"/>
        <s v="23/11/2017"/>
        <s v="18/10/2015"/>
        <s v="11/04/2018"/>
        <s v="17/05/2017"/>
        <s v="16/06/2016"/>
        <s v="16/10/2015"/>
        <s v="15/06/2017"/>
        <s v="15/07/2018"/>
        <s v="22/03/2017"/>
        <s v="13/03/2016"/>
        <s v="04/04/2017"/>
        <s v="01/04/2018"/>
        <s v="22/09/2015"/>
        <s v="02/03/2018"/>
        <s v="26/11/2017"/>
        <s v="13/07/2018"/>
        <s v="17/11/2015"/>
        <s v="27/03/2016"/>
        <s v="11/06/2017"/>
        <s v="07/10/2015"/>
        <s v="13/12/2016"/>
        <s v="25/11/2015"/>
        <s v="19/03/2015"/>
        <s v="21/02/2017"/>
        <s v="12/10/2018"/>
        <s v="22/10/2015"/>
        <s v="14/11/2016"/>
        <s v="26/05/2017"/>
        <s v="23/08/2017"/>
        <s v="09/06/2018"/>
        <s v="06/11/2016"/>
        <s v="09/01/2015"/>
        <s v="14/12/2017"/>
        <s v="10/11/2018"/>
        <s v="05/07/2015"/>
        <s v="29/08/2018"/>
        <s v="07/03/2018"/>
        <s v="04/03/2017"/>
        <s v="21/10/2017"/>
        <s v="13/08/2018"/>
        <s v="10/01/2016"/>
        <s v="10/02/2018"/>
        <s v="15/12/2017"/>
        <s v="13/10/2015"/>
        <s v="21/05/2016"/>
        <s v="21/07/2015"/>
        <s v="25/07/2016"/>
        <s v="25/02/2018"/>
        <s v="25/09/2015"/>
        <s v="15/12/2015"/>
        <s v="25/05/2018"/>
        <s v="12/03/2017"/>
        <s v="21/05/2015"/>
        <s v="28/09/2017"/>
        <s v="28/04/2015"/>
        <s v="20/10/2017"/>
        <s v="04/04/2016"/>
        <s v="20/05/2018"/>
        <s v="18/08/2018"/>
        <s v="01/11/2015"/>
        <s v="03/12/2015"/>
        <s v="04/11/2015"/>
        <s v="13/07/2016"/>
        <s v="01/10/2015"/>
        <s v="21/10/2018"/>
        <s v="17/10/2017"/>
        <s v="08/09/2016"/>
        <s v="29/11/2017"/>
        <s v="05/08/2018"/>
        <s v="06/10/2018"/>
        <s v="02/08/2015"/>
        <s v="19/09/2016"/>
        <s v="19/02/2018"/>
        <s v="25/06/2015"/>
        <s v="27/02/2016"/>
        <s v="12/12/2015"/>
        <s v="11/03/2017"/>
        <s v="01/03/2017"/>
        <s v="10/06/2017"/>
        <s v="09/05/2015"/>
        <s v="15/02/2017"/>
        <s v="08/03/2017"/>
        <s v="23/08/2018"/>
        <s v="26/12/2018"/>
        <s v="30/08/2017"/>
        <s v="28/05/2018"/>
        <s v="20/10/2015"/>
        <s v="26/10/2018"/>
        <s v="04/04/2015"/>
        <s v="15/03/2017"/>
        <s v="18/05/2018"/>
        <s v="05/02/2017"/>
        <s v="30/04/2016"/>
        <s v="22/02/2017"/>
        <s v="01/08/2016"/>
        <s v="27/10/2017"/>
        <s v="17/05/2015"/>
        <s v="05/03/2018"/>
        <s v="11/11/2015"/>
        <s v="20/03/2017"/>
        <s v="15/11/2015"/>
        <s v="07/04/2016"/>
        <s v="14/04/2017"/>
        <s v="14/07/2015"/>
        <s v="27/08/2016"/>
        <s v="11/08/2016"/>
        <s v="04/01/2015"/>
        <s v="11/02/2017"/>
        <s v="22/09/2017"/>
        <s v="29/07/2017"/>
        <s v="20/07/2016"/>
        <s v="16/09/2015"/>
        <s v="20/05/2015"/>
        <s v="29/05/2017"/>
        <s v="01/03/2016"/>
        <s v="24/05/2015"/>
        <s v="08/01/2018"/>
        <s v="02/07/2016"/>
        <s v="21/08/2017"/>
        <s v="23/06/2016"/>
        <s v="12/08/2018"/>
        <s v="31/07/2016"/>
        <s v="15/07/2017"/>
        <s v="03/02/2016"/>
        <s v="14/01/2018"/>
        <s v="28/10/2016"/>
        <s v="22/11/2017"/>
        <s v="08/11/2016"/>
        <s v="19/10/2016"/>
        <s v="15/01/2018"/>
        <s v="29/03/2018"/>
        <s v="06/08/2015"/>
        <s v="18/07/2016"/>
        <s v="18/03/2017"/>
        <s v="24/12/2017"/>
        <s v="13/02/2017"/>
        <s v="16/11/2017"/>
        <s v="28/04/2016"/>
        <s v="25/08/2015"/>
        <s v="23/04/2018"/>
        <s v="28/11/2017"/>
        <s v="10/12/2015"/>
        <s v="13/06/2017"/>
        <s v="16/07/2018"/>
        <s v="25/11/2016"/>
        <s v="12/02/2015"/>
        <s v="11/04/2016"/>
        <s v="20/04/2018"/>
        <s v="26/09/2018"/>
        <s v="15/12/2018"/>
        <s v="21/07/2018"/>
        <s v="01/11/2018"/>
        <s v="20/07/2015"/>
        <s v="18/03/2015"/>
        <s v="04/12/2016"/>
        <s v="11/10/2016"/>
        <s v="09/04/2017"/>
        <s v="11/01/2015"/>
        <s v="11/07/2016"/>
        <s v="20/05/2016"/>
        <s v="13/06/2018"/>
        <s v="26/01/2015"/>
        <s v="06/02/2018"/>
        <s v="21/04/2017"/>
        <s v="09/10/2017"/>
        <s v="06/01/2016"/>
        <s v="16/04/2015"/>
        <s v="28/07/2017"/>
        <s v="15/05/2017"/>
        <s v="03/05/2016"/>
        <s v="15/06/2018"/>
        <s v="29/10/2015"/>
        <s v="28/12/2015"/>
        <s v="04/03/2018"/>
        <s v="21/10/2015"/>
        <s v="11/08/2018"/>
        <s v="30/04/2015"/>
        <s v="21/03/2018"/>
        <s v="11/05/2017"/>
        <s v="19/07/2016"/>
        <s v="24/01/2018"/>
        <s v="23/04/2015"/>
        <s v="20/04/2016"/>
        <s v="08/12/2015"/>
        <s v="27/09/2015"/>
        <s v="15/11/2017"/>
        <s v="27/01/2018"/>
        <s v="10/03/2016"/>
        <s v="25/01/2017"/>
        <s v="05/10/2018"/>
        <s v="08/12/2016"/>
        <s v="22/11/2015"/>
        <s v="19/11/2016"/>
        <s v="30/03/2018"/>
        <s v="04/02/2017"/>
        <s v="23/07/2016"/>
        <s v="09/06/2016"/>
        <s v="04/08/2015"/>
        <s v="28/02/2016"/>
        <s v="16/03/2018"/>
        <s v="08/03/2018"/>
        <s v="23/11/2016"/>
        <s v="24/03/2017"/>
        <s v="12/05/2017"/>
        <s v="11/05/2018"/>
        <s v="13/04/2016"/>
        <s v="03/04/2017"/>
      </sharedItems>
    </cacheField>
    <cacheField name="Ship Date" numFmtId="0">
      <sharedItems/>
    </cacheField>
    <cacheField name="Ship Mode" numFmtId="0">
      <sharedItems/>
    </cacheField>
    <cacheField name="Customer Name" numFmtId="0">
      <sharedItems/>
    </cacheField>
    <cacheField name="Customer ID" numFmtId="0">
      <sharedItems count="711">
        <s v="10030"/>
        <s v="10045"/>
        <s v="10060"/>
        <s v="10075"/>
        <s v="10090"/>
        <s v="10105"/>
        <s v="10120"/>
        <s v="10135"/>
        <s v="10150"/>
        <s v="10165"/>
        <s v="10180"/>
        <s v="10195"/>
        <s v="10210"/>
        <s v="10225"/>
        <s v="10240"/>
        <s v="10255"/>
        <s v="10270"/>
        <s v="10285"/>
        <s v="10300"/>
        <s v="10315"/>
        <s v="10330"/>
        <s v="10360"/>
        <s v="10375"/>
        <s v="10390"/>
        <s v="10405"/>
        <s v="10420"/>
        <s v="10435"/>
        <s v="10450"/>
        <s v="10480"/>
        <s v="10495"/>
        <s v="10510"/>
        <s v="10525"/>
        <s v="10540"/>
        <s v="10555"/>
        <s v="10585"/>
        <s v="10600"/>
        <s v="10630"/>
        <s v="10645"/>
        <s v="10660"/>
        <s v="10675"/>
        <s v="10690"/>
        <s v="10705"/>
        <s v="10720"/>
        <s v="10735"/>
        <s v="10750"/>
        <s v="10765"/>
        <s v="10780"/>
        <s v="10795"/>
        <s v="10825"/>
        <s v="10840"/>
        <s v="10855"/>
        <s v="10870"/>
        <s v="10885"/>
        <s v="10900"/>
        <s v="10915"/>
        <s v="10930"/>
        <s v="10945"/>
        <s v="10960"/>
        <s v="10975"/>
        <s v="10990"/>
        <s v="11005"/>
        <s v="11020"/>
        <s v="11080"/>
        <s v="11095"/>
        <s v="11110"/>
        <s v="11125"/>
        <s v="11140"/>
        <s v="11155"/>
        <s v="11170"/>
        <s v="11185"/>
        <s v="11200"/>
        <s v="11215"/>
        <s v="11230"/>
        <s v="11245"/>
        <s v="11260"/>
        <s v="11275"/>
        <s v="11290"/>
        <s v="11305"/>
        <s v="11320"/>
        <s v="11335"/>
        <s v="11350"/>
        <s v="11365"/>
        <s v="11380"/>
        <s v="11395"/>
        <s v="11410"/>
        <s v="11440"/>
        <s v="11470"/>
        <s v="11485"/>
        <s v="11500"/>
        <s v="11515"/>
        <s v="11530"/>
        <s v="11545"/>
        <s v="11575"/>
        <s v="11590"/>
        <s v="11605"/>
        <s v="11620"/>
        <s v="11650"/>
        <s v="11665"/>
        <s v="11680"/>
        <s v="11695"/>
        <s v="11710"/>
        <s v="11725"/>
        <s v="11755"/>
        <s v="11770"/>
        <s v="11785"/>
        <s v="11800"/>
        <s v="11815"/>
        <s v="11845"/>
        <s v="11860"/>
        <s v="11890"/>
        <s v="11905"/>
        <s v="11920"/>
        <s v="11935"/>
        <s v="11950"/>
        <s v="11965"/>
        <s v="11980"/>
        <s v="11995"/>
        <s v="12010"/>
        <s v="12025"/>
        <s v="12040"/>
        <s v="12055"/>
        <s v="12070"/>
        <s v="12085"/>
        <s v="12100"/>
        <s v="12115"/>
        <s v="12130"/>
        <s v="12145"/>
        <s v="12160"/>
        <s v="12175"/>
        <s v="12190"/>
        <s v="12205"/>
        <s v="12220"/>
        <s v="12235"/>
        <s v="12250"/>
        <s v="12265"/>
        <s v="12295"/>
        <s v="12310"/>
        <s v="12325"/>
        <s v="12340"/>
        <s v="12355"/>
        <s v="12385"/>
        <s v="12400"/>
        <s v="12415"/>
        <s v="12430"/>
        <s v="12445"/>
        <s v="12460"/>
        <s v="12475"/>
        <s v="12490"/>
        <s v="12505"/>
        <s v="12520"/>
        <s v="12535"/>
        <s v="12550"/>
        <s v="12565"/>
        <s v="12595"/>
        <s v="12610"/>
        <s v="12625"/>
        <s v="12640"/>
        <s v="12655"/>
        <s v="12670"/>
        <s v="12685"/>
        <s v="12715"/>
        <s v="12730"/>
        <s v="12745"/>
        <s v="12760"/>
        <s v="12775"/>
        <s v="12790"/>
        <s v="12805"/>
        <s v="12820"/>
        <s v="12835"/>
        <s v="12850"/>
        <s v="12865"/>
        <s v="12880"/>
        <s v="12895"/>
        <s v="12910"/>
        <s v="12925"/>
        <s v="12940"/>
        <s v="12985"/>
        <s v="13000"/>
        <s v="13015"/>
        <s v="13030"/>
        <s v="13045"/>
        <s v="13060"/>
        <s v="13075"/>
        <s v="13090"/>
        <s v="13105"/>
        <s v="13120"/>
        <s v="13135"/>
        <s v="13150"/>
        <s v="13180"/>
        <s v="13195"/>
        <s v="13210"/>
        <s v="13225"/>
        <s v="13240"/>
        <s v="13255"/>
        <s v="13270"/>
        <s v="13285"/>
        <s v="13300"/>
        <s v="13315"/>
        <s v="13330"/>
        <s v="13345"/>
        <s v="13360"/>
        <s v="13375"/>
        <s v="13390"/>
        <s v="13405"/>
        <s v="13420"/>
        <s v="13435"/>
        <s v="13465"/>
        <s v="13480"/>
        <s v="13495"/>
        <s v="13510"/>
        <s v="13525"/>
        <s v="13540"/>
        <s v="13555"/>
        <s v="13570"/>
        <s v="13585"/>
        <s v="13600"/>
        <s v="13615"/>
        <s v="13630"/>
        <s v="13645"/>
        <s v="13660"/>
        <s v="13675"/>
        <s v="13690"/>
        <s v="13705"/>
        <s v="13720"/>
        <s v="13735"/>
        <s v="13750"/>
        <s v="13765"/>
        <s v="13780"/>
        <s v="13795"/>
        <s v="13810"/>
        <s v="13825"/>
        <s v="13840"/>
        <s v="13855"/>
        <s v="13870"/>
        <s v="13885"/>
        <s v="13900"/>
        <s v="13915"/>
        <s v="13930"/>
        <s v="13945"/>
        <s v="13960"/>
        <s v="13975"/>
        <s v="13990"/>
        <s v="14005"/>
        <s v="14020"/>
        <s v="14035"/>
        <s v="14050"/>
        <s v="14065"/>
        <s v="14080"/>
        <s v="14095"/>
        <s v="14125"/>
        <s v="14155"/>
        <s v="14170"/>
        <s v="14185"/>
        <s v="14215"/>
        <s v="14230"/>
        <s v="14245"/>
        <s v="14260"/>
        <s v="14275"/>
        <s v="14290"/>
        <s v="14305"/>
        <s v="14320"/>
        <s v="14335"/>
        <s v="14350"/>
        <s v="14365"/>
        <s v="14380"/>
        <s v="14395"/>
        <s v="14410"/>
        <s v="14440"/>
        <s v="14455"/>
        <s v="14470"/>
        <s v="14485"/>
        <s v="14500"/>
        <s v="14515"/>
        <s v="14530"/>
        <s v="14575"/>
        <s v="14590"/>
        <s v="14605"/>
        <s v="14620"/>
        <s v="14635"/>
        <s v="14650"/>
        <s v="14665"/>
        <s v="14680"/>
        <s v="14710"/>
        <s v="14725"/>
        <s v="14740"/>
        <s v="14755"/>
        <s v="14770"/>
        <s v="14785"/>
        <s v="14800"/>
        <s v="14815"/>
        <s v="14830"/>
        <s v="14845"/>
        <s v="14860"/>
        <s v="14890"/>
        <s v="14905"/>
        <s v="14920"/>
        <s v="14935"/>
        <s v="14950"/>
        <s v="14965"/>
        <s v="14980"/>
        <s v="14995"/>
        <s v="15010"/>
        <s v="15025"/>
        <s v="15040"/>
        <s v="15070"/>
        <s v="15085"/>
        <s v="15100"/>
        <s v="15115"/>
        <s v="15145"/>
        <s v="15160"/>
        <s v="15175"/>
        <s v="15190"/>
        <s v="15205"/>
        <s v="15220"/>
        <s v="15235"/>
        <s v="15250"/>
        <s v="15265"/>
        <s v="15280"/>
        <s v="15295"/>
        <s v="15310"/>
        <s v="15340"/>
        <s v="15355"/>
        <s v="15370"/>
        <s v="15385"/>
        <s v="15400"/>
        <s v="15415"/>
        <s v="15430"/>
        <s v="15445"/>
        <s v="15460"/>
        <s v="15475"/>
        <s v="15490"/>
        <s v="15505"/>
        <s v="15520"/>
        <s v="15535"/>
        <s v="15550"/>
        <s v="15565"/>
        <s v="15580"/>
        <s v="15595"/>
        <s v="15610"/>
        <s v="15625"/>
        <s v="15640"/>
        <s v="15655"/>
        <s v="15670"/>
        <s v="15685"/>
        <s v="15700"/>
        <s v="15715"/>
        <s v="15730"/>
        <s v="15745"/>
        <s v="15760"/>
        <s v="15775"/>
        <s v="15790"/>
        <s v="15805"/>
        <s v="15820"/>
        <s v="15835"/>
        <s v="15850"/>
        <s v="15865"/>
        <s v="15880"/>
        <s v="15895"/>
        <s v="15910"/>
        <s v="15925"/>
        <s v="15940"/>
        <s v="15955"/>
        <s v="15970"/>
        <s v="15985"/>
        <s v="16015"/>
        <s v="16030"/>
        <s v="16045"/>
        <s v="16075"/>
        <s v="16090"/>
        <s v="16105"/>
        <s v="16120"/>
        <s v="16135"/>
        <s v="16150"/>
        <s v="16165"/>
        <s v="16180"/>
        <s v="16195"/>
        <s v="16210"/>
        <s v="16225"/>
        <s v="16240"/>
        <s v="16255"/>
        <s v="16270"/>
        <s v="16285"/>
        <s v="16300"/>
        <s v="16315"/>
        <s v="16330"/>
        <s v="16345"/>
        <s v="16360"/>
        <s v="16375"/>
        <s v="16390"/>
        <s v="16405"/>
        <s v="16435"/>
        <s v="16450"/>
        <s v="16465"/>
        <s v="16480"/>
        <s v="16495"/>
        <s v="16510"/>
        <s v="16525"/>
        <s v="16540"/>
        <s v="16555"/>
        <s v="16585"/>
        <s v="16600"/>
        <s v="16630"/>
        <s v="16645"/>
        <s v="16660"/>
        <s v="16675"/>
        <s v="16690"/>
        <s v="16705"/>
        <s v="16720"/>
        <s v="16750"/>
        <s v="16765"/>
        <s v="16780"/>
        <s v="16795"/>
        <s v="16810"/>
        <s v="16840"/>
        <s v="16870"/>
        <s v="16885"/>
        <s v="16900"/>
        <s v="16915"/>
        <s v="16930"/>
        <s v="16945"/>
        <s v="16975"/>
        <s v="16990"/>
        <s v="17005"/>
        <s v="17020"/>
        <s v="17035"/>
        <s v="17050"/>
        <s v="17095"/>
        <s v="17110"/>
        <s v="17140"/>
        <s v="17155"/>
        <s v="17170"/>
        <s v="17185"/>
        <s v="17200"/>
        <s v="17215"/>
        <s v="17230"/>
        <s v="17245"/>
        <s v="17260"/>
        <s v="17275"/>
        <s v="17290"/>
        <s v="17305"/>
        <s v="17320"/>
        <s v="17335"/>
        <s v="17350"/>
        <s v="17365"/>
        <s v="17380"/>
        <s v="17410"/>
        <s v="17425"/>
        <s v="17455"/>
        <s v="17470"/>
        <s v="17485"/>
        <s v="17500"/>
        <s v="17515"/>
        <s v="17530"/>
        <s v="17545"/>
        <s v="17560"/>
        <s v="17575"/>
        <s v="17590"/>
        <s v="17605"/>
        <s v="17635"/>
        <s v="17650"/>
        <s v="17680"/>
        <s v="17710"/>
        <s v="17725"/>
        <s v="17740"/>
        <s v="17755"/>
        <s v="17770"/>
        <s v="17785"/>
        <s v="17800"/>
        <s v="17815"/>
        <s v="17830"/>
        <s v="17845"/>
        <s v="17860"/>
        <s v="17875"/>
        <s v="17890"/>
        <s v="17905"/>
        <s v="17920"/>
        <s v="17935"/>
        <s v="17950"/>
        <s v="17965"/>
        <s v="17980"/>
        <s v="17995"/>
        <s v="18010"/>
        <s v="18025"/>
        <s v="18040"/>
        <s v="18055"/>
        <s v="18070"/>
        <s v="18100"/>
        <s v="18115"/>
        <s v="18130"/>
        <s v="18145"/>
        <s v="18160"/>
        <s v="18175"/>
        <s v="18190"/>
        <s v="18220"/>
        <s v="18235"/>
        <s v="18280"/>
        <s v="18295"/>
        <s v="18325"/>
        <s v="18340"/>
        <s v="18355"/>
        <s v="18370"/>
        <s v="18385"/>
        <s v="18400"/>
        <s v="18415"/>
        <s v="18430"/>
        <s v="18445"/>
        <s v="18460"/>
        <s v="18475"/>
        <s v="18490"/>
        <s v="18520"/>
        <s v="18535"/>
        <s v="18550"/>
        <s v="18565"/>
        <s v="18595"/>
        <s v="18610"/>
        <s v="18625"/>
        <s v="18640"/>
        <s v="18655"/>
        <s v="18670"/>
        <s v="18685"/>
        <s v="18700"/>
        <s v="18715"/>
        <s v="18730"/>
        <s v="18745"/>
        <s v="18775"/>
        <s v="18790"/>
        <s v="18805"/>
        <s v="18820"/>
        <s v="18835"/>
        <s v="18850"/>
        <s v="18865"/>
        <s v="18880"/>
        <s v="18895"/>
        <s v="18910"/>
        <s v="18925"/>
        <s v="18955"/>
        <s v="18970"/>
        <s v="18985"/>
        <s v="19000"/>
        <s v="19015"/>
        <s v="19030"/>
        <s v="19045"/>
        <s v="19060"/>
        <s v="19075"/>
        <s v="19090"/>
        <s v="19105"/>
        <s v="19120"/>
        <s v="19135"/>
        <s v="19150"/>
        <s v="19165"/>
        <s v="19180"/>
        <s v="19195"/>
        <s v="19210"/>
        <s v="19225"/>
        <s v="19240"/>
        <s v="19255"/>
        <s v="19270"/>
        <s v="19285"/>
        <s v="19300"/>
        <s v="19315"/>
        <s v="19330"/>
        <s v="19345"/>
        <s v="19360"/>
        <s v="19375"/>
        <s v="19390"/>
        <s v="19420"/>
        <s v="19435"/>
        <s v="19450"/>
        <s v="19465"/>
        <s v="19480"/>
        <s v="19495"/>
        <s v="19510"/>
        <s v="19525"/>
        <s v="19540"/>
        <s v="19570"/>
        <s v="19585"/>
        <s v="19600"/>
        <s v="19615"/>
        <s v="19630"/>
        <s v="19645"/>
        <s v="19675"/>
        <s v="19690"/>
        <s v="19705"/>
        <s v="19720"/>
        <s v="19735"/>
        <s v="19750"/>
        <s v="19765"/>
        <s v="19780"/>
        <s v="19795"/>
        <s v="19810"/>
        <s v="19825"/>
        <s v="19840"/>
        <s v="19855"/>
        <s v="19885"/>
        <s v="19900"/>
        <s v="19915"/>
        <s v="19930"/>
        <s v="19945"/>
        <s v="19960"/>
        <s v="19975"/>
        <s v="19990"/>
        <s v="20005"/>
        <s v="20035"/>
        <s v="20050"/>
        <s v="20065"/>
        <s v="20080"/>
        <s v="20095"/>
        <s v="20110"/>
        <s v="20125"/>
        <s v="20140"/>
        <s v="20155"/>
        <s v="20170"/>
        <s v="20185"/>
        <s v="20200"/>
        <s v="20215"/>
        <s v="20230"/>
        <s v="20245"/>
        <s v="20260"/>
        <s v="20275"/>
        <s v="20290"/>
        <s v="20305"/>
        <s v="20320"/>
        <s v="20335"/>
        <s v="20350"/>
        <s v="20365"/>
        <s v="20380"/>
        <s v="20395"/>
        <s v="20455"/>
        <s v="20470"/>
        <s v="20485"/>
        <s v="20500"/>
        <s v="20530"/>
        <s v="20545"/>
        <s v="20560"/>
        <s v="20590"/>
        <s v="20605"/>
        <s v="20620"/>
        <s v="20650"/>
        <s v="20665"/>
        <s v="20680"/>
        <s v="20695"/>
        <s v="20710"/>
        <s v="20725"/>
        <s v="20740"/>
        <s v="20755"/>
        <s v="20770"/>
        <s v="20785"/>
        <s v="20800"/>
        <s v="20815"/>
        <s v="20830"/>
        <s v="20860"/>
        <s v="20890"/>
        <s v="20935"/>
        <s v="20950"/>
        <s v="20965"/>
        <s v="20980"/>
        <s v="20995"/>
        <s v="21010"/>
        <s v="21025"/>
        <s v="21040"/>
        <s v="21055"/>
        <s v="21070"/>
        <s v="21085"/>
        <s v="21100"/>
        <s v="21115"/>
        <s v="21130"/>
        <s v="21160"/>
        <s v="21175"/>
        <s v="21190"/>
        <s v="21205"/>
        <s v="21235"/>
        <s v="21250"/>
        <s v="21280"/>
        <s v="21295"/>
        <s v="21310"/>
        <s v="21325"/>
        <s v="21340"/>
        <s v="21355"/>
        <s v="21370"/>
        <s v="21385"/>
        <s v="21400"/>
        <s v="21415"/>
        <s v="21460"/>
        <s v="21475"/>
        <s v="21490"/>
        <s v="21505"/>
        <s v="21520"/>
        <s v="21535"/>
        <s v="21550"/>
        <s v="21565"/>
        <s v="21580"/>
        <s v="21595"/>
        <s v="21610"/>
        <s v="21625"/>
        <s v="21640"/>
        <s v="21655"/>
        <s v="21670"/>
        <s v="21685"/>
        <s v="21715"/>
        <s v="21730"/>
        <s v="21745"/>
        <s v="21775"/>
        <s v="21790"/>
        <s v="21805"/>
        <s v="21835"/>
        <s v="21850"/>
        <s v="21865"/>
        <s v="21880"/>
        <s v="21895"/>
        <s v="21910"/>
        <s v="21925"/>
      </sharedItems>
    </cacheField>
    <cacheField name="Repear Customers" numFmtId="0">
      <sharedItems/>
    </cacheField>
    <cacheField name="Segment" numFmtId="0">
      <sharedItems count="3">
        <s v="Corporate"/>
        <s v="Home Office"/>
        <s v="Consumer"/>
      </sharedItems>
    </cacheField>
    <cacheField name="City" numFmtId="0">
      <sharedItems/>
    </cacheField>
    <cacheField name="State" numFmtId="0">
      <sharedItems count="46">
        <s v="Pennsylvania"/>
        <s v="Texas"/>
        <s v="North Carolina"/>
        <s v="New York"/>
        <s v="Virginia"/>
        <s v="California"/>
        <s v="New Hampshire"/>
        <s v="Georgia"/>
        <s v="Nevada"/>
        <s v="Missouri"/>
        <s v="Illinois"/>
        <s v="Indiana"/>
        <s v="Kentucky"/>
        <s v="Arizona"/>
        <s v="Oklahoma"/>
        <s v="Washington"/>
        <s v="Montana"/>
        <s v="Florida"/>
        <s v="Tennessee"/>
        <s v="Utah"/>
        <s v="Colorado"/>
        <s v="Ohio"/>
        <s v="New Mexico"/>
        <s v="Massachusetts"/>
        <s v="Nebraska"/>
        <s v="Oregon"/>
        <s v="Minnesota"/>
        <s v="Louisiana"/>
        <s v="Connecticut"/>
        <s v="Wisconsin"/>
        <s v="Alabama"/>
        <s v="Maryland"/>
        <s v="Iowa"/>
        <s v="Rhode Island"/>
        <s v="Michigan"/>
        <s v="New Jersey"/>
        <s v="Kansas"/>
        <s v="Arkansas"/>
        <s v="North Dakota"/>
        <s v="Delaware"/>
        <s v="South Carolina"/>
        <s v="Mississippi"/>
        <s v="South Dakota"/>
        <s v="District of Columbia"/>
        <s v="Maine"/>
        <s v="Idaho"/>
      </sharedItems>
    </cacheField>
    <cacheField name="Region" numFmtId="0">
      <sharedItems count="4">
        <s v="East"/>
        <s v="Central"/>
        <s v="South"/>
        <s v="West"/>
      </sharedItems>
    </cacheField>
    <cacheField name="Product ID" numFmtId="0">
      <sharedItems count="1497">
        <s v="10003183"/>
        <s v="10000488"/>
        <s v="10002178"/>
        <s v="10002709"/>
        <s v="10000649"/>
        <s v="10000736"/>
        <s v="10000381"/>
        <s v="10004864"/>
        <s v="10003504"/>
        <s v="10004460"/>
        <s v="10002393"/>
        <s v="10001446"/>
        <s v="10001982"/>
        <s v="10001619"/>
        <s v="10003720"/>
        <s v="10004665"/>
        <s v="10003994"/>
        <s v="10002372"/>
        <s v="10000404"/>
        <s v="10000308"/>
        <s v="10000477"/>
        <s v="10002017"/>
        <s v="10002253"/>
        <s v="10001617"/>
        <s v="10004062"/>
        <s v="10004817"/>
        <s v="10001867"/>
        <s v="10001583"/>
        <s v="10004063"/>
        <s v="10003236"/>
        <s v="10000778"/>
        <s v="10000474"/>
        <s v="10004996"/>
        <s v="10004469"/>
        <s v="10000829"/>
        <s v="10002942"/>
        <s v="10002670"/>
        <s v="10002671"/>
        <s v="10004415"/>
        <s v="10001490"/>
        <s v="10000692"/>
        <s v="10004202"/>
        <s v="10001165"/>
        <s v="10003133"/>
        <s v="10000347"/>
        <s v="10000107"/>
        <s v="10003394"/>
        <s v="10004734"/>
        <s v="10003187"/>
        <s v="10002853"/>
        <s v="10000151"/>
        <s v="10001590"/>
        <s v="10004390"/>
        <s v="10003215"/>
        <s v="10001328"/>
        <s v="10004099"/>
        <s v="10004145"/>
        <s v="10000127"/>
        <s v="10002706"/>
        <s v="10001325"/>
        <s v="10002976"/>
        <s v="10001175"/>
        <s v="10000955"/>
        <s v="10001866"/>
        <s v="10003892"/>
        <s v="10004915"/>
        <s v="10003314"/>
        <s v="10001300"/>
        <s v="10004425"/>
        <s v="10001359"/>
        <s v="10002881"/>
        <s v="10002718"/>
        <s v="10001471"/>
        <s v="10002365"/>
        <s v="10001473"/>
        <s v="10001700"/>
        <s v="10000673"/>
        <s v="10000848"/>
        <s v="10003441"/>
        <s v="10002398"/>
        <s v="10002210"/>
        <s v="10002586"/>
        <s v="10003708"/>
        <s v="10000747"/>
        <s v="10004965"/>
        <s v="10000155"/>
        <s v="10002271"/>
        <s v="10001107"/>
        <s v="10000992"/>
        <s v="10003190"/>
        <s v="10004434"/>
        <s v="10003761"/>
        <s v="10000885"/>
        <s v="10002134"/>
        <s v="10002082"/>
        <s v="10004039"/>
        <s v="10001580"/>
        <s v="10001246"/>
        <s v="10000688"/>
        <s v="10000461"/>
        <s v="10004127"/>
        <s v="10003450"/>
        <s v="10003424"/>
        <s v="10004700"/>
        <s v="10001526"/>
        <s v="10000141"/>
        <s v="10001135"/>
        <s v="10001563"/>
        <s v="10004258"/>
        <s v="10002439"/>
        <s v="10003712"/>
        <s v="10000062"/>
        <s v="10003954"/>
        <s v="10004272"/>
        <s v="10001475"/>
        <s v="10004877"/>
        <s v="10004306"/>
        <s v="10001714"/>
        <s v="10000550"/>
        <s v="10001935"/>
        <s v="10000646"/>
        <s v="10001374"/>
        <s v="10003038"/>
        <s v="10000788"/>
        <s v="10000859"/>
        <s v="10003846"/>
        <s v="10004947"/>
        <s v="10001626"/>
        <s v="10001977"/>
        <s v="10001973"/>
        <s v="10001552"/>
        <s v="10000240"/>
        <s v="10004622"/>
        <s v="10000330"/>
        <s v="10001837"/>
        <s v="10001219"/>
        <s v="10001811"/>
        <s v="10003470"/>
        <s v="10003560"/>
        <s v="10004136"/>
        <s v="10001770"/>
        <s v="10001809"/>
        <s v="10004677"/>
        <s v="10003829"/>
        <s v="10003112"/>
        <s v="10002287"/>
        <s v="10002615"/>
        <s v="10001505"/>
        <s v="10001691"/>
        <s v="10004552"/>
        <s v="10002377"/>
        <s v="10004082"/>
        <s v="10000007"/>
        <s v="10001934"/>
        <s v="10003982"/>
        <s v="10000061"/>
        <s v="10004909"/>
        <s v="10002380"/>
        <s v="10001394"/>
        <s v="10004441"/>
        <s v="10003287"/>
        <s v="10004438"/>
        <s v="10001874"/>
        <s v="10000771"/>
        <s v="10004233"/>
        <s v="10002368"/>
        <s v="10004973"/>
        <s v="10000213"/>
        <s v="10001918"/>
        <s v="10001097"/>
        <s v="10004888"/>
        <s v="10002375"/>
        <s v="10000615"/>
        <s v="10004767"/>
        <s v="10001125"/>
        <s v="10001036"/>
        <s v="10003614"/>
        <s v="10000088"/>
        <s v="10001019"/>
        <s v="10003278"/>
        <s v="10002581"/>
        <s v="10001379"/>
        <s v="10002880"/>
        <s v="10001545"/>
        <s v="10002160"/>
        <s v="10000580"/>
        <s v="10004364"/>
        <s v="10004833"/>
        <s v="10002024"/>
        <s v="10004659"/>
        <s v="10002320"/>
        <s v="10000758"/>
        <s v="10001494"/>
        <s v="10000305"/>
        <s v="10000991"/>
        <s v="10001047"/>
        <s v="10003718"/>
        <s v="10000349"/>
        <s v="10003465"/>
        <s v="10003395"/>
        <s v="10002437"/>
        <s v="10003134"/>
        <s v="10002202"/>
        <s v="10001800"/>
        <s v="10003221"/>
        <s v="10000605"/>
        <s v="10001432"/>
        <s v="10002213"/>
        <s v="10003811"/>
        <s v="10004960"/>
        <s v="10004946"/>
        <s v="10002230"/>
        <s v="10003280"/>
        <s v="10003968"/>
        <s v="10000528"/>
        <s v="10004803"/>
        <s v="10002815"/>
        <s v="10002857"/>
        <s v="10004086"/>
        <s v="10002563"/>
        <s v="10000129"/>
        <s v="10003296"/>
        <s v="10002916"/>
        <s v="10004648"/>
        <s v="10004728"/>
        <s v="10003174"/>
        <s v="10001861"/>
        <s v="10004980"/>
        <s v="10004679"/>
        <s v="10001046"/>
        <s v="10000423"/>
        <s v="10001487"/>
        <s v="10003956"/>
        <s v="10002885"/>
        <s v="10000089"/>
        <s v="10004289"/>
        <s v="10003447"/>
        <s v="10004022"/>
        <s v="10001098"/>
        <s v="10003437"/>
        <s v="10003567"/>
        <s v="10002656"/>
        <s v="10002370"/>
        <s v="10004055"/>
        <s v="10004609"/>
        <s v="10004737"/>
        <s v="10004568"/>
        <s v="10004773"/>
        <s v="10004495"/>
        <s v="10004733"/>
        <s v="10000380"/>
        <s v="10000439"/>
        <s v="10000376"/>
        <s v="10002893"/>
        <s v="10000036"/>
        <s v="10004948"/>
        <s v="10000672"/>
        <s v="10002647"/>
        <s v="10002107"/>
        <s v="10002758"/>
        <s v="10002974"/>
        <s v="10003973"/>
        <s v="10000804"/>
        <s v="10000241"/>
        <s v="10000632"/>
        <s v="10000025"/>
        <s v="10003272"/>
        <s v="10002221"/>
        <s v="10004344"/>
        <s v="10000179"/>
        <s v="10000309"/>
        <s v="10001212"/>
        <s v="10004685"/>
        <s v="10000260"/>
        <s v="10000538"/>
        <s v="10003121"/>
        <s v="10001745"/>
        <s v="10001932"/>
        <s v="10003309"/>
        <s v="10002624"/>
        <s v="10003577"/>
        <s v="10004983"/>
        <s v="10002945"/>
        <s v="10000255"/>
        <s v="10004018"/>
        <s v="10002246"/>
        <s v="10000659"/>
        <s v="10003123"/>
        <s v="10004498"/>
        <s v="10002987"/>
        <s v="10000553"/>
        <s v="10001876"/>
        <s v="10003798"/>
        <s v="10003034"/>
        <s v="10002583"/>
        <s v="10004000"/>
        <s v="10000752"/>
        <s v="10001425"/>
        <s v="10003981"/>
        <s v="10003286"/>
        <s v="10001760"/>
        <s v="10001363"/>
        <s v="10001952"/>
        <s v="10004030"/>
        <s v="10001497"/>
        <s v="10001137"/>
        <s v="10002764"/>
        <s v="10003008"/>
        <s v="10000303"/>
        <s v="10003063"/>
        <s v="10002103"/>
        <s v="10002403"/>
        <s v="10004180"/>
        <s v="10001658"/>
        <s v="10000565"/>
        <s v="10003473"/>
        <s v="10000865"/>
        <s v="10004036"/>
        <s v="10000312"/>
        <s v="10001662"/>
        <s v="10004707"/>
        <s v="10003656"/>
        <s v="10003963"/>
        <s v="10001705"/>
        <s v="10001449"/>
        <s v="10001289"/>
        <s v="10001216"/>
        <s v="10002457"/>
        <s v="10004017"/>
        <s v="10004970"/>
        <s v="10001225"/>
        <s v="10002554"/>
        <s v="10000143"/>
        <s v="10003176"/>
        <s v="10004950"/>
        <s v="10004458"/>
        <s v="10003893"/>
        <s v="10001798"/>
        <s v="10003602"/>
        <s v="10001852"/>
        <s v="10002597"/>
        <s v="10001609"/>
        <s v="10003729"/>
        <s v="10004735"/>
        <s v="10001370"/>
        <s v="10002011"/>
        <s v="10000014"/>
        <s v="10002558"/>
        <s v="10000011"/>
        <s v="10002189"/>
        <s v="10000455"/>
        <s v="10001567"/>
        <s v="10000943"/>
        <s v="10001072"/>
        <s v="10000452"/>
        <s v="10002428"/>
        <s v="10003580"/>
        <s v="10001883"/>
        <s v="10002114"/>
        <s v="10003171"/>
        <s v="10002483"/>
        <s v="10000290"/>
        <s v="10002194"/>
        <s v="10000069"/>
        <s v="10001128"/>
        <s v="10004896"/>
        <s v="10000710"/>
        <s v="10002958"/>
        <s v="10003914"/>
        <s v="10000304"/>
        <s v="10002356"/>
        <s v="10003251"/>
        <s v="10004559"/>
        <s v="10004997"/>
        <s v="10001843"/>
        <s v="10003396"/>
        <s v="10001924"/>
        <s v="10001335"/>
        <s v="10001601"/>
        <s v="10002949"/>
        <s v="10002495"/>
        <s v="10001676"/>
        <s v="10000847"/>
        <s v="10002870"/>
        <s v="10004483"/>
        <s v="10002833"/>
        <s v="10003405"/>
        <s v="10004336"/>
        <s v="10003883"/>
        <s v="10003714"/>
        <s v="10000576"/>
        <s v="10002505"/>
        <s v="10004171"/>
        <s v="10004602"/>
        <s v="10003553"/>
        <s v="10003274"/>
        <s v="10001591"/>
        <s v="10002073"/>
        <s v="10002890"/>
        <s v="10000327"/>
        <s v="10004188"/>
        <s v="10002957"/>
        <s v="10003469"/>
        <s v="10001271"/>
        <s v="10003448"/>
        <s v="10000675"/>
        <s v="10004410"/>
        <s v="10003007"/>
        <s v="10004248"/>
        <s v="10000216"/>
        <s v="10004006"/>
        <s v="10001797"/>
        <s v="10003306"/>
        <s v="10004536"/>
        <s v="10004539"/>
        <s v="10000232"/>
        <s v="10004269"/>
        <s v="10001768"/>
        <s v="10000923"/>
        <s v="10001321"/>
        <s v="10000057"/>
        <s v="10004076"/>
        <s v="10003694"/>
        <s v="10002335"/>
        <s v="10002479"/>
        <s v="10000176"/>
        <s v="10004241"/>
        <s v="10004689"/>
        <s v="10003455"/>
        <s v="10002824"/>
        <s v="10001026"/>
        <s v="10000109"/>
        <s v="10003774"/>
        <s v="10003651"/>
        <s v="10001291"/>
        <s v="10004859"/>
        <s v="10001780"/>
        <s v="10002787"/>
        <s v="10001681"/>
        <s v="10003291"/>
        <s v="10000045"/>
        <s v="10002756"/>
        <s v="10001525"/>
        <s v="10001166"/>
        <s v="10004230"/>
        <s v="10004218"/>
        <s v="10003289"/>
        <s v="10003965"/>
        <s v="10002444"/>
        <s v="10004999"/>
        <s v="10000175"/>
        <s v="10000293"/>
        <s v="10002834"/>
        <s v="10001228"/>
        <s v="10001095"/>
        <s v="10004952"/>
        <s v="10003724"/>
        <s v="10001196"/>
        <s v="10002766"/>
        <s v="10003022"/>
        <s v="10003832"/>
        <s v="10001634"/>
        <s v="10001578"/>
        <s v="10001229"/>
        <s v="10002075"/>
        <s v="10004785"/>
        <s v="10000362"/>
        <s v="10000081"/>
        <s v="10001482"/>
        <s v="10004971"/>
        <s v="10001947"/>
        <s v="10004123"/>
        <s v="10000617"/>
        <s v="10004010"/>
        <s v="10001536"/>
        <s v="10000357"/>
        <s v="10004908"/>
        <s v="10004924"/>
        <s v="10003696"/>
        <s v="10001142"/>
        <s v="10003766"/>
        <s v="10004459"/>
        <s v="10001967"/>
        <s v="10003797"/>
        <s v="10003535"/>
        <s v="10000595"/>
        <s v="10001870"/>
        <s v="10004053"/>
        <s v="10002191"/>
        <s v="10002827"/>
        <s v="10004178"/>
        <s v="10002293"/>
        <s v="10004661"/>
        <s v="10000454"/>
        <s v="10002203"/>
        <s v="10003355"/>
        <s v="10000676"/>
        <s v="10001922"/>
        <s v="10001051"/>
        <s v="10003305"/>
        <s v="10002280"/>
        <s v="10004100"/>
        <s v="10001357"/>
        <s v="10002506"/>
        <s v="10001037"/>
        <s v="10004239"/>
        <s v="10000295"/>
        <s v="10002053"/>
        <s v="10003823"/>
        <s v="10001771"/>
        <s v="10001539"/>
        <s v="10003715"/>
        <s v="10000990"/>
        <s v="10001078"/>
        <s v="10003975"/>
        <s v="10000157"/>
        <s v="10000246"/>
        <s v="10003091"/>
        <s v="10001795"/>
        <s v="10003582"/>
        <s v="10003312"/>
        <s v="10002473"/>
        <s v="10004093"/>
        <s v="10002120"/>
        <s v="10004530"/>
        <s v="10003324"/>
        <s v="10003930"/>
        <s v="10000358"/>
        <s v="10003971"/>
        <s v="10002044"/>
        <s v="10004141"/>
        <s v="10003199"/>
        <s v="10004447"/>
        <s v="10000657"/>
        <s v="10000432"/>
        <s v="10000892"/>
        <s v="10000262"/>
        <s v="10003610"/>
        <s v="10003099"/>
        <s v="10001954"/>
        <s v="10004260"/>
        <s v="10002429"/>
        <s v="10003731"/>
        <s v="10004351"/>
        <s v="10003196"/>
        <s v="10003657"/>
        <s v="10000971"/>
        <s v="10003817"/>
        <s v="10003040"/>
        <s v="10001972"/>
        <s v="10001970"/>
        <s v="10001569"/>
        <s v="10001679"/>
        <s v="10000056"/>
        <s v="10000904"/>
        <s v="10001109"/>
        <s v="10002313"/>
        <s v="10003790"/>
        <s v="10002741"/>
        <s v="10000138"/>
        <s v="10002262"/>
        <s v="10003282"/>
        <s v="10001086"/>
        <s v="10001294"/>
        <s v="10002867"/>
        <s v="10002789"/>
        <s v="10001215"/>
        <s v="10002312"/>
        <s v="10000898"/>
        <s v="10004955"/>
        <s v="10002659"/>
        <s v="10001553"/>
        <s v="10001307"/>
        <s v="10003631"/>
        <s v="10000597"/>
        <s v="10004695"/>
        <s v="10001817"/>
        <s v="10001074"/>
        <s v="10000624"/>
        <s v="10003158"/>
        <s v="10002780"/>
        <s v="10001132"/>
        <s v="10002818"/>
        <s v="10002831"/>
        <s v="10001878"/>
        <s v="10002323"/>
        <s v="10003590"/>
        <s v="10002557"/>
        <s v="10003669"/>
        <s v="10003498"/>
        <s v="10003673"/>
        <s v="10002496"/>
        <s v="10000937"/>
        <s v="10003429"/>
        <s v="10000702"/>
        <s v="10000343"/>
        <s v="10000142"/>
        <s v="10001963"/>
        <s v="10000526"/>
        <s v="10001404"/>
        <s v="10003217"/>
        <s v="10004164"/>
        <s v="10001148"/>
        <s v="10002584"/>
        <s v="10000794"/>
        <s v="10002622"/>
        <s v="10002501"/>
        <s v="10003442"/>
        <s v="10003601"/>
        <s v="10003179"/>
        <s v="10003068"/>
        <s v="10004040"/>
        <s v="10001118"/>
        <s v="10001383"/>
        <s v="10004626"/>
        <s v="10004977"/>
        <s v="10001667"/>
        <s v="10001535"/>
        <s v="10004120"/>
        <s v="10002126"/>
        <s v="10004152"/>
        <s v="10000073"/>
        <s v="10002250"/>
        <s v="10001488"/>
        <s v="10003848"/>
        <s v="10001204"/>
        <s v="10003027"/>
        <s v="10000134"/>
        <s v="10002200"/>
        <s v="10002855"/>
        <s v="10004593"/>
        <s v="10002790"/>
        <s v="10004125"/>
        <s v="10002975"/>
        <s v="10003650"/>
        <s v="10002537"/>
        <s v="10001958"/>
        <s v="10003691"/>
        <s v="10001198"/>
        <s v="10003238"/>
        <s v="10004353"/>
        <s v="10002310"/>
        <s v="10001790"/>
        <s v="10003878"/>
        <s v="10000719"/>
        <s v="10001683"/>
        <s v="10003719"/>
        <s v="10000552"/>
        <s v="10002036"/>
        <s v="10000320"/>
        <s v="10004690"/>
        <s v="10003655"/>
        <s v="10003036"/>
        <s v="10001057"/>
        <s v="10003684"/>
        <s v="10002573"/>
        <s v="10002311"/>
        <s v="10003984"/>
        <s v="10004287"/>
        <s v="10000387"/>
        <s v="10004656"/>
        <s v="10004209"/>
        <s v="10001031"/>
        <s v="10003026"/>
        <s v="10000780"/>
        <s v="10001752"/>
        <s v="10004042"/>
        <s v="10002960"/>
        <s v="10002735"/>
        <s v="10001025"/>
        <s v="10000831"/>
        <s v="10000130"/>
        <s v="10000936"/>
        <s v="10003116"/>
        <s v="10003628"/>
        <s v="10004090"/>
        <s v="10000112"/>
        <s v="10004020"/>
        <s v="10003919"/>
        <s v="10003460"/>
        <s v="10001120"/>
        <s v="10004610"/>
        <s v="10003072"/>
        <s v="10004654"/>
        <s v="10000575"/>
        <s v="10002973"/>
        <s v="10004475"/>
        <s v="10004052"/>
        <s v="10002222"/>
        <s v="10001099"/>
        <s v="10001305"/>
        <s v="10002214"/>
        <s v="10001061"/>
        <s v="10003510"/>
        <s v="10004165"/>
        <s v="10001191"/>
        <s v="10002257"/>
        <s v="10000806"/>
        <s v="10000048"/>
        <s v="10001708"/>
        <s v="10004506"/>
        <s v="10003012"/>
        <s v="10003268"/>
        <s v="10004748"/>
        <s v="10002578"/>
        <s v="10003493"/>
        <s v="10001731"/>
        <s v="10001560"/>
        <s v="10003077"/>
        <s v="10002874"/>
        <s v="10002963"/>
        <s v="10001860"/>
        <s v="10001496"/>
        <s v="10000466"/>
        <s v="10003499"/>
        <s v="10003347"/>
        <s v="10001418"/>
        <s v="10004632"/>
        <s v="10002903"/>
        <s v="10003529"/>
        <s v="10000809"/>
        <s v="10003505"/>
        <s v="10000914"/>
        <s v="10000448"/>
        <s v="10001141"/>
        <s v="10003589"/>
        <s v="10002215"/>
        <s v="10002774"/>
        <s v="10000828"/>
        <s v="10001332"/>
        <s v="10002937"/>
        <s v="10000891"/>
        <s v="10004348"/>
        <s v="10003061"/>
        <s v="10002956"/>
        <s v="10001846"/>
        <s v="10001955"/>
        <s v="10000203"/>
        <s v="10000918"/>
        <s v="10003707"/>
        <s v="10004782"/>
        <s v="10004586"/>
        <s v="10001184"/>
        <s v="10001039"/>
        <s v="10000927"/>
        <s v="10004519"/>
        <s v="10003467"/>
        <s v="10000344"/>
        <s v="10003660"/>
        <s v="10000756"/>
        <s v="10002268"/>
        <s v="10004007"/>
        <s v="10002743"/>
        <s v="10003936"/>
        <s v="10004405"/>
        <s v="10003023"/>
        <s v="10003543"/>
        <s v="10003159"/>
        <s v="10000027"/>
        <s v="10001979"/>
        <s v="10003816"/>
        <s v="10001943"/>
        <s v="10000551"/>
        <s v="10002071"/>
        <s v="10003476"/>
        <s v="10001153"/>
        <s v="10002680"/>
        <s v="10003833"/>
        <s v="10000174"/>
        <s v="10001940"/>
        <s v="10000419"/>
        <s v="10000611"/>
        <s v="10002574"/>
        <s v="10004930"/>
        <s v="10003996"/>
        <s v="10001571"/>
        <s v="10001530"/>
        <s v="10004318"/>
        <s v="10003194"/>
        <s v="10000513"/>
        <s v="10000167"/>
        <s v="10004698"/>
        <s v="10004114"/>
        <s v="10000665"/>
        <s v="10004975"/>
        <s v="10001270"/>
        <s v="10000658"/>
        <s v="10004409"/>
        <s v="10000369"/>
        <s v="10002878"/>
        <s v="10003329"/>
        <s v="10003045"/>
        <s v="10003692"/>
        <s v="10002859"/>
        <s v="10000585"/>
        <s v="10003722"/>
        <s v="10004614"/>
        <s v="10004101"/>
        <s v="10003281"/>
        <s v="10002813"/>
        <s v="10002255"/>
        <s v="10003748"/>
        <s v="10004442"/>
        <s v="10004848"/>
        <s v="10000122"/>
        <s v="10002105"/>
        <s v="10002844"/>
        <s v="10002533"/>
        <s v="10002018"/>
        <s v="10001469"/>
        <s v="10002918"/>
        <s v="10002195"/>
        <s v="10000521"/>
        <s v="10002923"/>
        <s v="10000642"/>
        <s v="10002472"/>
        <s v="10001249"/>
        <s v="10001185"/>
        <s v="10004826"/>
        <s v="10002534"/>
        <s v="10000755"/>
        <s v="10001891"/>
        <s v="10004484"/>
        <s v="10003739"/>
        <s v="10003716"/>
        <s v="10004327"/>
        <s v="10003623"/>
        <s v="10001267"/>
        <s v="10000732"/>
        <s v="10000422"/>
        <s v="10001468"/>
        <s v="10002350"/>
        <s v="10000215"/>
        <s v="10004487"/>
        <s v="10001303"/>
        <s v="10002396"/>
        <s v="10004285"/>
        <s v="10004716"/>
        <s v="10003198"/>
        <s v="10001085"/>
        <s v="10000817"/>
        <s v="10002305"/>
        <s v="10000483"/>
        <s v="10000723"/>
        <s v="10000350"/>
        <s v="10000482"/>
        <s v="10002240"/>
        <s v="10002926"/>
        <s v="10003172"/>
        <s v="10004359"/>
        <s v="10000390"/>
        <s v="10003356"/>
        <s v="10003177"/>
        <s v="10003055"/>
        <s v="10000411"/>
        <s v="10000988"/>
        <s v="10003433"/>
        <s v="10001721"/>
        <s v="10003986"/>
        <s v="10003988"/>
        <s v="10000562"/>
        <s v="10000418"/>
        <s v="10001158"/>
        <s v="10000864"/>
        <s v="10000591"/>
        <s v="10004465"/>
        <s v="10002961"/>
        <s v="10002228"/>
        <s v="10000078"/>
        <s v="10001457"/>
        <s v="10001149"/>
        <s v="10000158"/>
        <s v="10003464"/>
        <s v="10002043"/>
        <s v="10002137"/>
        <s v="10003903"/>
        <s v="10004569"/>
        <s v="10004091"/>
        <s v="10003759"/>
        <s v="10001520"/>
        <s v="10002298"/>
        <s v="10003228"/>
        <s v="10004182"/>
        <s v="10004156"/>
        <s v="10004389"/>
        <s v="10000791"/>
        <s v="10001772"/>
        <s v="10004345"/>
        <s v="10003302"/>
        <s v="10003349"/>
        <s v="10001005"/>
        <s v="10002592"/>
        <s v="10000840"/>
        <s v="10000490"/>
        <s v="10002794"/>
        <s v="10003087"/>
        <s v="10000149"/>
        <s v="10000730"/>
        <s v="10004507"/>
        <s v="10003208"/>
        <s v="10001474"/>
        <s v="10004147"/>
        <s v="10000912"/>
        <s v="10002415"/>
        <s v="10004261"/>
        <s v="10004633"/>
        <s v="10001915"/>
        <s v="10002660"/>
        <s v="10000441"/>
        <s v="10000420"/>
        <s v="10000965"/>
        <s v="10003059"/>
        <s v="10001944"/>
        <s v="10004708"/>
        <s v="10000285"/>
        <s v="10001695"/>
        <s v="10002500"/>
        <s v="10004139"/>
        <s v="10003746"/>
        <s v="10002033"/>
        <s v="10003875"/>
        <s v="10001424"/>
        <s v="10000443"/>
        <s v="10000476"/>
        <s v="10003856"/>
        <s v="10000029"/>
        <s v="10001615"/>
        <s v="10004774"/>
        <s v="10001546"/>
        <s v="10000486"/>
        <s v="10004531"/>
        <s v="10004904"/>
        <s v="10001804"/>
        <s v="10000711"/>
        <s v="10002167"/>
        <s v="10001856"/>
        <s v="10001476"/>
        <s v="10004571"/>
        <s v="10001284"/>
        <s v="10002275"/>
        <s v="10004853"/>
        <s v="10001033"/>
        <s v="10004154"/>
        <s v="10002353"/>
        <s v="10003092"/>
        <s v="10001908"/>
        <s v="10003129"/>
        <s v="10003392"/>
        <s v="10001336"/>
        <s v="10001071"/>
        <s v="10003931"/>
        <s v="10001564"/>
        <s v="10004768"/>
        <s v="10004290"/>
        <s v="10003966"/>
        <s v="10000301"/>
        <s v="10001725"/>
        <s v="10003752"/>
        <s v="10004675"/>
        <s v="10002947"/>
        <s v="10003664"/>
        <s v="10001765"/>
        <s v="10000689"/>
        <s v="10003555"/>
        <s v="10002965"/>
        <s v="10004386"/>
        <s v="10003327"/>
        <s v="10002621"/>
        <s v="10002763"/>
        <s v="10002026"/>
        <s v="10001767"/>
        <s v="10000279"/>
        <s v="10000586"/>
        <s v="10001028"/>
        <s v="10000136"/>
        <s v="10001290"/>
        <s v="10002170"/>
        <s v="10004094"/>
        <s v="10004754"/>
        <s v="10002666"/>
        <s v="10001448"/>
        <s v="10004868"/>
        <s v="10000977"/>
        <s v="10003489"/>
        <s v="10004587"/>
        <s v="10001434"/>
        <s v="10004540"/>
        <s v="10001295"/>
        <s v="10003663"/>
        <s v="10001613"/>
        <s v="10004008"/>
        <s v="10001670"/>
        <s v="10000520"/>
        <s v="10001079"/>
        <s v="10000087"/>
        <s v="10001685"/>
        <s v="10003773"/>
        <s v="10003885"/>
        <s v="10002613"/>
        <s v="10004528"/>
        <s v="10001815"/>
        <s v="10000636"/>
        <s v="10004761"/>
        <s v="10003784"/>
        <s v="10002562"/>
        <s v="10001509"/>
        <s v="10003001"/>
        <s v="10002352"/>
        <s v="10000222"/>
        <s v="10000249"/>
        <s v="10000743"/>
        <s v="10002289"/>
        <s v="10001635"/>
        <s v="10003622"/>
        <s v="10004667"/>
        <s v="10004227"/>
        <s v="10002085"/>
        <s v="10001754"/>
        <s v="10001090"/>
        <s v="10003727"/>
        <s v="10004621"/>
        <s v="10001044"/>
        <s v="10001989"/>
        <s v="10004002"/>
        <s v="10000984"/>
        <s v="10002421"/>
        <s v="10004752"/>
        <s v="10004451"/>
        <s v="10004901"/>
        <s v="10003021"/>
        <s v="10001272"/>
        <s v="10004071"/>
        <s v="10002607"/>
        <s v="10000221"/>
        <s v="10004607"/>
        <s v="10000785"/>
        <s v="10002759"/>
        <s v="10000321"/>
        <s v="10002600"/>
        <s v="10004078"/>
        <s v="10002030"/>
        <s v="10002045"/>
        <s v="10002988"/>
        <s v="10003911"/>
        <s v="10004256"/>
        <s v="10003779"/>
        <s v="10002645"/>
        <s v="10004510"/>
        <s v="10002111"/>
        <s v="10002412"/>
        <s v="10001510"/>
        <s v="10001511"/>
        <s v="10000199"/>
        <s v="10000614"/>
        <s v="10001889"/>
        <s v="10002464"/>
        <s v="10001242"/>
        <s v="10004712"/>
        <s v="10004781"/>
        <s v="10000198"/>
        <s v="10004709"/>
        <s v="10002005"/>
        <s v="10001266"/>
        <s v="10001527"/>
        <s v="10001366"/>
        <s v="10003160"/>
        <s v="10001636"/>
        <s v="10002067"/>
        <s v="10004395"/>
        <s v="10002609"/>
        <s v="10002842"/>
        <s v="10004245"/>
        <s v="10000876"/>
        <s v="10004330"/>
        <s v="10003923"/>
        <s v="10003270"/>
        <s v="10000169"/>
        <s v="10004355"/>
        <s v="10003173"/>
        <s v="10004381"/>
        <s v="10003958"/>
        <s v="10004968"/>
        <s v="10003953"/>
        <s v="10004963"/>
        <s v="10002049"/>
        <s v="10000773"/>
        <s v="10000726"/>
        <s v="10000050"/>
        <s v="10000877"/>
        <s v="10003925"/>
        <s v="10004187"/>
        <s v="10003039"/>
        <s v="10001221"/>
        <s v="10001628"/>
        <s v="10000560"/>
        <s v="10001802"/>
        <s v="10002897"/>
        <s v="10000148"/>
        <s v="10002952"/>
        <s v="10003849"/>
        <s v="10001953"/>
        <s v="10000822"/>
        <s v="10001937"/>
        <s v="10003641"/>
        <s v="10000015"/>
        <s v="10002331"/>
        <s v="10003569"/>
        <s v="10002598"/>
        <s v="10003606"/>
        <s v="10004828"/>
        <s v="10004757"/>
        <s v="10002749"/>
        <s v="10002602"/>
        <s v="10001787"/>
        <s v="10000019"/>
        <s v="10003805"/>
        <s v="10000948"/>
        <s v="10000254"/>
        <s v="10003709"/>
        <s v="10004956"/>
        <s v="10001547"/>
        <s v="10003388"/>
        <s v="10002606"/>
        <s v="10001892"/>
        <s v="10003870"/>
        <s v="10004270"/>
        <s v="10003894"/>
        <s v="10002041"/>
        <s v="10001453"/>
        <s v="10002983"/>
        <s v="10001172"/>
        <s v="10003247"/>
        <s v="10001758"/>
        <s v="10000716"/>
        <s v="10000682"/>
        <s v="10002135"/>
        <s v="10002518"/>
        <s v="10004575"/>
        <s v="10001130"/>
        <s v="10002076"/>
        <s v="10002475"/>
        <s v="10003770"/>
        <s v="10004420"/>
        <s v="10004619"/>
        <s v="10000634"/>
        <s v="10001034"/>
        <s v="10000171"/>
        <s v="10002486"/>
        <s v="10001297"/>
        <s v="10002205"/>
        <s v="10000629"/>
        <s v="10002564"/>
        <s v="10000352"/>
        <s v="10003379"/>
        <s v="10000740"/>
        <s v="10000076"/>
        <s v="10003676"/>
        <s v="10002217"/>
        <s v="10001532"/>
        <s v="10001459"/>
        <s v="10003645"/>
        <s v="10000556"/>
        <s v="10000863"/>
        <s v="10001713"/>
        <s v="10001750"/>
        <s v="10001465"/>
        <s v="10001534"/>
        <s v="10003472"/>
        <s v="10001998"/>
        <s v="10000545"/>
        <s v="10001641"/>
        <s v="10004855"/>
        <s v="10001419"/>
        <s v="10003166"/>
        <s v="10000938"/>
        <s v="10002344"/>
        <s v="10000462"/>
        <s v="10001146"/>
        <s v="10002854"/>
        <s v="10001205"/>
        <s v="10001868"/>
        <s v="10004835"/>
        <s v="10002713"/>
        <s v="10004340"/>
        <s v="10004337"/>
        <s v="10003156"/>
        <s v="10000844"/>
        <s v="10004308"/>
        <s v="10000666"/>
        <s v="10003537"/>
        <s v="10004186"/>
        <s v="10000004"/>
        <s v="10002245"/>
        <s v="10002651"/>
        <s v="10004545"/>
        <s v="10004886"/>
        <s v="10000760"/>
        <s v="10004534"/>
        <s v="10001218"/>
        <s v="10001427"/>
        <s v="10002006"/>
        <s v="10003223"/>
        <s v="10004897"/>
        <s v="10001190"/>
        <s v="10003481"/>
        <s v="10000849"/>
        <s v="10000201"/>
        <s v="10002549"/>
        <s v="10000289"/>
        <s v="10004015"/>
        <s v="10002003"/>
        <s v="10001574"/>
        <s v="10000464"/>
        <s v="10000248"/>
        <s v="10000962"/>
        <s v="10002931"/>
        <s v="10000124"/>
        <s v="10002553"/>
        <s v="10002414"/>
        <s v="10000588"/>
        <s v="10001608"/>
        <s v="10002906"/>
        <s v="10002522"/>
        <s v="10001854"/>
        <s v="10004140"/>
        <s v="10003096"/>
        <s v="10002319"/>
        <s v="10001260"/>
        <s v="10002765"/>
        <s v="10001950"/>
        <s v="10001736"/>
        <s v="10002694"/>
        <s v="10001293"/>
        <s v="10003256"/>
        <s v="10002034"/>
        <s v="10002530"/>
        <s v="10001001"/>
        <s v="10002432"/>
        <s v="10003876"/>
        <s v="10004830"/>
        <s v="10002185"/>
        <s v="10000223"/>
        <s v="10000546"/>
        <s v="10003033"/>
        <s v="10000952"/>
        <s v="10000038"/>
        <s v="10001144"/>
        <s v="10000501"/>
        <s v="10003374"/>
        <s v="10000807"/>
        <s v="10004532"/>
        <s v="10002504"/>
        <s v="10003862"/>
        <s v="10002852"/>
        <s v="10002726"/>
        <s v="10002485"/>
        <s v="10003266"/>
        <s v="10002345"/>
        <s v="10004477"/>
        <s v="10001519"/>
        <s v="10003495"/>
        <s v="10001664"/>
        <s v="10002115"/>
        <s v="10001759"/>
        <s v="10001013"/>
        <s v="10002799"/>
        <s v="10003273"/>
        <s v="10000275"/>
        <s v="10000159"/>
        <s v="10004738"/>
        <s v="10003237"/>
        <s v="10004838"/>
        <s v="10001299"/>
        <s v="10000023"/>
        <s v="10003095"/>
        <s v="10003638"/>
        <s v="10002254"/>
        <s v="10002807"/>
        <s v="10001154"/>
        <s v="10001857"/>
        <s v="10001524"/>
        <s v="10001575"/>
        <s v="10004584"/>
        <s v="10004092"/>
        <s v="10002445"/>
        <s v="10001433"/>
        <s v="10002986"/>
        <s v="10004249"/>
        <s v="10002309"/>
        <s v="10001757"/>
        <s v="10001819"/>
        <s v="10003479"/>
        <s v="10001990"/>
        <s v="10002276"/>
        <s v="10003364"/>
        <s v="10001897"/>
        <s v="10000696"/>
        <s v="10004582"/>
        <s v="10003058"/>
        <s v="10000046"/>
        <s v="10001749"/>
        <s v="10000621"/>
        <s v="10000252"/>
        <s v="10004467"/>
        <s v="10000940"/>
        <s v="10001415"/>
        <s v="10000026"/>
        <s v="10001890"/>
        <s v="10004470"/>
        <s v="10003484"/>
        <s v="10001177"/>
        <s v="10001058"/>
        <s v="10002701"/>
        <s v="10002116"/>
        <s v="10002498"/>
        <s v="10000225"/>
        <s v="10004671"/>
        <s v="10003338"/>
        <s v="10004597"/>
        <s v="10003298"/>
        <s v="10004875"/>
        <s v="10000823"/>
        <s v="10000798"/>
        <s v="10000895"/>
        <s v="10000697"/>
        <s v="10001766"/>
        <s v="10004224"/>
        <s v="10001308"/>
        <s v="10004912"/>
        <s v="10002545"/>
        <s v="10002259"/>
        <s v="10002998"/>
        <s v="10002399"/>
        <s v="10003626"/>
        <s v="10000577"/>
        <s v="10002555"/>
        <s v="10000468"/>
        <s v="10000010"/>
        <s v="10002001"/>
        <s v="10001763"/>
        <s v="10002804"/>
        <s v="10002567"/>
        <s v="10003910"/>
        <s v="10004911"/>
        <s v="10001956"/>
        <s v="10003205"/>
        <s v="10001986"/>
        <s v="10004804"/>
        <s v="10001826"/>
        <s v="10002133"/>
        <s v="10002684"/>
        <s v="10002070"/>
        <s v="10001639"/>
        <s v="10002538"/>
        <s v="10000563"/>
        <s v="10001522"/>
        <s v="10001593"/>
        <s v="10000414"/>
        <s v="10003732"/>
        <s v="10001661"/>
        <s v="10003148"/>
        <s v="10002676"/>
        <s v="10004255"/>
        <s v="10002817"/>
        <s v="10004041"/>
        <s v="10001962"/>
        <s v="10002468"/>
        <s v="10003478"/>
        <s v="10000799"/>
        <s v="10001838"/>
        <s v="10000735"/>
        <s v="10004664"/>
        <s v="10001718"/>
        <s v="10002304"/>
        <s v="10004967"/>
        <s v="10002157"/>
        <s v="10003363"/>
        <s v="10004634"/>
        <s v="10002118"/>
        <s v="10004511"/>
        <s v="10001116"/>
        <s v="10001606"/>
        <s v="10002922"/>
        <s v="10001761"/>
        <s v="10001543"/>
        <s v="10000121"/>
        <s v="10001706"/>
        <s v="10003373"/>
        <s v="10001573"/>
        <s v="10001231"/>
        <s v="10000409"/>
        <s v="10000487"/>
        <s v="10003094"/>
        <s v="10000533"/>
        <s v="10004600"/>
        <s v="10004236"/>
        <s v="10001460"/>
        <s v="10001776"/>
        <s v="10001243"/>
        <s v="10002954"/>
        <s v="10002012"/>
        <s v="10004027"/>
        <s v="10001045"/>
        <s v="10002550"/>
        <s v="10004357"/>
        <s v="10000532"/>
        <s v="10000326"/>
        <s v="10000820"/>
        <s v="10002637"/>
        <s v="10003845"/>
        <s v="10000604"/>
        <s v="10002751"/>
        <s v="10004352"/>
        <s v="10004922"/>
        <s v="10001847"/>
        <s v="10004115"/>
        <s v="10001114"/>
        <s v="10003002"/>
        <s v="10000053"/>
        <s v="10001337"/>
        <s v="10004876"/>
        <s v="10001557"/>
        <s v="10000777"/>
        <s v="10004846"/>
        <s v="10000145"/>
        <s v="10001588"/>
        <s v="10002301"/>
        <s v="10001314"/>
        <s v="10001919"/>
        <s v="10004231"/>
        <s v="10001597"/>
        <s v="10004001"/>
        <s v="10001835"/>
        <s v="10002689"/>
        <s v="10001644"/>
        <s v="10003527"/>
        <s v="10000193"/>
        <s v="10002402"/>
        <s v="10002456"/>
        <s v="10003572"/>
        <s v="10000315"/>
        <s v="10000397"/>
        <s v="10001492"/>
        <s v="10000277"/>
        <s v="10004722"/>
        <s v="10001127"/>
        <s v="10004243"/>
        <s v="10001558"/>
        <s v="10000100"/>
        <s v="10002406"/>
        <s v="10002552"/>
        <s v="10002571"/>
        <s v="10004206"/>
        <s v="10002982"/>
        <s v="10002088"/>
        <s v="10004834"/>
        <s v="10003591"/>
        <s v="10000494"/>
        <s v="10003357"/>
        <s v="10004995"/>
        <s v="10002892"/>
        <s v="10001622"/>
        <s v="10001756"/>
        <s v="10003723"/>
        <s v="10000034"/>
        <s v="10000206"/>
        <s v="10003127"/>
        <s v="10002364"/>
        <s v="10003192"/>
        <s v="10004860"/>
        <s v="10001414"/>
        <s v="10002225"/>
        <s v="10003142"/>
        <s v="10004492"/>
        <s v="10002182"/>
        <s v="10003806"/>
        <s v="10001124"/>
        <s v="10003842"/>
        <s v="10000994"/>
        <s v="10004544"/>
        <s v="10001315"/>
        <s v="10001602"/>
        <s v="10002762"/>
        <s v="10001994"/>
        <s v="10004518"/>
        <s v="10004854"/>
        <s v="10001561"/>
        <s v="10001445"/>
        <s v="10003514"/>
        <s v="10003016"/>
        <s v="10002095"/>
        <s v="10004456"/>
        <s v="10003800"/>
        <s v="10004655"/>
        <s v="10002800"/>
        <s v="10003056"/>
        <s v="10003799"/>
      </sharedItems>
    </cacheField>
    <cacheField name="Category" numFmtId="0">
      <sharedItems count="3">
        <s v="Office Supplies"/>
        <s v="Technology"/>
        <s v="Furniture"/>
      </sharedItems>
    </cacheField>
    <cacheField name="Sub-Category" numFmtId="0">
      <sharedItems count="17">
        <s v="Art"/>
        <s v="Machines"/>
        <s v="Paper"/>
        <s v="Storage"/>
        <s v="Accessories"/>
        <s v="Supplies"/>
        <s v="Furnishings"/>
        <s v="Binders"/>
        <s v="Labels"/>
        <s v="Phones"/>
        <s v="Chairs"/>
        <s v="Copiers"/>
        <s v="Appliances"/>
        <s v="Bookcases"/>
        <s v="Tables"/>
        <s v="Fasteners"/>
        <s v="Envelopes"/>
      </sharedItems>
    </cacheField>
    <cacheField name="Sales" numFmtId="0">
      <sharedItems containsSemiMixedTypes="0" containsString="0" containsNumber="1" minValue="0.85199999999999998" maxValue="11199.968000000001"/>
    </cacheField>
  </cacheFields>
  <extLst>
    <ext xmlns:x14="http://schemas.microsoft.com/office/spreadsheetml/2009/9/main" uri="{725AE2AE-9491-48be-B2B4-4EB974FC3084}">
      <x14:pivotCacheDefinition pivotCacheId="847980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2">
  <r>
    <x v="0"/>
    <n v="164000"/>
    <x v="0"/>
    <s v="22/12/2018"/>
    <s v="Standard Class"/>
    <s v="Aaron Hawkins"/>
    <x v="0"/>
    <s v="No"/>
    <x v="0"/>
    <s v="Philadelphia"/>
    <x v="0"/>
    <x v="0"/>
    <x v="0"/>
    <x v="0"/>
    <x v="0"/>
    <n v="18.704000000000001"/>
  </r>
  <r>
    <x v="0"/>
    <n v="162691"/>
    <x v="1"/>
    <s v="07/08/2018"/>
    <s v="Standard Class"/>
    <s v="Aaron Smayling"/>
    <x v="1"/>
    <s v="Yes"/>
    <x v="0"/>
    <s v="Austin"/>
    <x v="1"/>
    <x v="1"/>
    <x v="1"/>
    <x v="1"/>
    <x v="1"/>
    <n v="1439.982"/>
  </r>
  <r>
    <x v="0"/>
    <n v="113481"/>
    <x v="2"/>
    <s v="04/01/2018"/>
    <s v="First Class"/>
    <s v="Aaron Smayling"/>
    <x v="1"/>
    <s v="Yes"/>
    <x v="0"/>
    <s v="Jacksonville"/>
    <x v="2"/>
    <x v="2"/>
    <x v="2"/>
    <x v="1"/>
    <x v="1"/>
    <n v="695.7"/>
  </r>
  <r>
    <x v="1"/>
    <n v="150126"/>
    <x v="3"/>
    <s v="02/08/2015"/>
    <s v="Standard Class"/>
    <s v="Aaron Smayling"/>
    <x v="1"/>
    <s v="Yes"/>
    <x v="0"/>
    <s v="New York City"/>
    <x v="3"/>
    <x v="0"/>
    <x v="3"/>
    <x v="0"/>
    <x v="2"/>
    <n v="65.78"/>
  </r>
  <r>
    <x v="2"/>
    <n v="162901"/>
    <x v="4"/>
    <s v="31/03/2017"/>
    <s v="First Class"/>
    <s v="Aaron Smayling"/>
    <x v="1"/>
    <s v="Yes"/>
    <x v="0"/>
    <s v="Arlington"/>
    <x v="4"/>
    <x v="2"/>
    <x v="4"/>
    <x v="0"/>
    <x v="3"/>
    <n v="31.4"/>
  </r>
  <r>
    <x v="0"/>
    <n v="159688"/>
    <x v="5"/>
    <s v="12/05/2018"/>
    <s v="Standard Class"/>
    <s v="Adam Bellavance"/>
    <x v="2"/>
    <s v="Yes"/>
    <x v="1"/>
    <s v="Los Angeles"/>
    <x v="5"/>
    <x v="3"/>
    <x v="5"/>
    <x v="1"/>
    <x v="4"/>
    <n v="79.989999999999995"/>
  </r>
  <r>
    <x v="2"/>
    <n v="161207"/>
    <x v="6"/>
    <s v="03/09/2017"/>
    <s v="Standard Class"/>
    <s v="Adam Bellavance"/>
    <x v="2"/>
    <s v="Yes"/>
    <x v="1"/>
    <s v="Concord"/>
    <x v="6"/>
    <x v="0"/>
    <x v="6"/>
    <x v="0"/>
    <x v="5"/>
    <n v="27.93"/>
  </r>
  <r>
    <x v="2"/>
    <n v="108637"/>
    <x v="7"/>
    <s v="18/03/2017"/>
    <s v="Standard Class"/>
    <s v="Adam Bellavance"/>
    <x v="2"/>
    <s v="Yes"/>
    <x v="1"/>
    <s v="Waynesboro"/>
    <x v="4"/>
    <x v="2"/>
    <x v="7"/>
    <x v="2"/>
    <x v="6"/>
    <n v="127.88"/>
  </r>
  <r>
    <x v="0"/>
    <n v="165029"/>
    <x v="8"/>
    <s v="30/11/2018"/>
    <s v="Standard Class"/>
    <s v="Adam Hart"/>
    <x v="3"/>
    <s v="Yes"/>
    <x v="0"/>
    <s v="Atlanta"/>
    <x v="7"/>
    <x v="2"/>
    <x v="8"/>
    <x v="0"/>
    <x v="0"/>
    <n v="12.84"/>
  </r>
  <r>
    <x v="0"/>
    <n v="118857"/>
    <x v="9"/>
    <s v="18/04/2018"/>
    <s v="First Class"/>
    <s v="Adam Hart"/>
    <x v="3"/>
    <s v="Yes"/>
    <x v="0"/>
    <s v="Henderson"/>
    <x v="8"/>
    <x v="3"/>
    <x v="9"/>
    <x v="2"/>
    <x v="6"/>
    <n v="196.45"/>
  </r>
  <r>
    <x v="3"/>
    <n v="127509"/>
    <x v="10"/>
    <s v="13/11/2016"/>
    <s v="Standard Class"/>
    <s v="Adam Shillingsburg"/>
    <x v="4"/>
    <s v="Yes"/>
    <x v="2"/>
    <s v="Springfield"/>
    <x v="9"/>
    <x v="1"/>
    <x v="10"/>
    <x v="0"/>
    <x v="7"/>
    <n v="17.22"/>
  </r>
  <r>
    <x v="0"/>
    <n v="108063"/>
    <x v="11"/>
    <s v="05/12/2018"/>
    <s v="First Class"/>
    <s v="Adam Shillingsburg"/>
    <x v="4"/>
    <s v="Yes"/>
    <x v="2"/>
    <s v="Charlottesville"/>
    <x v="4"/>
    <x v="2"/>
    <x v="11"/>
    <x v="0"/>
    <x v="0"/>
    <n v="34.65"/>
  </r>
  <r>
    <x v="2"/>
    <n v="150007"/>
    <x v="12"/>
    <s v="16/09/2017"/>
    <s v="Standard Class"/>
    <s v="Adam Shillingsburg"/>
    <x v="4"/>
    <s v="Yes"/>
    <x v="2"/>
    <s v="Chicago"/>
    <x v="10"/>
    <x v="1"/>
    <x v="12"/>
    <x v="0"/>
    <x v="8"/>
    <n v="6"/>
  </r>
  <r>
    <x v="0"/>
    <n v="126788"/>
    <x v="13"/>
    <s v="06/06/2018"/>
    <s v="First Class"/>
    <s v="Adrian Barton"/>
    <x v="5"/>
    <s v="Yes"/>
    <x v="2"/>
    <s v="Pearland"/>
    <x v="1"/>
    <x v="1"/>
    <x v="13"/>
    <x v="1"/>
    <x v="9"/>
    <n v="470.37599999999998"/>
  </r>
  <r>
    <x v="1"/>
    <n v="103100"/>
    <x v="14"/>
    <s v="23/12/2015"/>
    <s v="First Class"/>
    <s v="Adrian Barton"/>
    <x v="5"/>
    <s v="Yes"/>
    <x v="2"/>
    <s v="Indianapolis"/>
    <x v="11"/>
    <x v="1"/>
    <x v="14"/>
    <x v="0"/>
    <x v="8"/>
    <n v="3.69"/>
  </r>
  <r>
    <x v="0"/>
    <n v="101042"/>
    <x v="15"/>
    <s v="23/11/2018"/>
    <s v="Standard Class"/>
    <s v="Adrian Barton"/>
    <x v="5"/>
    <s v="Yes"/>
    <x v="2"/>
    <s v="Henderson"/>
    <x v="12"/>
    <x v="2"/>
    <x v="15"/>
    <x v="2"/>
    <x v="6"/>
    <n v="821.88"/>
  </r>
  <r>
    <x v="2"/>
    <n v="147431"/>
    <x v="16"/>
    <s v="07/02/2017"/>
    <s v="Standard Class"/>
    <s v="Adrian Barton"/>
    <x v="5"/>
    <s v="Yes"/>
    <x v="2"/>
    <s v="New York City"/>
    <x v="3"/>
    <x v="0"/>
    <x v="16"/>
    <x v="0"/>
    <x v="3"/>
    <n v="117.96"/>
  </r>
  <r>
    <x v="1"/>
    <n v="123295"/>
    <x v="17"/>
    <s v="18/07/2015"/>
    <s v="Same Day"/>
    <s v="Adrian Hane"/>
    <x v="6"/>
    <s v="No"/>
    <x v="1"/>
    <s v="Tucson"/>
    <x v="13"/>
    <x v="3"/>
    <x v="17"/>
    <x v="2"/>
    <x v="10"/>
    <n v="259.13600000000002"/>
  </r>
  <r>
    <x v="0"/>
    <n v="162929"/>
    <x v="15"/>
    <s v="22/11/2018"/>
    <s v="First Class"/>
    <s v="Adrian Shami"/>
    <x v="7"/>
    <s v="No"/>
    <x v="1"/>
    <s v="New York City"/>
    <x v="3"/>
    <x v="0"/>
    <x v="18"/>
    <x v="0"/>
    <x v="7"/>
    <n v="41.28"/>
  </r>
  <r>
    <x v="0"/>
    <n v="158876"/>
    <x v="15"/>
    <s v="21/11/2018"/>
    <s v="Second Class"/>
    <s v="Aimee Bixby"/>
    <x v="8"/>
    <s v="Yes"/>
    <x v="2"/>
    <s v="Carrollton"/>
    <x v="1"/>
    <x v="1"/>
    <x v="19"/>
    <x v="0"/>
    <x v="2"/>
    <n v="16.896000000000001"/>
  </r>
  <r>
    <x v="3"/>
    <n v="168186"/>
    <x v="18"/>
    <s v="15/09/2016"/>
    <s v="Standard Class"/>
    <s v="Aimee Bixby"/>
    <x v="8"/>
    <s v="Yes"/>
    <x v="2"/>
    <s v="Tulsa"/>
    <x v="14"/>
    <x v="1"/>
    <x v="20"/>
    <x v="0"/>
    <x v="2"/>
    <n v="14.94"/>
  </r>
  <r>
    <x v="1"/>
    <n v="139500"/>
    <x v="19"/>
    <s v="20/11/2015"/>
    <s v="Standard Class"/>
    <s v="Alan Barnes"/>
    <x v="9"/>
    <s v="Yes"/>
    <x v="2"/>
    <s v="Decatur"/>
    <x v="10"/>
    <x v="1"/>
    <x v="21"/>
    <x v="2"/>
    <x v="10"/>
    <n v="37.295999999999999"/>
  </r>
  <r>
    <x v="3"/>
    <n v="131534"/>
    <x v="20"/>
    <s v="02/04/2016"/>
    <s v="Standard Class"/>
    <s v="Alan Barnes"/>
    <x v="9"/>
    <s v="Yes"/>
    <x v="2"/>
    <s v="Los Angeles"/>
    <x v="5"/>
    <x v="3"/>
    <x v="22"/>
    <x v="1"/>
    <x v="4"/>
    <n v="166.24"/>
  </r>
  <r>
    <x v="0"/>
    <n v="131212"/>
    <x v="21"/>
    <s v="09/12/2018"/>
    <s v="Standard Class"/>
    <s v="Alan Barnes"/>
    <x v="9"/>
    <s v="Yes"/>
    <x v="2"/>
    <s v="Bellevue"/>
    <x v="15"/>
    <x v="3"/>
    <x v="23"/>
    <x v="0"/>
    <x v="7"/>
    <n v="24.815999999999999"/>
  </r>
  <r>
    <x v="3"/>
    <n v="115945"/>
    <x v="22"/>
    <s v="01/07/2016"/>
    <s v="Standard Class"/>
    <s v="Alan Barnes"/>
    <x v="9"/>
    <s v="Yes"/>
    <x v="2"/>
    <s v="Los Angeles"/>
    <x v="5"/>
    <x v="3"/>
    <x v="24"/>
    <x v="0"/>
    <x v="0"/>
    <n v="20.96"/>
  </r>
  <r>
    <x v="3"/>
    <n v="124268"/>
    <x v="23"/>
    <s v="08/07/2016"/>
    <s v="Standard Class"/>
    <s v="Alan Dominguez"/>
    <x v="10"/>
    <s v="Yes"/>
    <x v="1"/>
    <s v="New York City"/>
    <x v="3"/>
    <x v="0"/>
    <x v="25"/>
    <x v="0"/>
    <x v="0"/>
    <n v="15.48"/>
  </r>
  <r>
    <x v="3"/>
    <n v="120439"/>
    <x v="24"/>
    <s v="18/06/2016"/>
    <s v="Standard Class"/>
    <s v="Alan Dominguez"/>
    <x v="10"/>
    <s v="Yes"/>
    <x v="1"/>
    <s v="Philadelphia"/>
    <x v="0"/>
    <x v="0"/>
    <x v="26"/>
    <x v="2"/>
    <x v="6"/>
    <n v="51.072000000000003"/>
  </r>
  <r>
    <x v="1"/>
    <n v="128062"/>
    <x v="25"/>
    <s v="22/11/2015"/>
    <s v="Second Class"/>
    <s v="Alan Dominguez"/>
    <x v="10"/>
    <s v="Yes"/>
    <x v="1"/>
    <s v="Philadelphia"/>
    <x v="0"/>
    <x v="0"/>
    <x v="27"/>
    <x v="0"/>
    <x v="2"/>
    <n v="5.88"/>
  </r>
  <r>
    <x v="1"/>
    <n v="152030"/>
    <x v="26"/>
    <s v="28/12/2015"/>
    <s v="Second Class"/>
    <s v="Alan Dominguez"/>
    <x v="10"/>
    <s v="Yes"/>
    <x v="1"/>
    <s v="Houston"/>
    <x v="1"/>
    <x v="1"/>
    <x v="28"/>
    <x v="2"/>
    <x v="10"/>
    <n v="600.55799999999999"/>
  </r>
  <r>
    <x v="0"/>
    <n v="127432"/>
    <x v="27"/>
    <s v="27/01/2018"/>
    <s v="Standard Class"/>
    <s v="Alan Dominguez"/>
    <x v="10"/>
    <s v="Yes"/>
    <x v="1"/>
    <s v="Great Falls"/>
    <x v="16"/>
    <x v="3"/>
    <x v="29"/>
    <x v="1"/>
    <x v="11"/>
    <n v="2999.95"/>
  </r>
  <r>
    <x v="2"/>
    <n v="112697"/>
    <x v="28"/>
    <s v="20/12/2017"/>
    <s v="Second Class"/>
    <s v="Alan Haines"/>
    <x v="11"/>
    <s v="Yes"/>
    <x v="0"/>
    <s v="Tamarac"/>
    <x v="17"/>
    <x v="2"/>
    <x v="30"/>
    <x v="0"/>
    <x v="7"/>
    <n v="254.05799999999999"/>
  </r>
  <r>
    <x v="0"/>
    <n v="154732"/>
    <x v="29"/>
    <s v="07/11/2018"/>
    <s v="First Class"/>
    <s v="Alan Haines"/>
    <x v="11"/>
    <s v="Yes"/>
    <x v="0"/>
    <s v="Chicago"/>
    <x v="10"/>
    <x v="1"/>
    <x v="31"/>
    <x v="0"/>
    <x v="7"/>
    <n v="16.03"/>
  </r>
  <r>
    <x v="2"/>
    <n v="166485"/>
    <x v="30"/>
    <s v="27/02/2017"/>
    <s v="Standard Class"/>
    <s v="Alan Hwang"/>
    <x v="12"/>
    <s v="Yes"/>
    <x v="2"/>
    <s v="Nashville"/>
    <x v="18"/>
    <x v="2"/>
    <x v="32"/>
    <x v="0"/>
    <x v="2"/>
    <n v="16.495999999999999"/>
  </r>
  <r>
    <x v="3"/>
    <n v="155040"/>
    <x v="31"/>
    <s v="15/11/2016"/>
    <s v="Standard Class"/>
    <s v="Alan Hwang"/>
    <x v="12"/>
    <s v="Yes"/>
    <x v="2"/>
    <s v="Brentwood"/>
    <x v="5"/>
    <x v="3"/>
    <x v="33"/>
    <x v="1"/>
    <x v="4"/>
    <n v="79.900000000000006"/>
  </r>
  <r>
    <x v="0"/>
    <n v="112515"/>
    <x v="32"/>
    <s v="21/09/2018"/>
    <s v="Second Class"/>
    <s v="Alan Schoenberger"/>
    <x v="13"/>
    <s v="Yes"/>
    <x v="0"/>
    <s v="Provo"/>
    <x v="19"/>
    <x v="3"/>
    <x v="34"/>
    <x v="0"/>
    <x v="7"/>
    <n v="10.776"/>
  </r>
  <r>
    <x v="2"/>
    <n v="143154"/>
    <x v="33"/>
    <s v="08/12/2017"/>
    <s v="Standard Class"/>
    <s v="Alan Schoenberger"/>
    <x v="13"/>
    <s v="Yes"/>
    <x v="0"/>
    <s v="Longmont"/>
    <x v="20"/>
    <x v="3"/>
    <x v="35"/>
    <x v="1"/>
    <x v="4"/>
    <n v="165.6"/>
  </r>
  <r>
    <x v="0"/>
    <n v="117926"/>
    <x v="34"/>
    <s v="12/12/2018"/>
    <s v="Second Class"/>
    <s v="Alan Schoenberger"/>
    <x v="13"/>
    <s v="Yes"/>
    <x v="0"/>
    <s v="San Francisco"/>
    <x v="5"/>
    <x v="3"/>
    <x v="36"/>
    <x v="0"/>
    <x v="12"/>
    <n v="69.48"/>
  </r>
  <r>
    <x v="3"/>
    <n v="144253"/>
    <x v="35"/>
    <s v="09/05/2016"/>
    <s v="Second Class"/>
    <s v="Alan Schoenberger"/>
    <x v="13"/>
    <s v="Yes"/>
    <x v="0"/>
    <s v="New York City"/>
    <x v="3"/>
    <x v="0"/>
    <x v="37"/>
    <x v="2"/>
    <x v="6"/>
    <n v="26.8"/>
  </r>
  <r>
    <x v="0"/>
    <n v="101049"/>
    <x v="36"/>
    <s v="25/06/2018"/>
    <s v="Second Class"/>
    <s v="Alan Shonely"/>
    <x v="14"/>
    <s v="Yes"/>
    <x v="2"/>
    <s v="Cleveland"/>
    <x v="21"/>
    <x v="0"/>
    <x v="38"/>
    <x v="2"/>
    <x v="6"/>
    <n v="17.920000000000002"/>
  </r>
  <r>
    <x v="1"/>
    <n v="149958"/>
    <x v="37"/>
    <s v="19/03/2015"/>
    <s v="Standard Class"/>
    <s v="Alan Shonely"/>
    <x v="14"/>
    <s v="Yes"/>
    <x v="2"/>
    <s v="Tampa"/>
    <x v="17"/>
    <x v="2"/>
    <x v="39"/>
    <x v="0"/>
    <x v="3"/>
    <n v="142.77600000000001"/>
  </r>
  <r>
    <x v="2"/>
    <n v="118913"/>
    <x v="38"/>
    <s v="29/06/2017"/>
    <s v="Standard Class"/>
    <s v="Alan Shonely"/>
    <x v="14"/>
    <s v="Yes"/>
    <x v="2"/>
    <s v="Los Angeles"/>
    <x v="5"/>
    <x v="3"/>
    <x v="40"/>
    <x v="0"/>
    <x v="12"/>
    <n v="60.81"/>
  </r>
  <r>
    <x v="0"/>
    <n v="126662"/>
    <x v="39"/>
    <s v="21/07/2018"/>
    <s v="Standard Class"/>
    <s v="Alejandro Ballentine"/>
    <x v="15"/>
    <s v="Yes"/>
    <x v="1"/>
    <s v="Los Angeles"/>
    <x v="5"/>
    <x v="3"/>
    <x v="41"/>
    <x v="1"/>
    <x v="11"/>
    <n v="479.98399999999998"/>
  </r>
  <r>
    <x v="0"/>
    <n v="155873"/>
    <x v="40"/>
    <s v="21/06/2018"/>
    <s v="Standard Class"/>
    <s v="Alejandro Ballentine"/>
    <x v="15"/>
    <s v="Yes"/>
    <x v="1"/>
    <s v="Carlsbad"/>
    <x v="22"/>
    <x v="3"/>
    <x v="42"/>
    <x v="0"/>
    <x v="5"/>
    <n v="16.68"/>
  </r>
  <r>
    <x v="2"/>
    <n v="158708"/>
    <x v="41"/>
    <s v="29/06/2017"/>
    <s v="Second Class"/>
    <s v="Alejandro Ballentine"/>
    <x v="15"/>
    <s v="Yes"/>
    <x v="1"/>
    <s v="Plano"/>
    <x v="1"/>
    <x v="1"/>
    <x v="43"/>
    <x v="1"/>
    <x v="4"/>
    <n v="13.616"/>
  </r>
  <r>
    <x v="0"/>
    <n v="127705"/>
    <x v="42"/>
    <s v="06/06/2018"/>
    <s v="Standard Class"/>
    <s v="Alejandro Ballentine"/>
    <x v="15"/>
    <s v="Yes"/>
    <x v="1"/>
    <s v="Lorain"/>
    <x v="21"/>
    <x v="0"/>
    <x v="44"/>
    <x v="1"/>
    <x v="9"/>
    <n v="2.97"/>
  </r>
  <r>
    <x v="1"/>
    <n v="167164"/>
    <x v="43"/>
    <s v="15/05/2015"/>
    <s v="Second Class"/>
    <s v="Alejandro Grove"/>
    <x v="16"/>
    <s v="No"/>
    <x v="2"/>
    <s v="West Jordan"/>
    <x v="19"/>
    <x v="3"/>
    <x v="45"/>
    <x v="0"/>
    <x v="3"/>
    <n v="55.5"/>
  </r>
  <r>
    <x v="2"/>
    <n v="163755"/>
    <x v="44"/>
    <s v="08/11/2017"/>
    <s v="Second Class"/>
    <s v="Alejandro Savely"/>
    <x v="17"/>
    <s v="Yes"/>
    <x v="0"/>
    <s v="Seattle"/>
    <x v="15"/>
    <x v="3"/>
    <x v="46"/>
    <x v="2"/>
    <x v="6"/>
    <n v="209.88"/>
  </r>
  <r>
    <x v="2"/>
    <n v="134775"/>
    <x v="45"/>
    <s v="29/10/2017"/>
    <s v="First Class"/>
    <s v="Alejandro Savely"/>
    <x v="17"/>
    <s v="Yes"/>
    <x v="0"/>
    <s v="San Francisco"/>
    <x v="5"/>
    <x v="3"/>
    <x v="47"/>
    <x v="0"/>
    <x v="2"/>
    <n v="50.96"/>
  </r>
  <r>
    <x v="2"/>
    <n v="106677"/>
    <x v="46"/>
    <s v="10/11/2017"/>
    <s v="Standard Class"/>
    <s v="Alejandro Savely"/>
    <x v="17"/>
    <s v="Yes"/>
    <x v="0"/>
    <s v="Philadelphia"/>
    <x v="0"/>
    <x v="0"/>
    <x v="48"/>
    <x v="1"/>
    <x v="9"/>
    <n v="23.988"/>
  </r>
  <r>
    <x v="2"/>
    <n v="143749"/>
    <x v="47"/>
    <s v="07/12/2017"/>
    <s v="First Class"/>
    <s v="Aleksandra Gannaway"/>
    <x v="18"/>
    <s v="No"/>
    <x v="0"/>
    <s v="Franklin"/>
    <x v="23"/>
    <x v="0"/>
    <x v="49"/>
    <x v="2"/>
    <x v="13"/>
    <n v="81.94"/>
  </r>
  <r>
    <x v="2"/>
    <n v="103982"/>
    <x v="48"/>
    <s v="08/03/2017"/>
    <s v="Standard Class"/>
    <s v="Alex Avila"/>
    <x v="19"/>
    <s v="Yes"/>
    <x v="2"/>
    <s v="Round Rock"/>
    <x v="1"/>
    <x v="1"/>
    <x v="50"/>
    <x v="0"/>
    <x v="5"/>
    <n v="3930.0720000000001"/>
  </r>
  <r>
    <x v="3"/>
    <n v="121391"/>
    <x v="49"/>
    <s v="07/10/2016"/>
    <s v="First Class"/>
    <s v="Alex Avila"/>
    <x v="19"/>
    <s v="Yes"/>
    <x v="2"/>
    <s v="San Francisco"/>
    <x v="5"/>
    <x v="3"/>
    <x v="51"/>
    <x v="0"/>
    <x v="3"/>
    <n v="26.96"/>
  </r>
  <r>
    <x v="1"/>
    <n v="128055"/>
    <x v="50"/>
    <s v="05/04/2015"/>
    <s v="Standard Class"/>
    <s v="Alex Avila"/>
    <x v="19"/>
    <s v="Yes"/>
    <x v="2"/>
    <s v="San Francisco"/>
    <x v="5"/>
    <x v="3"/>
    <x v="52"/>
    <x v="0"/>
    <x v="7"/>
    <n v="673.56799999999998"/>
  </r>
  <r>
    <x v="0"/>
    <n v="107748"/>
    <x v="51"/>
    <s v="12/12/2018"/>
    <s v="Second Class"/>
    <s v="Alex Grayson"/>
    <x v="20"/>
    <s v="No"/>
    <x v="2"/>
    <s v="Stockton"/>
    <x v="5"/>
    <x v="3"/>
    <x v="53"/>
    <x v="1"/>
    <x v="9"/>
    <n v="95.84"/>
  </r>
  <r>
    <x v="2"/>
    <n v="157000"/>
    <x v="52"/>
    <s v="22/07/2017"/>
    <s v="Standard Class"/>
    <s v="Alice McCarthy"/>
    <x v="21"/>
    <s v="Yes"/>
    <x v="0"/>
    <s v="Grand Prairie"/>
    <x v="1"/>
    <x v="1"/>
    <x v="54"/>
    <x v="0"/>
    <x v="3"/>
    <n v="37.223999999999997"/>
  </r>
  <r>
    <x v="1"/>
    <n v="132542"/>
    <x v="53"/>
    <s v="08/10/2015"/>
    <s v="Second Class"/>
    <s v="Alice McCarthy"/>
    <x v="21"/>
    <s v="Yes"/>
    <x v="0"/>
    <s v="Omaha"/>
    <x v="24"/>
    <x v="1"/>
    <x v="55"/>
    <x v="0"/>
    <x v="7"/>
    <n v="15.36"/>
  </r>
  <r>
    <x v="2"/>
    <n v="131065"/>
    <x v="54"/>
    <s v="16/11/2017"/>
    <s v="Second Class"/>
    <s v="Allen Armold"/>
    <x v="22"/>
    <s v="Yes"/>
    <x v="2"/>
    <s v="Atlanta"/>
    <x v="7"/>
    <x v="2"/>
    <x v="56"/>
    <x v="1"/>
    <x v="4"/>
    <n v="499.98"/>
  </r>
  <r>
    <x v="3"/>
    <n v="109939"/>
    <x v="55"/>
    <s v="12/05/2016"/>
    <s v="Standard Class"/>
    <s v="Allen Armold"/>
    <x v="22"/>
    <s v="Yes"/>
    <x v="2"/>
    <s v="Salem"/>
    <x v="25"/>
    <x v="3"/>
    <x v="57"/>
    <x v="0"/>
    <x v="0"/>
    <n v="5.2480000000000002"/>
  </r>
  <r>
    <x v="1"/>
    <n v="130729"/>
    <x v="56"/>
    <s v="29/10/2015"/>
    <s v="Standard Class"/>
    <s v="Allen Armold"/>
    <x v="22"/>
    <s v="Yes"/>
    <x v="2"/>
    <s v="Rancho Cucamonga"/>
    <x v="5"/>
    <x v="3"/>
    <x v="58"/>
    <x v="0"/>
    <x v="7"/>
    <n v="34.271999999999998"/>
  </r>
  <r>
    <x v="2"/>
    <n v="126613"/>
    <x v="57"/>
    <s v="16/07/2017"/>
    <s v="Standard Class"/>
    <s v="Allen Armold"/>
    <x v="22"/>
    <s v="Yes"/>
    <x v="2"/>
    <s v="Mesa"/>
    <x v="13"/>
    <x v="3"/>
    <x v="59"/>
    <x v="0"/>
    <x v="3"/>
    <n v="16.768000000000001"/>
  </r>
  <r>
    <x v="1"/>
    <n v="158064"/>
    <x v="58"/>
    <s v="25/04/2015"/>
    <s v="Standard Class"/>
    <s v="Allen Armold"/>
    <x v="22"/>
    <s v="Yes"/>
    <x v="2"/>
    <s v="Los Angeles"/>
    <x v="5"/>
    <x v="3"/>
    <x v="60"/>
    <x v="0"/>
    <x v="7"/>
    <n v="16.52"/>
  </r>
  <r>
    <x v="1"/>
    <n v="125171"/>
    <x v="59"/>
    <s v="03/09/2015"/>
    <s v="Same Day"/>
    <s v="Allen Goldenen"/>
    <x v="23"/>
    <s v="Yes"/>
    <x v="2"/>
    <s v="New York City"/>
    <x v="3"/>
    <x v="0"/>
    <x v="61"/>
    <x v="0"/>
    <x v="8"/>
    <n v="14.4"/>
  </r>
  <r>
    <x v="2"/>
    <n v="109820"/>
    <x v="60"/>
    <s v="22/11/2017"/>
    <s v="First Class"/>
    <s v="Allen Goldenen"/>
    <x v="23"/>
    <s v="Yes"/>
    <x v="2"/>
    <s v="Cincinnati"/>
    <x v="21"/>
    <x v="0"/>
    <x v="62"/>
    <x v="0"/>
    <x v="2"/>
    <n v="15.696"/>
  </r>
  <r>
    <x v="1"/>
    <n v="157882"/>
    <x v="61"/>
    <s v="08/10/2015"/>
    <s v="Second Class"/>
    <s v="Allen Rosenblatt"/>
    <x v="24"/>
    <s v="Yes"/>
    <x v="0"/>
    <s v="Los Angeles"/>
    <x v="5"/>
    <x v="3"/>
    <x v="63"/>
    <x v="2"/>
    <x v="14"/>
    <n v="143.43199999999999"/>
  </r>
  <r>
    <x v="0"/>
    <n v="140844"/>
    <x v="62"/>
    <s v="23/06/2018"/>
    <s v="Standard Class"/>
    <s v="Allen Rosenblatt"/>
    <x v="24"/>
    <s v="Yes"/>
    <x v="0"/>
    <s v="New York City"/>
    <x v="3"/>
    <x v="0"/>
    <x v="64"/>
    <x v="0"/>
    <x v="2"/>
    <n v="97.82"/>
  </r>
  <r>
    <x v="0"/>
    <n v="134481"/>
    <x v="63"/>
    <s v="01/09/2018"/>
    <s v="Standard Class"/>
    <s v="Allen Rosenblatt"/>
    <x v="24"/>
    <s v="Yes"/>
    <x v="0"/>
    <s v="Franklin"/>
    <x v="23"/>
    <x v="0"/>
    <x v="65"/>
    <x v="2"/>
    <x v="14"/>
    <n v="1488.424"/>
  </r>
  <r>
    <x v="1"/>
    <n v="129924"/>
    <x v="64"/>
    <s v="17/07/2015"/>
    <s v="Standard Class"/>
    <s v="Alyssa Crouse"/>
    <x v="25"/>
    <s v="No"/>
    <x v="0"/>
    <s v="San Francisco"/>
    <x v="5"/>
    <x v="3"/>
    <x v="66"/>
    <x v="0"/>
    <x v="7"/>
    <n v="7.7119999999999997"/>
  </r>
  <r>
    <x v="2"/>
    <n v="100468"/>
    <x v="65"/>
    <s v="01/12/2017"/>
    <s v="Standard Class"/>
    <s v="Alyssa Tate"/>
    <x v="26"/>
    <s v="Yes"/>
    <x v="1"/>
    <s v="Los Angeles"/>
    <x v="5"/>
    <x v="3"/>
    <x v="67"/>
    <x v="1"/>
    <x v="9"/>
    <n v="33.520000000000003"/>
  </r>
  <r>
    <x v="1"/>
    <n v="120243"/>
    <x v="66"/>
    <s v="30/12/2015"/>
    <s v="Second Class"/>
    <s v="Alyssa Tate"/>
    <x v="26"/>
    <s v="Yes"/>
    <x v="1"/>
    <s v="Los Angeles"/>
    <x v="5"/>
    <x v="3"/>
    <x v="68"/>
    <x v="0"/>
    <x v="8"/>
    <n v="11.56"/>
  </r>
  <r>
    <x v="0"/>
    <n v="141789"/>
    <x v="67"/>
    <s v="06/10/2018"/>
    <s v="First Class"/>
    <s v="Amy Cox"/>
    <x v="27"/>
    <s v="Yes"/>
    <x v="2"/>
    <s v="Minneapolis"/>
    <x v="26"/>
    <x v="1"/>
    <x v="69"/>
    <x v="0"/>
    <x v="7"/>
    <n v="1793.98"/>
  </r>
  <r>
    <x v="0"/>
    <n v="158729"/>
    <x v="68"/>
    <s v="21/12/2018"/>
    <s v="First Class"/>
    <s v="Amy Cox"/>
    <x v="27"/>
    <s v="Yes"/>
    <x v="2"/>
    <s v="Lafayette"/>
    <x v="27"/>
    <x v="2"/>
    <x v="70"/>
    <x v="0"/>
    <x v="5"/>
    <n v="1665.62"/>
  </r>
  <r>
    <x v="3"/>
    <n v="106495"/>
    <x v="69"/>
    <s v="17/06/2016"/>
    <s v="First Class"/>
    <s v="Amy Cox"/>
    <x v="27"/>
    <s v="Yes"/>
    <x v="2"/>
    <s v="Tampa"/>
    <x v="17"/>
    <x v="2"/>
    <x v="71"/>
    <x v="1"/>
    <x v="4"/>
    <n v="11.672000000000001"/>
  </r>
  <r>
    <x v="2"/>
    <n v="121671"/>
    <x v="70"/>
    <s v="22/07/2017"/>
    <s v="Standard Class"/>
    <s v="Andrew Allen"/>
    <x v="28"/>
    <s v="Yes"/>
    <x v="2"/>
    <s v="Springfield"/>
    <x v="9"/>
    <x v="1"/>
    <x v="72"/>
    <x v="0"/>
    <x v="2"/>
    <n v="21.93"/>
  </r>
  <r>
    <x v="0"/>
    <n v="114412"/>
    <x v="9"/>
    <s v="20/04/2018"/>
    <s v="Standard Class"/>
    <s v="Andrew Allen"/>
    <x v="28"/>
    <s v="Yes"/>
    <x v="2"/>
    <s v="Concord"/>
    <x v="2"/>
    <x v="2"/>
    <x v="73"/>
    <x v="0"/>
    <x v="2"/>
    <n v="15.552"/>
  </r>
  <r>
    <x v="1"/>
    <n v="155271"/>
    <x v="71"/>
    <s v="04/05/2015"/>
    <s v="Same Day"/>
    <s v="Andrew Allen"/>
    <x v="28"/>
    <s v="Yes"/>
    <x v="2"/>
    <s v="Middletown"/>
    <x v="28"/>
    <x v="0"/>
    <x v="74"/>
    <x v="2"/>
    <x v="6"/>
    <n v="27.46"/>
  </r>
  <r>
    <x v="3"/>
    <n v="156146"/>
    <x v="72"/>
    <s v="30/10/2016"/>
    <s v="Second Class"/>
    <s v="Andrew Gjertsen"/>
    <x v="29"/>
    <s v="Yes"/>
    <x v="0"/>
    <s v="Peoria"/>
    <x v="13"/>
    <x v="3"/>
    <x v="75"/>
    <x v="1"/>
    <x v="9"/>
    <n v="105.584"/>
  </r>
  <r>
    <x v="0"/>
    <n v="132976"/>
    <x v="73"/>
    <s v="17/10/2018"/>
    <s v="Standard Class"/>
    <s v="Andrew Gjertsen"/>
    <x v="29"/>
    <s v="Yes"/>
    <x v="0"/>
    <s v="Philadelphia"/>
    <x v="0"/>
    <x v="0"/>
    <x v="76"/>
    <x v="0"/>
    <x v="2"/>
    <n v="11.648"/>
  </r>
  <r>
    <x v="1"/>
    <n v="105767"/>
    <x v="74"/>
    <s v="27/05/2015"/>
    <s v="Standard Class"/>
    <s v="Andrew Roberts"/>
    <x v="30"/>
    <s v="Yes"/>
    <x v="2"/>
    <s v="Philadelphia"/>
    <x v="0"/>
    <x v="0"/>
    <x v="77"/>
    <x v="0"/>
    <x v="7"/>
    <n v="3.282"/>
  </r>
  <r>
    <x v="3"/>
    <n v="112319"/>
    <x v="75"/>
    <s v="05/09/2016"/>
    <s v="Standard Class"/>
    <s v="Andrew Roberts"/>
    <x v="30"/>
    <s v="Yes"/>
    <x v="2"/>
    <s v="Los Angeles"/>
    <x v="5"/>
    <x v="3"/>
    <x v="78"/>
    <x v="0"/>
    <x v="2"/>
    <n v="58.32"/>
  </r>
  <r>
    <x v="1"/>
    <n v="167850"/>
    <x v="76"/>
    <s v="16/08/2015"/>
    <s v="Standard Class"/>
    <s v="Andy Gerbode"/>
    <x v="31"/>
    <s v="Yes"/>
    <x v="0"/>
    <s v="Saint Petersburg"/>
    <x v="17"/>
    <x v="2"/>
    <x v="79"/>
    <x v="1"/>
    <x v="9"/>
    <n v="178.38399999999999"/>
  </r>
  <r>
    <x v="1"/>
    <n v="158281"/>
    <x v="77"/>
    <s v="07/09/2015"/>
    <s v="Standard Class"/>
    <s v="Andy Gerbode"/>
    <x v="31"/>
    <s v="Yes"/>
    <x v="0"/>
    <s v="Houston"/>
    <x v="1"/>
    <x v="1"/>
    <x v="80"/>
    <x v="1"/>
    <x v="1"/>
    <n v="559.71"/>
  </r>
  <r>
    <x v="3"/>
    <n v="123505"/>
    <x v="78"/>
    <s v="26/11/2016"/>
    <s v="Standard Class"/>
    <s v="Andy Reiter"/>
    <x v="32"/>
    <s v="Yes"/>
    <x v="2"/>
    <s v="Quincy"/>
    <x v="23"/>
    <x v="0"/>
    <x v="81"/>
    <x v="0"/>
    <x v="2"/>
    <n v="14.94"/>
  </r>
  <r>
    <x v="0"/>
    <n v="154935"/>
    <x v="79"/>
    <s v="29/12/2018"/>
    <s v="Standard Class"/>
    <s v="Andy Reiter"/>
    <x v="32"/>
    <s v="Yes"/>
    <x v="2"/>
    <s v="New York City"/>
    <x v="3"/>
    <x v="0"/>
    <x v="82"/>
    <x v="0"/>
    <x v="7"/>
    <n v="17.88"/>
  </r>
  <r>
    <x v="1"/>
    <n v="102652"/>
    <x v="80"/>
    <s v="12/04/2015"/>
    <s v="Standard Class"/>
    <s v="Andy Yotov"/>
    <x v="33"/>
    <s v="No"/>
    <x v="0"/>
    <s v="Los Angeles"/>
    <x v="5"/>
    <x v="3"/>
    <x v="83"/>
    <x v="2"/>
    <x v="6"/>
    <n v="91.96"/>
  </r>
  <r>
    <x v="0"/>
    <n v="109715"/>
    <x v="81"/>
    <s v="14/12/2018"/>
    <s v="Standard Class"/>
    <s v="Angele Hood"/>
    <x v="34"/>
    <s v="Yes"/>
    <x v="2"/>
    <s v="Chicago"/>
    <x v="10"/>
    <x v="1"/>
    <x v="84"/>
    <x v="0"/>
    <x v="2"/>
    <n v="15.984"/>
  </r>
  <r>
    <x v="0"/>
    <n v="152492"/>
    <x v="82"/>
    <s v="06/07/2018"/>
    <s v="Same Day"/>
    <s v="Angele Hood"/>
    <x v="34"/>
    <s v="Yes"/>
    <x v="2"/>
    <s v="Miami"/>
    <x v="17"/>
    <x v="2"/>
    <x v="85"/>
    <x v="2"/>
    <x v="10"/>
    <n v="239.24"/>
  </r>
  <r>
    <x v="3"/>
    <n v="111234"/>
    <x v="83"/>
    <s v="22/02/2016"/>
    <s v="Standard Class"/>
    <s v="Ann Blume"/>
    <x v="35"/>
    <s v="Yes"/>
    <x v="0"/>
    <s v="Los Angeles"/>
    <x v="5"/>
    <x v="3"/>
    <x v="86"/>
    <x v="0"/>
    <x v="8"/>
    <n v="9.24"/>
  </r>
  <r>
    <x v="1"/>
    <n v="115336"/>
    <x v="84"/>
    <s v="25/11/2015"/>
    <s v="Standard Class"/>
    <s v="Ann Blume"/>
    <x v="35"/>
    <s v="Yes"/>
    <x v="0"/>
    <s v="Chicago"/>
    <x v="10"/>
    <x v="1"/>
    <x v="87"/>
    <x v="0"/>
    <x v="7"/>
    <n v="14.48"/>
  </r>
  <r>
    <x v="1"/>
    <n v="162684"/>
    <x v="85"/>
    <s v="06/08/2015"/>
    <s v="Standard Class"/>
    <s v="Ann Steele"/>
    <x v="36"/>
    <s v="Yes"/>
    <x v="1"/>
    <s v="Philadelphia"/>
    <x v="0"/>
    <x v="0"/>
    <x v="88"/>
    <x v="0"/>
    <x v="15"/>
    <n v="5.68"/>
  </r>
  <r>
    <x v="0"/>
    <n v="124597"/>
    <x v="86"/>
    <s v="05/05/2018"/>
    <s v="Standard Class"/>
    <s v="Ann Steele"/>
    <x v="36"/>
    <s v="Yes"/>
    <x v="1"/>
    <s v="Boynton Beach"/>
    <x v="17"/>
    <x v="2"/>
    <x v="89"/>
    <x v="0"/>
    <x v="8"/>
    <n v="4.6079999999999997"/>
  </r>
  <r>
    <x v="1"/>
    <n v="143210"/>
    <x v="87"/>
    <s v="03/12/2015"/>
    <s v="First Class"/>
    <s v="Anna Andreadi"/>
    <x v="37"/>
    <s v="No"/>
    <x v="2"/>
    <s v="Lowell"/>
    <x v="23"/>
    <x v="0"/>
    <x v="90"/>
    <x v="1"/>
    <x v="9"/>
    <n v="271.89999999999998"/>
  </r>
  <r>
    <x v="1"/>
    <n v="122021"/>
    <x v="88"/>
    <s v="17/10/2015"/>
    <s v="First Class"/>
    <s v="Anna Chung"/>
    <x v="38"/>
    <s v="No"/>
    <x v="2"/>
    <s v="Parma"/>
    <x v="21"/>
    <x v="0"/>
    <x v="91"/>
    <x v="2"/>
    <x v="10"/>
    <n v="183.37200000000001"/>
  </r>
  <r>
    <x v="0"/>
    <n v="163335"/>
    <x v="89"/>
    <s v="27/09/2018"/>
    <s v="First Class"/>
    <s v="Anna Gayman"/>
    <x v="39"/>
    <s v="Yes"/>
    <x v="2"/>
    <s v="Columbus"/>
    <x v="7"/>
    <x v="2"/>
    <x v="92"/>
    <x v="0"/>
    <x v="3"/>
    <n v="40.29"/>
  </r>
  <r>
    <x v="0"/>
    <n v="104094"/>
    <x v="90"/>
    <s v="11/09/2018"/>
    <s v="Standard Class"/>
    <s v="Anna Gayman"/>
    <x v="39"/>
    <s v="Yes"/>
    <x v="2"/>
    <s v="Milwaukee"/>
    <x v="29"/>
    <x v="1"/>
    <x v="93"/>
    <x v="1"/>
    <x v="4"/>
    <n v="13.48"/>
  </r>
  <r>
    <x v="0"/>
    <n v="101483"/>
    <x v="91"/>
    <s v="01/08/2018"/>
    <s v="Second Class"/>
    <s v="Anna Gayman"/>
    <x v="39"/>
    <s v="Yes"/>
    <x v="2"/>
    <s v="Jacksonville"/>
    <x v="2"/>
    <x v="2"/>
    <x v="94"/>
    <x v="0"/>
    <x v="12"/>
    <n v="34.847999999999999"/>
  </r>
  <r>
    <x v="2"/>
    <n v="133368"/>
    <x v="92"/>
    <s v="20/01/2017"/>
    <s v="Standard Class"/>
    <s v="Anna Gayman"/>
    <x v="39"/>
    <s v="Yes"/>
    <x v="2"/>
    <s v="Concord"/>
    <x v="2"/>
    <x v="2"/>
    <x v="95"/>
    <x v="0"/>
    <x v="2"/>
    <n v="89.567999999999998"/>
  </r>
  <r>
    <x v="2"/>
    <n v="108987"/>
    <x v="93"/>
    <s v="10/09/2017"/>
    <s v="Second Class"/>
    <s v="Anna Gayman"/>
    <x v="39"/>
    <s v="Yes"/>
    <x v="2"/>
    <s v="Houston"/>
    <x v="1"/>
    <x v="1"/>
    <x v="96"/>
    <x v="0"/>
    <x v="3"/>
    <n v="35.951999999999998"/>
  </r>
  <r>
    <x v="3"/>
    <n v="113628"/>
    <x v="94"/>
    <s v="19/11/2016"/>
    <s v="Standard Class"/>
    <s v="Anna Häberlin"/>
    <x v="40"/>
    <s v="No"/>
    <x v="0"/>
    <s v="Plantation"/>
    <x v="17"/>
    <x v="2"/>
    <x v="97"/>
    <x v="0"/>
    <x v="0"/>
    <n v="11.76"/>
  </r>
  <r>
    <x v="0"/>
    <n v="124821"/>
    <x v="95"/>
    <s v="29/06/2018"/>
    <s v="Second Class"/>
    <s v="Anne McFarland"/>
    <x v="41"/>
    <s v="Yes"/>
    <x v="2"/>
    <s v="Seattle"/>
    <x v="15"/>
    <x v="3"/>
    <x v="98"/>
    <x v="2"/>
    <x v="14"/>
    <n v="871.4"/>
  </r>
  <r>
    <x v="3"/>
    <n v="100573"/>
    <x v="96"/>
    <s v="01/10/2016"/>
    <s v="Standard Class"/>
    <s v="Anne McFarland"/>
    <x v="41"/>
    <s v="Yes"/>
    <x v="2"/>
    <s v="Los Angeles"/>
    <x v="5"/>
    <x v="3"/>
    <x v="99"/>
    <x v="0"/>
    <x v="16"/>
    <n v="17.48"/>
  </r>
  <r>
    <x v="3"/>
    <n v="165449"/>
    <x v="78"/>
    <s v="26/11/2016"/>
    <s v="Standard Class"/>
    <s v="Anne Pryor"/>
    <x v="42"/>
    <s v="Yes"/>
    <x v="1"/>
    <s v="Frisco"/>
    <x v="1"/>
    <x v="1"/>
    <x v="100"/>
    <x v="1"/>
    <x v="4"/>
    <n v="27.167999999999999"/>
  </r>
  <r>
    <x v="2"/>
    <n v="114174"/>
    <x v="93"/>
    <s v="14/09/2017"/>
    <s v="Standard Class"/>
    <s v="Anne Pryor"/>
    <x v="42"/>
    <s v="Yes"/>
    <x v="1"/>
    <s v="Malden"/>
    <x v="23"/>
    <x v="0"/>
    <x v="101"/>
    <x v="2"/>
    <x v="13"/>
    <n v="173.94"/>
  </r>
  <r>
    <x v="2"/>
    <n v="120250"/>
    <x v="97"/>
    <s v="22/09/2017"/>
    <s v="First Class"/>
    <s v="Anne Pryor"/>
    <x v="42"/>
    <s v="Yes"/>
    <x v="1"/>
    <s v="Philadelphia"/>
    <x v="0"/>
    <x v="0"/>
    <x v="102"/>
    <x v="2"/>
    <x v="6"/>
    <n v="25.632000000000001"/>
  </r>
  <r>
    <x v="1"/>
    <n v="127964"/>
    <x v="98"/>
    <s v="08/03/2015"/>
    <s v="Standard Class"/>
    <s v="Anne Pryor"/>
    <x v="42"/>
    <s v="Yes"/>
    <x v="1"/>
    <s v="New York City"/>
    <x v="3"/>
    <x v="0"/>
    <x v="103"/>
    <x v="1"/>
    <x v="9"/>
    <n v="9.99"/>
  </r>
  <r>
    <x v="2"/>
    <n v="154403"/>
    <x v="99"/>
    <s v="27/05/2017"/>
    <s v="Standard Class"/>
    <s v="Anne Pryor"/>
    <x v="42"/>
    <s v="Yes"/>
    <x v="1"/>
    <s v="Florence"/>
    <x v="30"/>
    <x v="2"/>
    <x v="104"/>
    <x v="0"/>
    <x v="2"/>
    <n v="4.9800000000000004"/>
  </r>
  <r>
    <x v="1"/>
    <n v="146731"/>
    <x v="100"/>
    <s v="08/11/2015"/>
    <s v="Standard Class"/>
    <s v="Annie Thurman"/>
    <x v="43"/>
    <s v="Yes"/>
    <x v="2"/>
    <s v="Nashville"/>
    <x v="18"/>
    <x v="2"/>
    <x v="105"/>
    <x v="0"/>
    <x v="2"/>
    <n v="3.488"/>
  </r>
  <r>
    <x v="0"/>
    <n v="106824"/>
    <x v="101"/>
    <s v="11/07/2018"/>
    <s v="Standard Class"/>
    <s v="Annie Thurman"/>
    <x v="43"/>
    <s v="Yes"/>
    <x v="2"/>
    <s v="Los Angeles"/>
    <x v="5"/>
    <x v="3"/>
    <x v="106"/>
    <x v="0"/>
    <x v="15"/>
    <n v="5.94"/>
  </r>
  <r>
    <x v="0"/>
    <n v="153787"/>
    <x v="102"/>
    <s v="23/05/2018"/>
    <s v="Standard Class"/>
    <s v="Annie Thurman"/>
    <x v="43"/>
    <s v="Yes"/>
    <x v="2"/>
    <s v="Seattle"/>
    <x v="15"/>
    <x v="3"/>
    <x v="107"/>
    <x v="0"/>
    <x v="12"/>
    <n v="97.16"/>
  </r>
  <r>
    <x v="3"/>
    <n v="130876"/>
    <x v="103"/>
    <s v="16/05/2016"/>
    <s v="Second Class"/>
    <s v="Annie Zypern"/>
    <x v="44"/>
    <s v="Yes"/>
    <x v="2"/>
    <s v="New York City"/>
    <x v="3"/>
    <x v="0"/>
    <x v="108"/>
    <x v="0"/>
    <x v="3"/>
    <n v="36.630000000000003"/>
  </r>
  <r>
    <x v="1"/>
    <n v="148586"/>
    <x v="104"/>
    <s v="01/04/2015"/>
    <s v="Standard Class"/>
    <s v="Annie Zypern"/>
    <x v="44"/>
    <s v="Yes"/>
    <x v="2"/>
    <s v="New York City"/>
    <x v="3"/>
    <x v="0"/>
    <x v="109"/>
    <x v="2"/>
    <x v="10"/>
    <n v="366.786"/>
  </r>
  <r>
    <x v="1"/>
    <n v="158638"/>
    <x v="105"/>
    <s v="21/09/2015"/>
    <s v="Standard Class"/>
    <s v="Anthony Garverick"/>
    <x v="45"/>
    <s v="No"/>
    <x v="1"/>
    <s v="Philadelphia"/>
    <x v="0"/>
    <x v="0"/>
    <x v="110"/>
    <x v="0"/>
    <x v="7"/>
    <n v="5.8920000000000003"/>
  </r>
  <r>
    <x v="0"/>
    <n v="111577"/>
    <x v="106"/>
    <s v="21/10/2018"/>
    <s v="Standard Class"/>
    <s v="Anthony Jacobs"/>
    <x v="46"/>
    <s v="Yes"/>
    <x v="0"/>
    <s v="Scottsdale"/>
    <x v="13"/>
    <x v="3"/>
    <x v="111"/>
    <x v="0"/>
    <x v="2"/>
    <n v="307.77600000000001"/>
  </r>
  <r>
    <x v="1"/>
    <n v="108609"/>
    <x v="107"/>
    <s v="02/11/2015"/>
    <s v="Second Class"/>
    <s v="Anthony Jacobs"/>
    <x v="46"/>
    <s v="Yes"/>
    <x v="0"/>
    <s v="Lorain"/>
    <x v="21"/>
    <x v="0"/>
    <x v="112"/>
    <x v="2"/>
    <x v="14"/>
    <n v="1421.664"/>
  </r>
  <r>
    <x v="1"/>
    <n v="149020"/>
    <x v="108"/>
    <s v="15/01/2015"/>
    <s v="Standard Class"/>
    <s v="Anthony Jacobs"/>
    <x v="46"/>
    <s v="Yes"/>
    <x v="0"/>
    <s v="Springfield"/>
    <x v="4"/>
    <x v="2"/>
    <x v="113"/>
    <x v="0"/>
    <x v="8"/>
    <n v="2.89"/>
  </r>
  <r>
    <x v="2"/>
    <n v="138079"/>
    <x v="109"/>
    <s v="28/01/2017"/>
    <s v="Standard Class"/>
    <s v="Anthony Johnson"/>
    <x v="47"/>
    <s v="Yes"/>
    <x v="0"/>
    <s v="Seattle"/>
    <x v="15"/>
    <x v="3"/>
    <x v="114"/>
    <x v="2"/>
    <x v="6"/>
    <n v="109.9"/>
  </r>
  <r>
    <x v="2"/>
    <n v="123946"/>
    <x v="110"/>
    <s v="17/09/2017"/>
    <s v="Standard Class"/>
    <s v="Anthony Johnson"/>
    <x v="47"/>
    <s v="Yes"/>
    <x v="0"/>
    <s v="Springfield"/>
    <x v="4"/>
    <x v="2"/>
    <x v="115"/>
    <x v="1"/>
    <x v="4"/>
    <n v="20.7"/>
  </r>
  <r>
    <x v="1"/>
    <n v="106810"/>
    <x v="111"/>
    <s v="20/05/2015"/>
    <s v="Standard Class"/>
    <s v="Anthony Johnson"/>
    <x v="47"/>
    <s v="Yes"/>
    <x v="0"/>
    <s v="Saint Petersburg"/>
    <x v="17"/>
    <x v="2"/>
    <x v="116"/>
    <x v="2"/>
    <x v="6"/>
    <n v="310.88"/>
  </r>
  <r>
    <x v="2"/>
    <n v="134474"/>
    <x v="112"/>
    <s v="07/01/2017"/>
    <s v="Second Class"/>
    <s v="Anthony Johnson"/>
    <x v="47"/>
    <s v="Yes"/>
    <x v="0"/>
    <s v="Jacksonville"/>
    <x v="17"/>
    <x v="2"/>
    <x v="117"/>
    <x v="1"/>
    <x v="4"/>
    <n v="191.47200000000001"/>
  </r>
  <r>
    <x v="1"/>
    <n v="110786"/>
    <x v="113"/>
    <s v="02/01/2016"/>
    <s v="Standard Class"/>
    <s v="Anthony Johnson"/>
    <x v="47"/>
    <s v="Yes"/>
    <x v="0"/>
    <s v="San Francisco"/>
    <x v="5"/>
    <x v="3"/>
    <x v="118"/>
    <x v="2"/>
    <x v="6"/>
    <n v="24.9"/>
  </r>
  <r>
    <x v="2"/>
    <n v="160745"/>
    <x v="114"/>
    <s v="16/12/2017"/>
    <s v="Second Class"/>
    <s v="Anthony Rawles"/>
    <x v="48"/>
    <s v="Yes"/>
    <x v="0"/>
    <s v="Vancouver"/>
    <x v="15"/>
    <x v="3"/>
    <x v="119"/>
    <x v="2"/>
    <x v="6"/>
    <n v="14.8"/>
  </r>
  <r>
    <x v="0"/>
    <n v="141425"/>
    <x v="115"/>
    <s v="06/11/2018"/>
    <s v="Second Class"/>
    <s v="Anthony Rawles"/>
    <x v="48"/>
    <s v="Yes"/>
    <x v="0"/>
    <s v="Columbus"/>
    <x v="21"/>
    <x v="0"/>
    <x v="120"/>
    <x v="0"/>
    <x v="5"/>
    <n v="384.59199999999998"/>
  </r>
  <r>
    <x v="1"/>
    <n v="109218"/>
    <x v="116"/>
    <s v="03/07/2015"/>
    <s v="Second Class"/>
    <s v="Anthony Rawles"/>
    <x v="48"/>
    <s v="Yes"/>
    <x v="0"/>
    <s v="Los Angeles"/>
    <x v="5"/>
    <x v="3"/>
    <x v="121"/>
    <x v="0"/>
    <x v="0"/>
    <n v="32.4"/>
  </r>
  <r>
    <x v="3"/>
    <n v="129112"/>
    <x v="117"/>
    <s v="30/11/2016"/>
    <s v="First Class"/>
    <s v="Anthony Witt"/>
    <x v="49"/>
    <s v="Yes"/>
    <x v="2"/>
    <s v="Allen"/>
    <x v="1"/>
    <x v="1"/>
    <x v="122"/>
    <x v="1"/>
    <x v="4"/>
    <n v="21.48"/>
  </r>
  <r>
    <x v="0"/>
    <n v="143798"/>
    <x v="51"/>
    <s v="12/12/2018"/>
    <s v="First Class"/>
    <s v="Anthony Witt"/>
    <x v="49"/>
    <s v="Yes"/>
    <x v="2"/>
    <s v="Philadelphia"/>
    <x v="0"/>
    <x v="0"/>
    <x v="123"/>
    <x v="0"/>
    <x v="2"/>
    <n v="10.368"/>
  </r>
  <r>
    <x v="0"/>
    <n v="155929"/>
    <x v="118"/>
    <s v="13/09/2018"/>
    <s v="Standard Class"/>
    <s v="Arianne Irving"/>
    <x v="50"/>
    <s v="Yes"/>
    <x v="2"/>
    <s v="Glendale"/>
    <x v="13"/>
    <x v="3"/>
    <x v="124"/>
    <x v="0"/>
    <x v="2"/>
    <n v="6.3680000000000003"/>
  </r>
  <r>
    <x v="0"/>
    <n v="116855"/>
    <x v="119"/>
    <s v="21/12/2018"/>
    <s v="Standard Class"/>
    <s v="Arianne Irving"/>
    <x v="50"/>
    <s v="Yes"/>
    <x v="2"/>
    <s v="Chesapeake"/>
    <x v="4"/>
    <x v="2"/>
    <x v="125"/>
    <x v="2"/>
    <x v="10"/>
    <n v="504.9"/>
  </r>
  <r>
    <x v="3"/>
    <n v="158918"/>
    <x v="120"/>
    <s v="25/12/2016"/>
    <s v="Second Class"/>
    <s v="Arianne Irving"/>
    <x v="50"/>
    <s v="Yes"/>
    <x v="2"/>
    <s v="Los Angeles"/>
    <x v="5"/>
    <x v="3"/>
    <x v="126"/>
    <x v="0"/>
    <x v="2"/>
    <n v="17.12"/>
  </r>
  <r>
    <x v="3"/>
    <n v="168634"/>
    <x v="121"/>
    <s v="11/12/2016"/>
    <s v="Standard Class"/>
    <s v="Art Ferguson"/>
    <x v="51"/>
    <s v="Yes"/>
    <x v="2"/>
    <s v="San Francisco"/>
    <x v="5"/>
    <x v="3"/>
    <x v="127"/>
    <x v="0"/>
    <x v="12"/>
    <n v="7.78"/>
  </r>
  <r>
    <x v="0"/>
    <n v="167871"/>
    <x v="122"/>
    <s v="23/11/2018"/>
    <s v="Standard Class"/>
    <s v="Art Ferguson"/>
    <x v="51"/>
    <s v="Yes"/>
    <x v="2"/>
    <s v="Homestead"/>
    <x v="17"/>
    <x v="2"/>
    <x v="128"/>
    <x v="0"/>
    <x v="2"/>
    <n v="44.384"/>
  </r>
  <r>
    <x v="0"/>
    <n v="139969"/>
    <x v="15"/>
    <s v="26/11/2018"/>
    <s v="Standard Class"/>
    <s v="Art Ferguson"/>
    <x v="51"/>
    <s v="Yes"/>
    <x v="2"/>
    <s v="College Station"/>
    <x v="1"/>
    <x v="1"/>
    <x v="129"/>
    <x v="2"/>
    <x v="10"/>
    <n v="233.05799999999999"/>
  </r>
  <r>
    <x v="3"/>
    <n v="114300"/>
    <x v="123"/>
    <s v="17/10/2016"/>
    <s v="Standard Class"/>
    <s v="Art Foster"/>
    <x v="52"/>
    <s v="No"/>
    <x v="2"/>
    <s v="Louisville"/>
    <x v="12"/>
    <x v="2"/>
    <x v="130"/>
    <x v="1"/>
    <x v="9"/>
    <n v="83.72"/>
  </r>
  <r>
    <x v="1"/>
    <n v="119137"/>
    <x v="124"/>
    <s v="27/07/2015"/>
    <s v="Standard Class"/>
    <s v="Arthur Gainer"/>
    <x v="53"/>
    <s v="Yes"/>
    <x v="2"/>
    <s v="Tucson"/>
    <x v="13"/>
    <x v="3"/>
    <x v="12"/>
    <x v="0"/>
    <x v="7"/>
    <n v="8.16"/>
  </r>
  <r>
    <x v="3"/>
    <n v="148376"/>
    <x v="125"/>
    <s v="31/12/2016"/>
    <s v="Standard Class"/>
    <s v="Arthur Gainer"/>
    <x v="53"/>
    <s v="Yes"/>
    <x v="2"/>
    <s v="Los Angeles"/>
    <x v="5"/>
    <x v="3"/>
    <x v="131"/>
    <x v="0"/>
    <x v="12"/>
    <n v="106.96"/>
  </r>
  <r>
    <x v="0"/>
    <n v="161557"/>
    <x v="126"/>
    <s v="08/09/2018"/>
    <s v="Standard Class"/>
    <s v="Arthur Gainer"/>
    <x v="53"/>
    <s v="Yes"/>
    <x v="2"/>
    <s v="Dallas"/>
    <x v="1"/>
    <x v="1"/>
    <x v="132"/>
    <x v="2"/>
    <x v="6"/>
    <n v="108.4"/>
  </r>
  <r>
    <x v="3"/>
    <n v="130785"/>
    <x v="127"/>
    <s v="09/09/2016"/>
    <s v="Standard Class"/>
    <s v="Arthur Gainer"/>
    <x v="53"/>
    <s v="Yes"/>
    <x v="2"/>
    <s v="San Diego"/>
    <x v="5"/>
    <x v="3"/>
    <x v="133"/>
    <x v="2"/>
    <x v="13"/>
    <n v="411.33199999999999"/>
  </r>
  <r>
    <x v="1"/>
    <n v="124737"/>
    <x v="128"/>
    <s v="27/08/2015"/>
    <s v="Standard Class"/>
    <s v="Arthur Prichep"/>
    <x v="54"/>
    <s v="Yes"/>
    <x v="2"/>
    <s v="Denver"/>
    <x v="20"/>
    <x v="3"/>
    <x v="134"/>
    <x v="0"/>
    <x v="2"/>
    <n v="15.552"/>
  </r>
  <r>
    <x v="0"/>
    <n v="146136"/>
    <x v="126"/>
    <s v="07/09/2018"/>
    <s v="Standard Class"/>
    <s v="Arthur Prichep"/>
    <x v="54"/>
    <s v="Yes"/>
    <x v="2"/>
    <s v="Palm Coast"/>
    <x v="17"/>
    <x v="2"/>
    <x v="135"/>
    <x v="0"/>
    <x v="16"/>
    <n v="24.448"/>
  </r>
  <r>
    <x v="0"/>
    <n v="132059"/>
    <x v="129"/>
    <s v="29/09/2018"/>
    <s v="Standard Class"/>
    <s v="Arthur Prichep"/>
    <x v="54"/>
    <s v="Yes"/>
    <x v="2"/>
    <s v="Fort Collins"/>
    <x v="20"/>
    <x v="3"/>
    <x v="136"/>
    <x v="2"/>
    <x v="13"/>
    <n v="180.58799999999999"/>
  </r>
  <r>
    <x v="2"/>
    <n v="136812"/>
    <x v="130"/>
    <s v="23/11/2017"/>
    <s v="Standard Class"/>
    <s v="Arthur Wiediger"/>
    <x v="55"/>
    <s v="No"/>
    <x v="1"/>
    <s v="Oklahoma City"/>
    <x v="14"/>
    <x v="1"/>
    <x v="137"/>
    <x v="0"/>
    <x v="3"/>
    <n v="1117.92"/>
  </r>
  <r>
    <x v="1"/>
    <n v="155852"/>
    <x v="98"/>
    <s v="07/03/2015"/>
    <s v="Second Class"/>
    <s v="Ashley Jarboe"/>
    <x v="56"/>
    <s v="No"/>
    <x v="2"/>
    <s v="Wilmington"/>
    <x v="2"/>
    <x v="2"/>
    <x v="138"/>
    <x v="0"/>
    <x v="0"/>
    <n v="19.456"/>
  </r>
  <r>
    <x v="1"/>
    <n v="131800"/>
    <x v="131"/>
    <s v="04/01/2016"/>
    <s v="Standard Class"/>
    <s v="Astrea Jones"/>
    <x v="57"/>
    <s v="Yes"/>
    <x v="2"/>
    <s v="New York City"/>
    <x v="3"/>
    <x v="0"/>
    <x v="139"/>
    <x v="0"/>
    <x v="12"/>
    <n v="122.94"/>
  </r>
  <r>
    <x v="0"/>
    <n v="123246"/>
    <x v="132"/>
    <s v="19/10/2018"/>
    <s v="Second Class"/>
    <s v="Astrea Jones"/>
    <x v="57"/>
    <s v="Yes"/>
    <x v="2"/>
    <s v="San Diego"/>
    <x v="5"/>
    <x v="3"/>
    <x v="140"/>
    <x v="0"/>
    <x v="0"/>
    <n v="10.64"/>
  </r>
  <r>
    <x v="1"/>
    <n v="113362"/>
    <x v="133"/>
    <s v="19/09/2015"/>
    <s v="Standard Class"/>
    <s v="Astrea Jones"/>
    <x v="57"/>
    <s v="Yes"/>
    <x v="2"/>
    <s v="Rochester"/>
    <x v="3"/>
    <x v="0"/>
    <x v="141"/>
    <x v="0"/>
    <x v="3"/>
    <n v="449.15"/>
  </r>
  <r>
    <x v="0"/>
    <n v="120908"/>
    <x v="134"/>
    <s v="02/10/2018"/>
    <s v="First Class"/>
    <s v="Barbara Fisher"/>
    <x v="58"/>
    <s v="Yes"/>
    <x v="0"/>
    <s v="Philadelphia"/>
    <x v="0"/>
    <x v="0"/>
    <x v="142"/>
    <x v="0"/>
    <x v="8"/>
    <n v="20.664000000000001"/>
  </r>
  <r>
    <x v="3"/>
    <n v="116750"/>
    <x v="135"/>
    <s v="10/07/2016"/>
    <s v="Second Class"/>
    <s v="Barbara Fisher"/>
    <x v="58"/>
    <s v="Yes"/>
    <x v="0"/>
    <s v="Fayetteville"/>
    <x v="2"/>
    <x v="2"/>
    <x v="143"/>
    <x v="2"/>
    <x v="6"/>
    <n v="4.9279999999999999"/>
  </r>
  <r>
    <x v="2"/>
    <n v="103947"/>
    <x v="136"/>
    <s v="08/04/2017"/>
    <s v="Standard Class"/>
    <s v="Barry Blumstein"/>
    <x v="59"/>
    <s v="Yes"/>
    <x v="0"/>
    <s v="Sierra Vista"/>
    <x v="13"/>
    <x v="3"/>
    <x v="144"/>
    <x v="0"/>
    <x v="15"/>
    <n v="31.56"/>
  </r>
  <r>
    <x v="0"/>
    <n v="112928"/>
    <x v="137"/>
    <s v="05/06/2018"/>
    <s v="Second Class"/>
    <s v="Barry Blumstein"/>
    <x v="59"/>
    <s v="Yes"/>
    <x v="0"/>
    <s v="Toledo"/>
    <x v="21"/>
    <x v="0"/>
    <x v="145"/>
    <x v="0"/>
    <x v="12"/>
    <n v="17.48"/>
  </r>
  <r>
    <x v="0"/>
    <n v="118136"/>
    <x v="138"/>
    <s v="17/09/2018"/>
    <s v="First Class"/>
    <s v="Barry Blumstein"/>
    <x v="59"/>
    <s v="Yes"/>
    <x v="0"/>
    <s v="Inglewood"/>
    <x v="5"/>
    <x v="3"/>
    <x v="146"/>
    <x v="0"/>
    <x v="2"/>
    <n v="8.82"/>
  </r>
  <r>
    <x v="2"/>
    <n v="137729"/>
    <x v="139"/>
    <s v="09/05/2017"/>
    <s v="Standard Class"/>
    <s v="Barry Franz"/>
    <x v="60"/>
    <s v="No"/>
    <x v="1"/>
    <s v="Los Angeles"/>
    <x v="5"/>
    <x v="3"/>
    <x v="147"/>
    <x v="0"/>
    <x v="3"/>
    <n v="5.98"/>
  </r>
  <r>
    <x v="2"/>
    <n v="156265"/>
    <x v="140"/>
    <s v="04/08/2017"/>
    <s v="Second Class"/>
    <s v="Barry Französisch"/>
    <x v="61"/>
    <s v="Yes"/>
    <x v="0"/>
    <s v="Los Angeles"/>
    <x v="5"/>
    <x v="3"/>
    <x v="148"/>
    <x v="2"/>
    <x v="14"/>
    <n v="136.464"/>
  </r>
  <r>
    <x v="3"/>
    <n v="145758"/>
    <x v="141"/>
    <s v="30/10/2016"/>
    <s v="Same Day"/>
    <s v="Barry Französisch"/>
    <x v="61"/>
    <s v="Yes"/>
    <x v="0"/>
    <s v="New York City"/>
    <x v="3"/>
    <x v="0"/>
    <x v="149"/>
    <x v="1"/>
    <x v="1"/>
    <n v="1035.8"/>
  </r>
  <r>
    <x v="0"/>
    <n v="133333"/>
    <x v="142"/>
    <s v="22/09/2018"/>
    <s v="Standard Class"/>
    <s v="Barry Französisch"/>
    <x v="61"/>
    <s v="Yes"/>
    <x v="0"/>
    <s v="Green Bay"/>
    <x v="29"/>
    <x v="1"/>
    <x v="150"/>
    <x v="0"/>
    <x v="2"/>
    <n v="22.72"/>
  </r>
  <r>
    <x v="0"/>
    <n v="140676"/>
    <x v="143"/>
    <s v="15/09/2018"/>
    <s v="First Class"/>
    <s v="Bart Folk"/>
    <x v="62"/>
    <s v="Yes"/>
    <x v="2"/>
    <s v="Baltimore"/>
    <x v="31"/>
    <x v="0"/>
    <x v="151"/>
    <x v="0"/>
    <x v="2"/>
    <n v="39.9"/>
  </r>
  <r>
    <x v="0"/>
    <n v="117128"/>
    <x v="21"/>
    <s v="08/12/2018"/>
    <s v="Second Class"/>
    <s v="Bart Folk"/>
    <x v="62"/>
    <s v="Yes"/>
    <x v="2"/>
    <s v="New York City"/>
    <x v="3"/>
    <x v="0"/>
    <x v="152"/>
    <x v="0"/>
    <x v="2"/>
    <n v="21.6"/>
  </r>
  <r>
    <x v="1"/>
    <n v="162992"/>
    <x v="144"/>
    <s v="21/12/2015"/>
    <s v="First Class"/>
    <s v="Bart Pistole"/>
    <x v="63"/>
    <s v="Yes"/>
    <x v="0"/>
    <s v="Los Angeles"/>
    <x v="5"/>
    <x v="3"/>
    <x v="153"/>
    <x v="0"/>
    <x v="8"/>
    <n v="14.62"/>
  </r>
  <r>
    <x v="1"/>
    <n v="134971"/>
    <x v="145"/>
    <s v="10/06/2015"/>
    <s v="Second Class"/>
    <s v="Bart Pistole"/>
    <x v="63"/>
    <s v="Yes"/>
    <x v="0"/>
    <s v="Peoria"/>
    <x v="10"/>
    <x v="1"/>
    <x v="154"/>
    <x v="0"/>
    <x v="7"/>
    <n v="12.462"/>
  </r>
  <r>
    <x v="3"/>
    <n v="106565"/>
    <x v="146"/>
    <s v="23/03/2016"/>
    <s v="First Class"/>
    <s v="Bart Watters"/>
    <x v="64"/>
    <s v="Yes"/>
    <x v="0"/>
    <s v="Milwaukee"/>
    <x v="29"/>
    <x v="1"/>
    <x v="155"/>
    <x v="0"/>
    <x v="2"/>
    <n v="51.84"/>
  </r>
  <r>
    <x v="2"/>
    <n v="126844"/>
    <x v="147"/>
    <s v="14/10/2017"/>
    <s v="Standard Class"/>
    <s v="Bart Watters"/>
    <x v="64"/>
    <s v="Yes"/>
    <x v="0"/>
    <s v="Houston"/>
    <x v="1"/>
    <x v="1"/>
    <x v="156"/>
    <x v="2"/>
    <x v="6"/>
    <n v="51.712000000000003"/>
  </r>
  <r>
    <x v="0"/>
    <n v="151855"/>
    <x v="148"/>
    <s v="03/06/2018"/>
    <s v="Standard Class"/>
    <s v="Bart Watters"/>
    <x v="64"/>
    <s v="Yes"/>
    <x v="0"/>
    <s v="Greensboro"/>
    <x v="2"/>
    <x v="2"/>
    <x v="157"/>
    <x v="1"/>
    <x v="4"/>
    <n v="27.192"/>
  </r>
  <r>
    <x v="0"/>
    <n v="120418"/>
    <x v="149"/>
    <s v="12/06/2018"/>
    <s v="First Class"/>
    <s v="Becky Castell"/>
    <x v="65"/>
    <s v="No"/>
    <x v="1"/>
    <s v="Peoria"/>
    <x v="13"/>
    <x v="3"/>
    <x v="158"/>
    <x v="2"/>
    <x v="10"/>
    <n v="280.79199999999997"/>
  </r>
  <r>
    <x v="1"/>
    <n v="139892"/>
    <x v="150"/>
    <s v="12/09/2015"/>
    <s v="Standard Class"/>
    <s v="Becky Martin"/>
    <x v="66"/>
    <s v="Yes"/>
    <x v="2"/>
    <s v="San Antonio"/>
    <x v="1"/>
    <x v="1"/>
    <x v="159"/>
    <x v="0"/>
    <x v="0"/>
    <n v="9.9359999999999999"/>
  </r>
  <r>
    <x v="0"/>
    <n v="121706"/>
    <x v="151"/>
    <s v="02/03/2018"/>
    <s v="Standard Class"/>
    <s v="Becky Martin"/>
    <x v="66"/>
    <s v="Yes"/>
    <x v="2"/>
    <s v="Santa Barbara"/>
    <x v="5"/>
    <x v="3"/>
    <x v="160"/>
    <x v="0"/>
    <x v="12"/>
    <n v="356.79"/>
  </r>
  <r>
    <x v="0"/>
    <n v="147564"/>
    <x v="152"/>
    <s v="06/10/2018"/>
    <s v="Standard Class"/>
    <s v="Becky Pak"/>
    <x v="67"/>
    <s v="Yes"/>
    <x v="2"/>
    <s v="New York City"/>
    <x v="3"/>
    <x v="0"/>
    <x v="161"/>
    <x v="0"/>
    <x v="2"/>
    <n v="49.12"/>
  </r>
  <r>
    <x v="3"/>
    <n v="158491"/>
    <x v="153"/>
    <s v="09/06/2016"/>
    <s v="Second Class"/>
    <s v="Becky Pak"/>
    <x v="67"/>
    <s v="Yes"/>
    <x v="2"/>
    <s v="Los Angeles"/>
    <x v="5"/>
    <x v="3"/>
    <x v="162"/>
    <x v="1"/>
    <x v="4"/>
    <n v="119.98"/>
  </r>
  <r>
    <x v="0"/>
    <n v="128629"/>
    <x v="154"/>
    <s v="14/07/2018"/>
    <s v="Second Class"/>
    <s v="Becky Pak"/>
    <x v="67"/>
    <s v="Yes"/>
    <x v="2"/>
    <s v="Columbus"/>
    <x v="7"/>
    <x v="2"/>
    <x v="163"/>
    <x v="2"/>
    <x v="6"/>
    <n v="18.84"/>
  </r>
  <r>
    <x v="2"/>
    <n v="156139"/>
    <x v="155"/>
    <s v="06/01/2018"/>
    <s v="Standard Class"/>
    <s v="Becky Pak"/>
    <x v="67"/>
    <s v="Yes"/>
    <x v="2"/>
    <s v="San Francisco"/>
    <x v="5"/>
    <x v="3"/>
    <x v="164"/>
    <x v="0"/>
    <x v="7"/>
    <n v="38.375999999999998"/>
  </r>
  <r>
    <x v="1"/>
    <n v="167724"/>
    <x v="156"/>
    <s v="18/04/2015"/>
    <s v="Standard Class"/>
    <s v="Ben Ferrer"/>
    <x v="68"/>
    <s v="Yes"/>
    <x v="1"/>
    <s v="Baltimore"/>
    <x v="31"/>
    <x v="0"/>
    <x v="165"/>
    <x v="0"/>
    <x v="8"/>
    <n v="7.83"/>
  </r>
  <r>
    <x v="2"/>
    <n v="120460"/>
    <x v="157"/>
    <s v="05/05/2017"/>
    <s v="Standard Class"/>
    <s v="Ben Ferrer"/>
    <x v="68"/>
    <s v="Yes"/>
    <x v="1"/>
    <s v="Dallas"/>
    <x v="1"/>
    <x v="1"/>
    <x v="166"/>
    <x v="2"/>
    <x v="6"/>
    <n v="22.608000000000001"/>
  </r>
  <r>
    <x v="1"/>
    <n v="138247"/>
    <x v="158"/>
    <s v="29/12/2015"/>
    <s v="Standard Class"/>
    <s v="Ben Ferrer"/>
    <x v="68"/>
    <s v="Yes"/>
    <x v="1"/>
    <s v="Los Angeles"/>
    <x v="5"/>
    <x v="3"/>
    <x v="167"/>
    <x v="1"/>
    <x v="9"/>
    <n v="173.65600000000001"/>
  </r>
  <r>
    <x v="2"/>
    <n v="142902"/>
    <x v="110"/>
    <s v="14/09/2017"/>
    <s v="Second Class"/>
    <s v="Ben Peterman"/>
    <x v="69"/>
    <s v="Yes"/>
    <x v="0"/>
    <s v="Arvada"/>
    <x v="20"/>
    <x v="3"/>
    <x v="168"/>
    <x v="2"/>
    <x v="6"/>
    <n v="15.135999999999999"/>
  </r>
  <r>
    <x v="0"/>
    <n v="167150"/>
    <x v="51"/>
    <s v="17/12/2018"/>
    <s v="Standard Class"/>
    <s v="Ben Peterman"/>
    <x v="69"/>
    <s v="Yes"/>
    <x v="0"/>
    <s v="San Diego"/>
    <x v="5"/>
    <x v="3"/>
    <x v="169"/>
    <x v="0"/>
    <x v="7"/>
    <n v="19.936"/>
  </r>
  <r>
    <x v="1"/>
    <n v="167633"/>
    <x v="159"/>
    <s v="05/10/2015"/>
    <s v="Standard Class"/>
    <s v="Ben Wallace"/>
    <x v="70"/>
    <s v="Yes"/>
    <x v="2"/>
    <s v="Boynton Beach"/>
    <x v="17"/>
    <x v="2"/>
    <x v="170"/>
    <x v="0"/>
    <x v="2"/>
    <n v="15.552"/>
  </r>
  <r>
    <x v="0"/>
    <n v="143343"/>
    <x v="160"/>
    <s v="13/06/2018"/>
    <s v="First Class"/>
    <s v="Ben Wallace"/>
    <x v="70"/>
    <s v="Yes"/>
    <x v="2"/>
    <s v="Los Angeles"/>
    <x v="5"/>
    <x v="3"/>
    <x v="171"/>
    <x v="0"/>
    <x v="0"/>
    <n v="16.399999999999999"/>
  </r>
  <r>
    <x v="0"/>
    <n v="106859"/>
    <x v="161"/>
    <s v="18/03/2018"/>
    <s v="Second Class"/>
    <s v="Benjamin Farhat"/>
    <x v="71"/>
    <s v="No"/>
    <x v="1"/>
    <s v="Albuquerque"/>
    <x v="22"/>
    <x v="3"/>
    <x v="172"/>
    <x v="0"/>
    <x v="3"/>
    <n v="90.8"/>
  </r>
  <r>
    <x v="0"/>
    <n v="142888"/>
    <x v="162"/>
    <s v="25/11/2018"/>
    <s v="Standard Class"/>
    <s v="Benjamin Patterson"/>
    <x v="72"/>
    <s v="No"/>
    <x v="2"/>
    <s v="Spokane"/>
    <x v="15"/>
    <x v="3"/>
    <x v="173"/>
    <x v="2"/>
    <x v="14"/>
    <n v="70.98"/>
  </r>
  <r>
    <x v="3"/>
    <n v="103793"/>
    <x v="163"/>
    <s v="31/03/2016"/>
    <s v="Standard Class"/>
    <s v="Benjamin Venier"/>
    <x v="73"/>
    <s v="Yes"/>
    <x v="0"/>
    <s v="Miami"/>
    <x v="17"/>
    <x v="2"/>
    <x v="174"/>
    <x v="0"/>
    <x v="2"/>
    <n v="74.352000000000004"/>
  </r>
  <r>
    <x v="0"/>
    <n v="104220"/>
    <x v="164"/>
    <s v="05/02/2018"/>
    <s v="Standard Class"/>
    <s v="Benjamin Venier"/>
    <x v="73"/>
    <s v="Yes"/>
    <x v="0"/>
    <s v="Des Moines"/>
    <x v="32"/>
    <x v="1"/>
    <x v="175"/>
    <x v="0"/>
    <x v="7"/>
    <n v="18.28"/>
  </r>
  <r>
    <x v="0"/>
    <n v="151183"/>
    <x v="165"/>
    <s v="19/10/2018"/>
    <s v="Standard Class"/>
    <s v="Berenike Kampe"/>
    <x v="74"/>
    <s v="Yes"/>
    <x v="2"/>
    <s v="San Francisco"/>
    <x v="5"/>
    <x v="3"/>
    <x v="176"/>
    <x v="1"/>
    <x v="4"/>
    <n v="46.36"/>
  </r>
  <r>
    <x v="3"/>
    <n v="113110"/>
    <x v="166"/>
    <s v="23/03/2016"/>
    <s v="Standard Class"/>
    <s v="Berenike Kampe"/>
    <x v="74"/>
    <s v="Yes"/>
    <x v="2"/>
    <s v="San Bernardino"/>
    <x v="5"/>
    <x v="3"/>
    <x v="177"/>
    <x v="0"/>
    <x v="7"/>
    <n v="17.568000000000001"/>
  </r>
  <r>
    <x v="1"/>
    <n v="125612"/>
    <x v="167"/>
    <s v="08/08/2015"/>
    <s v="Standard Class"/>
    <s v="Berenike Kampe"/>
    <x v="74"/>
    <s v="Yes"/>
    <x v="2"/>
    <s v="New York City"/>
    <x v="3"/>
    <x v="0"/>
    <x v="178"/>
    <x v="0"/>
    <x v="2"/>
    <n v="39.96"/>
  </r>
  <r>
    <x v="0"/>
    <n v="169012"/>
    <x v="154"/>
    <s v="14/07/2018"/>
    <s v="Standard Class"/>
    <s v="Beth Fritzler"/>
    <x v="75"/>
    <s v="Yes"/>
    <x v="0"/>
    <s v="Columbus"/>
    <x v="7"/>
    <x v="2"/>
    <x v="179"/>
    <x v="0"/>
    <x v="12"/>
    <n v="41.91"/>
  </r>
  <r>
    <x v="1"/>
    <n v="148040"/>
    <x v="168"/>
    <s v="26/03/2015"/>
    <s v="Standard Class"/>
    <s v="Beth Fritzler"/>
    <x v="75"/>
    <s v="Yes"/>
    <x v="0"/>
    <s v="Tucson"/>
    <x v="13"/>
    <x v="3"/>
    <x v="180"/>
    <x v="0"/>
    <x v="2"/>
    <n v="74.352000000000004"/>
  </r>
  <r>
    <x v="2"/>
    <n v="150483"/>
    <x v="169"/>
    <s v="04/06/2017"/>
    <s v="Standard Class"/>
    <s v="Beth Paige"/>
    <x v="76"/>
    <s v="Yes"/>
    <x v="2"/>
    <s v="Decatur"/>
    <x v="10"/>
    <x v="1"/>
    <x v="181"/>
    <x v="2"/>
    <x v="6"/>
    <n v="32.064"/>
  </r>
  <r>
    <x v="1"/>
    <n v="153976"/>
    <x v="61"/>
    <s v="08/10/2015"/>
    <s v="Second Class"/>
    <s v="Beth Paige"/>
    <x v="76"/>
    <s v="Yes"/>
    <x v="2"/>
    <s v="Evanston"/>
    <x v="10"/>
    <x v="1"/>
    <x v="182"/>
    <x v="2"/>
    <x v="10"/>
    <n v="258.279"/>
  </r>
  <r>
    <x v="2"/>
    <n v="142398"/>
    <x v="170"/>
    <s v="16/04/2017"/>
    <s v="Standard Class"/>
    <s v="Beth Paige"/>
    <x v="76"/>
    <s v="Yes"/>
    <x v="2"/>
    <s v="Los Angeles"/>
    <x v="5"/>
    <x v="3"/>
    <x v="183"/>
    <x v="2"/>
    <x v="10"/>
    <n v="638.28800000000001"/>
  </r>
  <r>
    <x v="3"/>
    <n v="138002"/>
    <x v="171"/>
    <s v="12/09/2016"/>
    <s v="Standard Class"/>
    <s v="Beth Thompson"/>
    <x v="77"/>
    <s v="Yes"/>
    <x v="1"/>
    <s v="Seattle"/>
    <x v="15"/>
    <x v="3"/>
    <x v="184"/>
    <x v="0"/>
    <x v="7"/>
    <n v="6.0960000000000001"/>
  </r>
  <r>
    <x v="0"/>
    <n v="115994"/>
    <x v="172"/>
    <s v="31/01/2018"/>
    <s v="Second Class"/>
    <s v="Beth Thompson"/>
    <x v="77"/>
    <s v="Yes"/>
    <x v="1"/>
    <s v="Costa Mesa"/>
    <x v="5"/>
    <x v="3"/>
    <x v="185"/>
    <x v="1"/>
    <x v="4"/>
    <n v="239.97"/>
  </r>
  <r>
    <x v="0"/>
    <n v="122735"/>
    <x v="173"/>
    <s v="15/04/2018"/>
    <s v="Second Class"/>
    <s v="Bill Donatelli"/>
    <x v="78"/>
    <s v="Yes"/>
    <x v="2"/>
    <s v="Providence"/>
    <x v="33"/>
    <x v="0"/>
    <x v="186"/>
    <x v="0"/>
    <x v="7"/>
    <n v="29.7"/>
  </r>
  <r>
    <x v="2"/>
    <n v="130680"/>
    <x v="174"/>
    <s v="29/06/2017"/>
    <s v="Standard Class"/>
    <s v="Bill Donatelli"/>
    <x v="78"/>
    <s v="Yes"/>
    <x v="2"/>
    <s v="San Diego"/>
    <x v="5"/>
    <x v="3"/>
    <x v="187"/>
    <x v="1"/>
    <x v="9"/>
    <n v="38.24"/>
  </r>
  <r>
    <x v="2"/>
    <n v="136406"/>
    <x v="175"/>
    <s v="17/04/2017"/>
    <s v="Second Class"/>
    <s v="Bill Donatelli"/>
    <x v="78"/>
    <s v="Yes"/>
    <x v="2"/>
    <s v="San Francisco"/>
    <x v="5"/>
    <x v="3"/>
    <x v="188"/>
    <x v="2"/>
    <x v="10"/>
    <n v="1121.568"/>
  </r>
  <r>
    <x v="0"/>
    <n v="117485"/>
    <x v="129"/>
    <s v="29/09/2018"/>
    <s v="Standard Class"/>
    <s v="Bill Donatelli"/>
    <x v="78"/>
    <s v="Yes"/>
    <x v="2"/>
    <s v="Tulsa"/>
    <x v="14"/>
    <x v="1"/>
    <x v="189"/>
    <x v="1"/>
    <x v="4"/>
    <n v="291.95999999999998"/>
  </r>
  <r>
    <x v="3"/>
    <n v="120677"/>
    <x v="176"/>
    <s v="04/06/2016"/>
    <s v="Standard Class"/>
    <s v="Bill Donatelli"/>
    <x v="78"/>
    <s v="Yes"/>
    <x v="2"/>
    <s v="Minneapolis"/>
    <x v="26"/>
    <x v="1"/>
    <x v="190"/>
    <x v="2"/>
    <x v="10"/>
    <n v="2567.84"/>
  </r>
  <r>
    <x v="0"/>
    <n v="155985"/>
    <x v="177"/>
    <s v="25/03/2018"/>
    <s v="First Class"/>
    <s v="Bill Eplett"/>
    <x v="79"/>
    <s v="Yes"/>
    <x v="1"/>
    <s v="San Francisco"/>
    <x v="5"/>
    <x v="3"/>
    <x v="191"/>
    <x v="2"/>
    <x v="6"/>
    <n v="211.84"/>
  </r>
  <r>
    <x v="0"/>
    <n v="137596"/>
    <x v="178"/>
    <s v="07/09/2018"/>
    <s v="Standard Class"/>
    <s v="Bill Eplett"/>
    <x v="79"/>
    <s v="Yes"/>
    <x v="1"/>
    <s v="Jackson"/>
    <x v="34"/>
    <x v="1"/>
    <x v="192"/>
    <x v="1"/>
    <x v="9"/>
    <n v="1199.8"/>
  </r>
  <r>
    <x v="0"/>
    <n v="144883"/>
    <x v="179"/>
    <s v="19/08/2018"/>
    <s v="Standard Class"/>
    <s v="Bill Overfelt"/>
    <x v="80"/>
    <s v="No"/>
    <x v="0"/>
    <s v="Roseville"/>
    <x v="26"/>
    <x v="1"/>
    <x v="193"/>
    <x v="0"/>
    <x v="8"/>
    <n v="50.4"/>
  </r>
  <r>
    <x v="1"/>
    <n v="143581"/>
    <x v="180"/>
    <s v="23/08/2015"/>
    <s v="Standard Class"/>
    <s v="Bill Shonely"/>
    <x v="81"/>
    <s v="Yes"/>
    <x v="0"/>
    <s v="Columbus"/>
    <x v="7"/>
    <x v="2"/>
    <x v="194"/>
    <x v="0"/>
    <x v="3"/>
    <n v="344.91"/>
  </r>
  <r>
    <x v="2"/>
    <n v="107440"/>
    <x v="181"/>
    <s v="20/04/2017"/>
    <s v="Standard Class"/>
    <s v="Bill Shonely"/>
    <x v="81"/>
    <s v="Yes"/>
    <x v="0"/>
    <s v="Lakewood"/>
    <x v="35"/>
    <x v="0"/>
    <x v="195"/>
    <x v="1"/>
    <x v="1"/>
    <n v="9099.93"/>
  </r>
  <r>
    <x v="3"/>
    <n v="142475"/>
    <x v="182"/>
    <s v="07/12/2016"/>
    <s v="Standard Class"/>
    <s v="Bill Stewart"/>
    <x v="82"/>
    <s v="No"/>
    <x v="0"/>
    <s v="New York City"/>
    <x v="3"/>
    <x v="0"/>
    <x v="196"/>
    <x v="0"/>
    <x v="7"/>
    <n v="590.35199999999998"/>
  </r>
  <r>
    <x v="3"/>
    <n v="110016"/>
    <x v="117"/>
    <s v="04/12/2016"/>
    <s v="Standard Class"/>
    <s v="Bill Tyler"/>
    <x v="83"/>
    <s v="No"/>
    <x v="0"/>
    <s v="Detroit"/>
    <x v="34"/>
    <x v="1"/>
    <x v="197"/>
    <x v="0"/>
    <x v="2"/>
    <n v="19.920000000000002"/>
  </r>
  <r>
    <x v="2"/>
    <n v="161662"/>
    <x v="183"/>
    <s v="09/02/2017"/>
    <s v="First Class"/>
    <s v="Bobby Elias"/>
    <x v="84"/>
    <s v="Yes"/>
    <x v="2"/>
    <s v="Lancaster"/>
    <x v="21"/>
    <x v="0"/>
    <x v="198"/>
    <x v="0"/>
    <x v="2"/>
    <n v="30.352"/>
  </r>
  <r>
    <x v="0"/>
    <n v="121314"/>
    <x v="129"/>
    <s v="26/09/2018"/>
    <s v="First Class"/>
    <s v="Bobby Elias"/>
    <x v="84"/>
    <s v="Yes"/>
    <x v="2"/>
    <s v="Miami"/>
    <x v="17"/>
    <x v="2"/>
    <x v="199"/>
    <x v="0"/>
    <x v="2"/>
    <n v="251.64"/>
  </r>
  <r>
    <x v="2"/>
    <n v="108630"/>
    <x v="130"/>
    <s v="18/11/2017"/>
    <s v="Same Day"/>
    <s v="Bobby Elias"/>
    <x v="84"/>
    <s v="Yes"/>
    <x v="2"/>
    <s v="Concord"/>
    <x v="5"/>
    <x v="3"/>
    <x v="200"/>
    <x v="0"/>
    <x v="7"/>
    <n v="61.12"/>
  </r>
  <r>
    <x v="2"/>
    <n v="163461"/>
    <x v="184"/>
    <s v="21/06/2017"/>
    <s v="First Class"/>
    <s v="Bobby Trafton"/>
    <x v="85"/>
    <s v="Yes"/>
    <x v="2"/>
    <s v="Frankfort"/>
    <x v="10"/>
    <x v="1"/>
    <x v="201"/>
    <x v="0"/>
    <x v="2"/>
    <n v="76.864000000000004"/>
  </r>
  <r>
    <x v="2"/>
    <n v="106383"/>
    <x v="185"/>
    <s v="21/03/2017"/>
    <s v="Second Class"/>
    <s v="Bobby Trafton"/>
    <x v="85"/>
    <s v="Yes"/>
    <x v="2"/>
    <s v="Littleton"/>
    <x v="20"/>
    <x v="3"/>
    <x v="202"/>
    <x v="2"/>
    <x v="13"/>
    <n v="72.293999999999997"/>
  </r>
  <r>
    <x v="1"/>
    <n v="138527"/>
    <x v="186"/>
    <s v="17/09/2015"/>
    <s v="Standard Class"/>
    <s v="Brad Norvell"/>
    <x v="86"/>
    <s v="Yes"/>
    <x v="0"/>
    <s v="Cary"/>
    <x v="2"/>
    <x v="2"/>
    <x v="203"/>
    <x v="0"/>
    <x v="2"/>
    <n v="10.368"/>
  </r>
  <r>
    <x v="0"/>
    <n v="149006"/>
    <x v="187"/>
    <s v="08/12/2018"/>
    <s v="Second Class"/>
    <s v="Brad Norvell"/>
    <x v="86"/>
    <s v="Yes"/>
    <x v="0"/>
    <s v="Brentwood"/>
    <x v="5"/>
    <x v="3"/>
    <x v="204"/>
    <x v="0"/>
    <x v="3"/>
    <n v="10.68"/>
  </r>
  <r>
    <x v="3"/>
    <n v="165085"/>
    <x v="125"/>
    <s v="31/12/2016"/>
    <s v="Standard Class"/>
    <s v="Brad Thomas"/>
    <x v="87"/>
    <s v="No"/>
    <x v="1"/>
    <s v="Clinton"/>
    <x v="31"/>
    <x v="0"/>
    <x v="205"/>
    <x v="0"/>
    <x v="2"/>
    <n v="28.9"/>
  </r>
  <r>
    <x v="1"/>
    <n v="140795"/>
    <x v="188"/>
    <s v="03/02/2015"/>
    <s v="First Class"/>
    <s v="Bradley Drucker"/>
    <x v="88"/>
    <s v="Yes"/>
    <x v="2"/>
    <s v="Green Bay"/>
    <x v="29"/>
    <x v="1"/>
    <x v="206"/>
    <x v="1"/>
    <x v="4"/>
    <n v="468.9"/>
  </r>
  <r>
    <x v="0"/>
    <n v="133312"/>
    <x v="189"/>
    <s v="29/11/2018"/>
    <s v="Standard Class"/>
    <s v="Bradley Drucker"/>
    <x v="88"/>
    <s v="Yes"/>
    <x v="2"/>
    <s v="San Francisco"/>
    <x v="5"/>
    <x v="3"/>
    <x v="207"/>
    <x v="2"/>
    <x v="13"/>
    <n v="359.49900000000002"/>
  </r>
  <r>
    <x v="0"/>
    <n v="163405"/>
    <x v="190"/>
    <s v="25/12/2018"/>
    <s v="Standard Class"/>
    <s v="Bradley Nguyen"/>
    <x v="89"/>
    <s v="Yes"/>
    <x v="2"/>
    <s v="Los Angeles"/>
    <x v="5"/>
    <x v="3"/>
    <x v="208"/>
    <x v="0"/>
    <x v="0"/>
    <n v="6.63"/>
  </r>
  <r>
    <x v="0"/>
    <n v="131625"/>
    <x v="191"/>
    <s v="05/09/2018"/>
    <s v="Second Class"/>
    <s v="Bradley Nguyen"/>
    <x v="89"/>
    <s v="Yes"/>
    <x v="2"/>
    <s v="New York City"/>
    <x v="3"/>
    <x v="0"/>
    <x v="209"/>
    <x v="2"/>
    <x v="6"/>
    <n v="114.9"/>
  </r>
  <r>
    <x v="1"/>
    <n v="146864"/>
    <x v="192"/>
    <s v="26/12/2015"/>
    <s v="Standard Class"/>
    <s v="Bradley Talbott"/>
    <x v="90"/>
    <s v="No"/>
    <x v="1"/>
    <s v="New York City"/>
    <x v="3"/>
    <x v="0"/>
    <x v="210"/>
    <x v="0"/>
    <x v="3"/>
    <n v="216.4"/>
  </r>
  <r>
    <x v="0"/>
    <n v="130043"/>
    <x v="193"/>
    <s v="19/09/2018"/>
    <s v="Standard Class"/>
    <s v="Brenda Bowman"/>
    <x v="91"/>
    <s v="Yes"/>
    <x v="0"/>
    <s v="Houston"/>
    <x v="1"/>
    <x v="1"/>
    <x v="211"/>
    <x v="0"/>
    <x v="2"/>
    <n v="31.872"/>
  </r>
  <r>
    <x v="2"/>
    <n v="124506"/>
    <x v="194"/>
    <s v="17/11/2017"/>
    <s v="Standard Class"/>
    <s v="Brenda Bowman"/>
    <x v="91"/>
    <s v="Yes"/>
    <x v="0"/>
    <s v="Chicago"/>
    <x v="10"/>
    <x v="1"/>
    <x v="212"/>
    <x v="1"/>
    <x v="4"/>
    <n v="95.968000000000004"/>
  </r>
  <r>
    <x v="2"/>
    <n v="155166"/>
    <x v="195"/>
    <s v="02/01/2018"/>
    <s v="Standard Class"/>
    <s v="Brenda Bowman"/>
    <x v="91"/>
    <s v="Yes"/>
    <x v="0"/>
    <s v="Vineland"/>
    <x v="35"/>
    <x v="0"/>
    <x v="213"/>
    <x v="2"/>
    <x v="10"/>
    <n v="212.94"/>
  </r>
  <r>
    <x v="3"/>
    <n v="115168"/>
    <x v="196"/>
    <s v="09/06/2016"/>
    <s v="Standard Class"/>
    <s v="Brenda Bowman"/>
    <x v="91"/>
    <s v="Yes"/>
    <x v="0"/>
    <s v="Saint Charles"/>
    <x v="9"/>
    <x v="1"/>
    <x v="214"/>
    <x v="0"/>
    <x v="2"/>
    <n v="10.56"/>
  </r>
  <r>
    <x v="2"/>
    <n v="142615"/>
    <x v="60"/>
    <s v="24/11/2017"/>
    <s v="Standard Class"/>
    <s v="Brendan Murry"/>
    <x v="92"/>
    <s v="No"/>
    <x v="0"/>
    <s v="Montebello"/>
    <x v="5"/>
    <x v="3"/>
    <x v="215"/>
    <x v="1"/>
    <x v="4"/>
    <n v="27.88"/>
  </r>
  <r>
    <x v="1"/>
    <n v="106376"/>
    <x v="197"/>
    <s v="10/12/2015"/>
    <s v="Standard Class"/>
    <s v="Brendan Sweed"/>
    <x v="93"/>
    <s v="No"/>
    <x v="0"/>
    <s v="Gilbert"/>
    <x v="13"/>
    <x v="3"/>
    <x v="37"/>
    <x v="0"/>
    <x v="0"/>
    <n v="1113.0239999999999"/>
  </r>
  <r>
    <x v="3"/>
    <n v="158792"/>
    <x v="198"/>
    <s v="02/01/2017"/>
    <s v="Standard Class"/>
    <s v="Brian Dahlen"/>
    <x v="94"/>
    <s v="Yes"/>
    <x v="2"/>
    <s v="Lawrence"/>
    <x v="23"/>
    <x v="0"/>
    <x v="216"/>
    <x v="0"/>
    <x v="15"/>
    <n v="22.2"/>
  </r>
  <r>
    <x v="0"/>
    <n v="144694"/>
    <x v="89"/>
    <s v="26/09/2018"/>
    <s v="Second Class"/>
    <s v="Brian Dahlen"/>
    <x v="94"/>
    <s v="Yes"/>
    <x v="2"/>
    <s v="Miami"/>
    <x v="17"/>
    <x v="2"/>
    <x v="217"/>
    <x v="1"/>
    <x v="4"/>
    <n v="17.88"/>
  </r>
  <r>
    <x v="2"/>
    <n v="112102"/>
    <x v="170"/>
    <s v="16/04/2017"/>
    <s v="Standard Class"/>
    <s v="Brian Dahlen"/>
    <x v="94"/>
    <s v="Yes"/>
    <x v="2"/>
    <s v="Springfield"/>
    <x v="4"/>
    <x v="2"/>
    <x v="218"/>
    <x v="2"/>
    <x v="14"/>
    <n v="343.92"/>
  </r>
  <r>
    <x v="2"/>
    <n v="100202"/>
    <x v="155"/>
    <s v="05/01/2018"/>
    <s v="Standard Class"/>
    <s v="Brian DeCherney"/>
    <x v="95"/>
    <s v="Yes"/>
    <x v="2"/>
    <s v="Anaheim"/>
    <x v="5"/>
    <x v="3"/>
    <x v="219"/>
    <x v="1"/>
    <x v="9"/>
    <n v="302.37599999999998"/>
  </r>
  <r>
    <x v="0"/>
    <n v="130211"/>
    <x v="199"/>
    <s v="22/10/2018"/>
    <s v="Same Day"/>
    <s v="Brian DeCherney"/>
    <x v="95"/>
    <s v="Yes"/>
    <x v="2"/>
    <s v="Lawton"/>
    <x v="14"/>
    <x v="1"/>
    <x v="220"/>
    <x v="0"/>
    <x v="3"/>
    <n v="333.09"/>
  </r>
  <r>
    <x v="0"/>
    <n v="149048"/>
    <x v="200"/>
    <s v="17/05/2018"/>
    <s v="Standard Class"/>
    <s v="Brian Moss"/>
    <x v="96"/>
    <s v="Yes"/>
    <x v="0"/>
    <s v="Columbus"/>
    <x v="11"/>
    <x v="1"/>
    <x v="221"/>
    <x v="0"/>
    <x v="16"/>
    <n v="180.96"/>
  </r>
  <r>
    <x v="1"/>
    <n v="134733"/>
    <x v="201"/>
    <s v="28/09/2015"/>
    <s v="Standard Class"/>
    <s v="Brian Moss"/>
    <x v="96"/>
    <s v="Yes"/>
    <x v="0"/>
    <s v="San Diego"/>
    <x v="5"/>
    <x v="3"/>
    <x v="222"/>
    <x v="2"/>
    <x v="13"/>
    <n v="435.99900000000002"/>
  </r>
  <r>
    <x v="3"/>
    <n v="100454"/>
    <x v="202"/>
    <s v="25/11/2016"/>
    <s v="Standard Class"/>
    <s v="Brian Moss"/>
    <x v="96"/>
    <s v="Yes"/>
    <x v="0"/>
    <s v="New York City"/>
    <x v="3"/>
    <x v="0"/>
    <x v="223"/>
    <x v="0"/>
    <x v="0"/>
    <n v="60.45"/>
  </r>
  <r>
    <x v="0"/>
    <n v="152912"/>
    <x v="203"/>
    <s v="12/11/2018"/>
    <s v="Second Class"/>
    <s v="Brian Moss"/>
    <x v="96"/>
    <s v="Yes"/>
    <x v="0"/>
    <s v="Columbia"/>
    <x v="31"/>
    <x v="0"/>
    <x v="224"/>
    <x v="0"/>
    <x v="7"/>
    <n v="9.64"/>
  </r>
  <r>
    <x v="3"/>
    <n v="126725"/>
    <x v="204"/>
    <s v="21/11/2016"/>
    <s v="Standard Class"/>
    <s v="Brian Stugart"/>
    <x v="97"/>
    <s v="No"/>
    <x v="2"/>
    <s v="San Diego"/>
    <x v="5"/>
    <x v="3"/>
    <x v="225"/>
    <x v="1"/>
    <x v="9"/>
    <n v="415.96800000000002"/>
  </r>
  <r>
    <x v="0"/>
    <n v="161193"/>
    <x v="205"/>
    <s v="26/11/2018"/>
    <s v="Standard Class"/>
    <s v="Brian Thompson"/>
    <x v="98"/>
    <s v="Yes"/>
    <x v="2"/>
    <s v="Newark"/>
    <x v="21"/>
    <x v="0"/>
    <x v="226"/>
    <x v="2"/>
    <x v="6"/>
    <n v="77.599999999999994"/>
  </r>
  <r>
    <x v="2"/>
    <n v="123358"/>
    <x v="206"/>
    <s v="17/04/2017"/>
    <s v="Standard Class"/>
    <s v="Brian Thompson"/>
    <x v="98"/>
    <s v="Yes"/>
    <x v="2"/>
    <s v="San Francisco"/>
    <x v="5"/>
    <x v="3"/>
    <x v="227"/>
    <x v="0"/>
    <x v="12"/>
    <n v="113.76"/>
  </r>
  <r>
    <x v="1"/>
    <n v="121629"/>
    <x v="207"/>
    <s v="02/12/2015"/>
    <s v="Standard Class"/>
    <s v="Brian Thompson"/>
    <x v="98"/>
    <s v="Yes"/>
    <x v="2"/>
    <s v="Houston"/>
    <x v="1"/>
    <x v="1"/>
    <x v="228"/>
    <x v="1"/>
    <x v="1"/>
    <n v="998.85"/>
  </r>
  <r>
    <x v="2"/>
    <n v="153682"/>
    <x v="208"/>
    <s v="01/06/2017"/>
    <s v="First Class"/>
    <s v="Brooke Gillingham"/>
    <x v="99"/>
    <s v="No"/>
    <x v="0"/>
    <s v="Cincinnati"/>
    <x v="21"/>
    <x v="0"/>
    <x v="229"/>
    <x v="1"/>
    <x v="11"/>
    <n v="839.98800000000006"/>
  </r>
  <r>
    <x v="3"/>
    <n v="149300"/>
    <x v="78"/>
    <s v="23/11/2016"/>
    <s v="First Class"/>
    <s v="Brosina Hoffman"/>
    <x v="100"/>
    <s v="Yes"/>
    <x v="2"/>
    <s v="Hialeah"/>
    <x v="17"/>
    <x v="2"/>
    <x v="230"/>
    <x v="1"/>
    <x v="1"/>
    <n v="32.984999999999999"/>
  </r>
  <r>
    <x v="1"/>
    <n v="115812"/>
    <x v="209"/>
    <s v="14/06/2015"/>
    <s v="Standard Class"/>
    <s v="Brosina Hoffman"/>
    <x v="100"/>
    <s v="Yes"/>
    <x v="2"/>
    <s v="Los Angeles"/>
    <x v="5"/>
    <x v="3"/>
    <x v="231"/>
    <x v="2"/>
    <x v="6"/>
    <n v="48.86"/>
  </r>
  <r>
    <x v="3"/>
    <n v="128139"/>
    <x v="210"/>
    <s v="09/07/2016"/>
    <s v="Standard Class"/>
    <s v="Bruce Degenhardt"/>
    <x v="101"/>
    <s v="No"/>
    <x v="2"/>
    <s v="Richmond"/>
    <x v="12"/>
    <x v="2"/>
    <x v="232"/>
    <x v="2"/>
    <x v="10"/>
    <n v="70.98"/>
  </r>
  <r>
    <x v="1"/>
    <n v="103373"/>
    <x v="211"/>
    <s v="24/05/2015"/>
    <s v="Standard Class"/>
    <s v="Bruce Stewart"/>
    <x v="102"/>
    <s v="Yes"/>
    <x v="2"/>
    <s v="Cleveland"/>
    <x v="21"/>
    <x v="0"/>
    <x v="233"/>
    <x v="1"/>
    <x v="9"/>
    <n v="779.79600000000005"/>
  </r>
  <r>
    <x v="0"/>
    <n v="130631"/>
    <x v="212"/>
    <s v="02/01/2019"/>
    <s v="Standard Class"/>
    <s v="Bruce Stewart"/>
    <x v="102"/>
    <s v="Yes"/>
    <x v="2"/>
    <s v="Edmonds"/>
    <x v="15"/>
    <x v="3"/>
    <x v="234"/>
    <x v="0"/>
    <x v="15"/>
    <n v="19.600000000000001"/>
  </r>
  <r>
    <x v="1"/>
    <n v="133690"/>
    <x v="167"/>
    <s v="05/08/2015"/>
    <s v="First Class"/>
    <s v="Bruce Stewart"/>
    <x v="102"/>
    <s v="Yes"/>
    <x v="2"/>
    <s v="Denver"/>
    <x v="20"/>
    <x v="3"/>
    <x v="235"/>
    <x v="2"/>
    <x v="14"/>
    <n v="218.75"/>
  </r>
  <r>
    <x v="2"/>
    <n v="124667"/>
    <x v="194"/>
    <s v="16/11/2017"/>
    <s v="Standard Class"/>
    <s v="Bryan Davis"/>
    <x v="103"/>
    <s v="Yes"/>
    <x v="2"/>
    <s v="New York City"/>
    <x v="3"/>
    <x v="0"/>
    <x v="236"/>
    <x v="1"/>
    <x v="4"/>
    <n v="59.97"/>
  </r>
  <r>
    <x v="2"/>
    <n v="148698"/>
    <x v="213"/>
    <s v="07/05/2017"/>
    <s v="Standard Class"/>
    <s v="Bryan Davis"/>
    <x v="103"/>
    <s v="Yes"/>
    <x v="2"/>
    <s v="Houston"/>
    <x v="1"/>
    <x v="1"/>
    <x v="237"/>
    <x v="0"/>
    <x v="0"/>
    <n v="86.352000000000004"/>
  </r>
  <r>
    <x v="3"/>
    <n v="157014"/>
    <x v="214"/>
    <s v="06/10/2016"/>
    <s v="Second Class"/>
    <s v="Bryan Mills"/>
    <x v="104"/>
    <s v="Yes"/>
    <x v="2"/>
    <s v="Columbus"/>
    <x v="21"/>
    <x v="0"/>
    <x v="238"/>
    <x v="0"/>
    <x v="7"/>
    <n v="32.07"/>
  </r>
  <r>
    <x v="2"/>
    <n v="101966"/>
    <x v="215"/>
    <s v="16/07/2017"/>
    <s v="Second Class"/>
    <s v="Bryan Mills"/>
    <x v="104"/>
    <s v="Yes"/>
    <x v="2"/>
    <s v="Houston"/>
    <x v="1"/>
    <x v="1"/>
    <x v="239"/>
    <x v="1"/>
    <x v="9"/>
    <n v="419.94400000000002"/>
  </r>
  <r>
    <x v="2"/>
    <n v="105473"/>
    <x v="181"/>
    <s v="18/04/2017"/>
    <s v="Second Class"/>
    <s v="Bryan Mills"/>
    <x v="104"/>
    <s v="Yes"/>
    <x v="2"/>
    <s v="Seattle"/>
    <x v="15"/>
    <x v="3"/>
    <x v="240"/>
    <x v="0"/>
    <x v="5"/>
    <n v="28.8"/>
  </r>
  <r>
    <x v="1"/>
    <n v="133270"/>
    <x v="216"/>
    <s v="09/06/2015"/>
    <s v="First Class"/>
    <s v="Bryan Mills"/>
    <x v="104"/>
    <s v="Yes"/>
    <x v="2"/>
    <s v="Rochester"/>
    <x v="3"/>
    <x v="0"/>
    <x v="241"/>
    <x v="0"/>
    <x v="0"/>
    <n v="13.36"/>
  </r>
  <r>
    <x v="3"/>
    <n v="122371"/>
    <x v="217"/>
    <s v="01/10/2016"/>
    <s v="Standard Class"/>
    <s v="Bryan Spruell"/>
    <x v="105"/>
    <s v="Yes"/>
    <x v="1"/>
    <s v="San Diego"/>
    <x v="5"/>
    <x v="3"/>
    <x v="242"/>
    <x v="0"/>
    <x v="3"/>
    <n v="64.17"/>
  </r>
  <r>
    <x v="0"/>
    <n v="135279"/>
    <x v="218"/>
    <s v="11/04/2018"/>
    <s v="First Class"/>
    <s v="Bryan Spruell"/>
    <x v="105"/>
    <s v="Yes"/>
    <x v="1"/>
    <s v="New York City"/>
    <x v="3"/>
    <x v="0"/>
    <x v="243"/>
    <x v="0"/>
    <x v="8"/>
    <n v="9.82"/>
  </r>
  <r>
    <x v="1"/>
    <n v="151554"/>
    <x v="219"/>
    <s v="15/11/2015"/>
    <s v="First Class"/>
    <s v="Candace McMahon"/>
    <x v="106"/>
    <s v="Yes"/>
    <x v="0"/>
    <s v="Pasadena"/>
    <x v="1"/>
    <x v="1"/>
    <x v="244"/>
    <x v="0"/>
    <x v="2"/>
    <n v="20.736000000000001"/>
  </r>
  <r>
    <x v="2"/>
    <n v="110730"/>
    <x v="220"/>
    <s v="26/09/2017"/>
    <s v="Second Class"/>
    <s v="Candace McMahon"/>
    <x v="106"/>
    <s v="Yes"/>
    <x v="0"/>
    <s v="Seattle"/>
    <x v="15"/>
    <x v="3"/>
    <x v="245"/>
    <x v="0"/>
    <x v="5"/>
    <n v="13.68"/>
  </r>
  <r>
    <x v="0"/>
    <n v="140494"/>
    <x v="221"/>
    <s v="15/03/2018"/>
    <s v="Second Class"/>
    <s v="Candace McMahon"/>
    <x v="106"/>
    <s v="Yes"/>
    <x v="0"/>
    <s v="San Francisco"/>
    <x v="5"/>
    <x v="3"/>
    <x v="246"/>
    <x v="1"/>
    <x v="4"/>
    <n v="111.96"/>
  </r>
  <r>
    <x v="1"/>
    <n v="127383"/>
    <x v="222"/>
    <s v="05/01/2016"/>
    <s v="Standard Class"/>
    <s v="Candace McMahon"/>
    <x v="106"/>
    <s v="Yes"/>
    <x v="0"/>
    <s v="El Paso"/>
    <x v="1"/>
    <x v="1"/>
    <x v="247"/>
    <x v="0"/>
    <x v="16"/>
    <n v="49.567999999999998"/>
  </r>
  <r>
    <x v="0"/>
    <n v="131828"/>
    <x v="223"/>
    <s v="13/02/2018"/>
    <s v="Second Class"/>
    <s v="Cari Sayre"/>
    <x v="107"/>
    <s v="No"/>
    <x v="0"/>
    <s v="Seattle"/>
    <x v="15"/>
    <x v="3"/>
    <x v="248"/>
    <x v="2"/>
    <x v="10"/>
    <n v="963.13599999999997"/>
  </r>
  <r>
    <x v="0"/>
    <n v="158883"/>
    <x v="42"/>
    <s v="03/06/2018"/>
    <s v="Same Day"/>
    <s v="Cari Schnelling"/>
    <x v="108"/>
    <s v="No"/>
    <x v="2"/>
    <s v="Jacksonville"/>
    <x v="2"/>
    <x v="2"/>
    <x v="249"/>
    <x v="0"/>
    <x v="2"/>
    <n v="25.344000000000001"/>
  </r>
  <r>
    <x v="0"/>
    <n v="131583"/>
    <x v="160"/>
    <s v="10/06/2018"/>
    <s v="Same Day"/>
    <s v="Carl Ludwig"/>
    <x v="109"/>
    <s v="Yes"/>
    <x v="2"/>
    <s v="Philadelphia"/>
    <x v="0"/>
    <x v="0"/>
    <x v="250"/>
    <x v="0"/>
    <x v="2"/>
    <n v="40.031999999999996"/>
  </r>
  <r>
    <x v="0"/>
    <n v="121888"/>
    <x v="193"/>
    <s v="17/09/2018"/>
    <s v="Second Class"/>
    <s v="Carl Ludwig"/>
    <x v="109"/>
    <s v="Yes"/>
    <x v="2"/>
    <s v="Everett"/>
    <x v="23"/>
    <x v="0"/>
    <x v="251"/>
    <x v="1"/>
    <x v="9"/>
    <n v="39.99"/>
  </r>
  <r>
    <x v="1"/>
    <n v="133753"/>
    <x v="209"/>
    <s v="13/06/2015"/>
    <s v="Second Class"/>
    <s v="Carl Weiss"/>
    <x v="110"/>
    <s v="Yes"/>
    <x v="1"/>
    <s v="Huntsville"/>
    <x v="1"/>
    <x v="1"/>
    <x v="252"/>
    <x v="1"/>
    <x v="9"/>
    <n v="7.992"/>
  </r>
  <r>
    <x v="3"/>
    <n v="119214"/>
    <x v="224"/>
    <s v="27/01/2016"/>
    <s v="Standard Class"/>
    <s v="Carl Weiss"/>
    <x v="110"/>
    <s v="Yes"/>
    <x v="1"/>
    <s v="Bozeman"/>
    <x v="16"/>
    <x v="3"/>
    <x v="253"/>
    <x v="0"/>
    <x v="2"/>
    <n v="29.04"/>
  </r>
  <r>
    <x v="0"/>
    <n v="152436"/>
    <x v="34"/>
    <s v="10/12/2018"/>
    <s v="Second Class"/>
    <s v="Carl Weiss"/>
    <x v="110"/>
    <s v="Yes"/>
    <x v="1"/>
    <s v="Cranston"/>
    <x v="33"/>
    <x v="0"/>
    <x v="254"/>
    <x v="0"/>
    <x v="3"/>
    <n v="592.74"/>
  </r>
  <r>
    <x v="1"/>
    <n v="147235"/>
    <x v="225"/>
    <s v="28/03/2015"/>
    <s v="Standard Class"/>
    <s v="Carlos Daly"/>
    <x v="111"/>
    <s v="Yes"/>
    <x v="2"/>
    <s v="New York City"/>
    <x v="3"/>
    <x v="0"/>
    <x v="255"/>
    <x v="0"/>
    <x v="2"/>
    <n v="24.9"/>
  </r>
  <r>
    <x v="2"/>
    <n v="122017"/>
    <x v="226"/>
    <s v="02/01/2018"/>
    <s v="Standard Class"/>
    <s v="Carlos Daly"/>
    <x v="111"/>
    <s v="Yes"/>
    <x v="2"/>
    <s v="Wichita"/>
    <x v="36"/>
    <x v="1"/>
    <x v="256"/>
    <x v="2"/>
    <x v="6"/>
    <n v="70.56"/>
  </r>
  <r>
    <x v="3"/>
    <n v="101910"/>
    <x v="227"/>
    <s v="03/12/2016"/>
    <s v="Standard Class"/>
    <s v="Carlos Daly"/>
    <x v="111"/>
    <s v="Yes"/>
    <x v="2"/>
    <s v="Lake Elsinore"/>
    <x v="5"/>
    <x v="3"/>
    <x v="257"/>
    <x v="2"/>
    <x v="10"/>
    <n v="283.92"/>
  </r>
  <r>
    <x v="2"/>
    <n v="135923"/>
    <x v="109"/>
    <s v="28/01/2017"/>
    <s v="Standard Class"/>
    <s v="Carlos Meador"/>
    <x v="112"/>
    <s v="No"/>
    <x v="2"/>
    <s v="Fayetteville"/>
    <x v="2"/>
    <x v="2"/>
    <x v="258"/>
    <x v="2"/>
    <x v="6"/>
    <n v="14.272"/>
  </r>
  <r>
    <x v="1"/>
    <n v="141257"/>
    <x v="228"/>
    <s v="14/06/2015"/>
    <s v="Standard Class"/>
    <s v="Carlos Soltero"/>
    <x v="113"/>
    <s v="Yes"/>
    <x v="2"/>
    <s v="Seattle"/>
    <x v="15"/>
    <x v="3"/>
    <x v="259"/>
    <x v="2"/>
    <x v="10"/>
    <n v="585.55200000000002"/>
  </r>
  <r>
    <x v="0"/>
    <n v="118640"/>
    <x v="229"/>
    <s v="26/07/2018"/>
    <s v="Standard Class"/>
    <s v="Carlos Soltero"/>
    <x v="113"/>
    <s v="Yes"/>
    <x v="2"/>
    <s v="Chicago"/>
    <x v="10"/>
    <x v="1"/>
    <x v="260"/>
    <x v="0"/>
    <x v="3"/>
    <n v="69.712000000000003"/>
  </r>
  <r>
    <x v="3"/>
    <n v="161452"/>
    <x v="230"/>
    <s v="11/04/2016"/>
    <s v="Standard Class"/>
    <s v="Carol Adams"/>
    <x v="114"/>
    <s v="No"/>
    <x v="0"/>
    <s v="Los Angeles"/>
    <x v="5"/>
    <x v="3"/>
    <x v="261"/>
    <x v="2"/>
    <x v="10"/>
    <n v="892.22400000000005"/>
  </r>
  <r>
    <x v="0"/>
    <n v="119438"/>
    <x v="231"/>
    <s v="23/03/2018"/>
    <s v="Standard Class"/>
    <s v="Carol Darley"/>
    <x v="115"/>
    <s v="Yes"/>
    <x v="2"/>
    <s v="Tyler"/>
    <x v="1"/>
    <x v="1"/>
    <x v="262"/>
    <x v="0"/>
    <x v="12"/>
    <n v="2.6880000000000002"/>
  </r>
  <r>
    <x v="2"/>
    <n v="100083"/>
    <x v="65"/>
    <s v="29/11/2017"/>
    <s v="Standard Class"/>
    <s v="Carol Darley"/>
    <x v="115"/>
    <s v="Yes"/>
    <x v="2"/>
    <s v="Medford"/>
    <x v="25"/>
    <x v="3"/>
    <x v="263"/>
    <x v="0"/>
    <x v="2"/>
    <n v="24.783999999999999"/>
  </r>
  <r>
    <x v="0"/>
    <n v="137085"/>
    <x v="232"/>
    <s v="06/07/2018"/>
    <s v="Standard Class"/>
    <s v="Carol Triggs"/>
    <x v="116"/>
    <s v="Yes"/>
    <x v="2"/>
    <s v="Los Angeles"/>
    <x v="5"/>
    <x v="3"/>
    <x v="264"/>
    <x v="0"/>
    <x v="7"/>
    <n v="312.55200000000002"/>
  </r>
  <r>
    <x v="3"/>
    <n v="145849"/>
    <x v="233"/>
    <s v="17/09/2016"/>
    <s v="Second Class"/>
    <s v="Carol Triggs"/>
    <x v="116"/>
    <s v="Yes"/>
    <x v="2"/>
    <s v="Indianapolis"/>
    <x v="11"/>
    <x v="1"/>
    <x v="265"/>
    <x v="0"/>
    <x v="3"/>
    <n v="190.86"/>
  </r>
  <r>
    <x v="2"/>
    <n v="112977"/>
    <x v="234"/>
    <s v="16/03/2017"/>
    <s v="Standard Class"/>
    <s v="Caroline Jumper"/>
    <x v="117"/>
    <s v="Yes"/>
    <x v="2"/>
    <s v="Long Beach"/>
    <x v="3"/>
    <x v="0"/>
    <x v="266"/>
    <x v="2"/>
    <x v="13"/>
    <n v="176.78399999999999"/>
  </r>
  <r>
    <x v="2"/>
    <n v="122392"/>
    <x v="235"/>
    <s v="27/07/2017"/>
    <s v="Standard Class"/>
    <s v="Caroline Jumper"/>
    <x v="117"/>
    <s v="Yes"/>
    <x v="2"/>
    <s v="Allentown"/>
    <x v="0"/>
    <x v="0"/>
    <x v="267"/>
    <x v="0"/>
    <x v="0"/>
    <n v="4.16"/>
  </r>
  <r>
    <x v="0"/>
    <n v="122105"/>
    <x v="236"/>
    <s v="28/06/2018"/>
    <s v="Standard Class"/>
    <s v="Caroline Jumper"/>
    <x v="117"/>
    <s v="Yes"/>
    <x v="2"/>
    <s v="Huntington Beach"/>
    <x v="5"/>
    <x v="3"/>
    <x v="268"/>
    <x v="0"/>
    <x v="0"/>
    <n v="95.92"/>
  </r>
  <r>
    <x v="2"/>
    <n v="161683"/>
    <x v="237"/>
    <s v="08/12/2017"/>
    <s v="Standard Class"/>
    <s v="Caroline Jumper"/>
    <x v="117"/>
    <s v="Yes"/>
    <x v="2"/>
    <s v="Philadelphia"/>
    <x v="0"/>
    <x v="0"/>
    <x v="269"/>
    <x v="0"/>
    <x v="12"/>
    <n v="394.81599999999997"/>
  </r>
  <r>
    <x v="2"/>
    <n v="128818"/>
    <x v="238"/>
    <s v="11/05/2017"/>
    <s v="Standard Class"/>
    <s v="Caroline Jumper"/>
    <x v="117"/>
    <s v="Yes"/>
    <x v="2"/>
    <s v="New York City"/>
    <x v="3"/>
    <x v="0"/>
    <x v="270"/>
    <x v="0"/>
    <x v="7"/>
    <n v="85.231999999999999"/>
  </r>
  <r>
    <x v="0"/>
    <n v="102204"/>
    <x v="239"/>
    <s v="06/05/2018"/>
    <s v="Standard Class"/>
    <s v="Caroline Jumper"/>
    <x v="117"/>
    <s v="Yes"/>
    <x v="2"/>
    <s v="Jacksonville"/>
    <x v="17"/>
    <x v="2"/>
    <x v="271"/>
    <x v="0"/>
    <x v="5"/>
    <n v="3.3279999999999998"/>
  </r>
  <r>
    <x v="1"/>
    <n v="140004"/>
    <x v="240"/>
    <s v="25/03/2015"/>
    <s v="Standard Class"/>
    <s v="Cassandra Brandow"/>
    <x v="118"/>
    <s v="Yes"/>
    <x v="2"/>
    <s v="Hamilton"/>
    <x v="21"/>
    <x v="0"/>
    <x v="272"/>
    <x v="0"/>
    <x v="0"/>
    <n v="7.4080000000000004"/>
  </r>
  <r>
    <x v="0"/>
    <n v="144484"/>
    <x v="241"/>
    <s v="11/09/2018"/>
    <s v="Same Day"/>
    <s v="Cassandra Brandow"/>
    <x v="118"/>
    <s v="Yes"/>
    <x v="2"/>
    <s v="San Francisco"/>
    <x v="5"/>
    <x v="3"/>
    <x v="273"/>
    <x v="2"/>
    <x v="6"/>
    <n v="32.36"/>
  </r>
  <r>
    <x v="2"/>
    <n v="164350"/>
    <x v="242"/>
    <s v="12/09/2017"/>
    <s v="Second Class"/>
    <s v="Catherine Glotzbach"/>
    <x v="119"/>
    <s v="Yes"/>
    <x v="1"/>
    <s v="Bristol"/>
    <x v="18"/>
    <x v="2"/>
    <x v="274"/>
    <x v="0"/>
    <x v="0"/>
    <n v="67.56"/>
  </r>
  <r>
    <x v="0"/>
    <n v="104955"/>
    <x v="243"/>
    <s v="24/03/2018"/>
    <s v="Standard Class"/>
    <s v="Catherine Glotzbach"/>
    <x v="119"/>
    <s v="Yes"/>
    <x v="1"/>
    <s v="New York City"/>
    <x v="3"/>
    <x v="0"/>
    <x v="275"/>
    <x v="0"/>
    <x v="8"/>
    <n v="28.91"/>
  </r>
  <r>
    <x v="2"/>
    <n v="140081"/>
    <x v="244"/>
    <s v="24/06/2017"/>
    <s v="Standard Class"/>
    <s v="Catherine Glotzbach"/>
    <x v="119"/>
    <s v="Yes"/>
    <x v="1"/>
    <s v="Philadelphia"/>
    <x v="0"/>
    <x v="0"/>
    <x v="276"/>
    <x v="0"/>
    <x v="2"/>
    <n v="45.055999999999997"/>
  </r>
  <r>
    <x v="2"/>
    <n v="168081"/>
    <x v="245"/>
    <s v="27/04/2017"/>
    <s v="Second Class"/>
    <s v="Cathy Armstrong"/>
    <x v="120"/>
    <s v="Yes"/>
    <x v="1"/>
    <s v="Houston"/>
    <x v="1"/>
    <x v="1"/>
    <x v="225"/>
    <x v="1"/>
    <x v="4"/>
    <n v="258.69600000000003"/>
  </r>
  <r>
    <x v="2"/>
    <n v="107328"/>
    <x v="246"/>
    <s v="15/08/2017"/>
    <s v="Standard Class"/>
    <s v="Cathy Armstrong"/>
    <x v="120"/>
    <s v="Yes"/>
    <x v="1"/>
    <s v="Los Angeles"/>
    <x v="5"/>
    <x v="3"/>
    <x v="277"/>
    <x v="2"/>
    <x v="14"/>
    <n v="513.024"/>
  </r>
  <r>
    <x v="3"/>
    <n v="123673"/>
    <x v="141"/>
    <s v="01/11/2016"/>
    <s v="Second Class"/>
    <s v="Cathy Hwang"/>
    <x v="121"/>
    <s v="Yes"/>
    <x v="1"/>
    <s v="Detroit"/>
    <x v="34"/>
    <x v="1"/>
    <x v="141"/>
    <x v="1"/>
    <x v="9"/>
    <n v="299.89999999999998"/>
  </r>
  <r>
    <x v="3"/>
    <n v="127110"/>
    <x v="22"/>
    <s v="01/07/2016"/>
    <s v="Standard Class"/>
    <s v="Cathy Hwang"/>
    <x v="121"/>
    <s v="Yes"/>
    <x v="1"/>
    <s v="Philadelphia"/>
    <x v="0"/>
    <x v="0"/>
    <x v="278"/>
    <x v="0"/>
    <x v="2"/>
    <n v="31.103999999999999"/>
  </r>
  <r>
    <x v="2"/>
    <n v="109344"/>
    <x v="247"/>
    <s v="11/02/2017"/>
    <s v="Second Class"/>
    <s v="Cathy Hwang"/>
    <x v="121"/>
    <s v="Yes"/>
    <x v="1"/>
    <s v="Raleigh"/>
    <x v="2"/>
    <x v="2"/>
    <x v="279"/>
    <x v="1"/>
    <x v="9"/>
    <n v="1127.9760000000001"/>
  </r>
  <r>
    <x v="0"/>
    <n v="132430"/>
    <x v="248"/>
    <s v="11/10/2018"/>
    <s v="First Class"/>
    <s v="Cathy Prescott"/>
    <x v="122"/>
    <s v="Yes"/>
    <x v="0"/>
    <s v="Lakewood"/>
    <x v="21"/>
    <x v="0"/>
    <x v="280"/>
    <x v="2"/>
    <x v="6"/>
    <n v="45.887999999999998"/>
  </r>
  <r>
    <x v="1"/>
    <n v="127187"/>
    <x v="249"/>
    <s v="08/12/2015"/>
    <s v="Standard Class"/>
    <s v="Cathy Prescott"/>
    <x v="122"/>
    <s v="Yes"/>
    <x v="0"/>
    <s v="New York City"/>
    <x v="3"/>
    <x v="0"/>
    <x v="76"/>
    <x v="1"/>
    <x v="9"/>
    <n v="129.97999999999999"/>
  </r>
  <r>
    <x v="0"/>
    <n v="167402"/>
    <x v="250"/>
    <s v="18/01/2018"/>
    <s v="Second Class"/>
    <s v="Cathy Prescott"/>
    <x v="122"/>
    <s v="Yes"/>
    <x v="0"/>
    <s v="Springfield"/>
    <x v="9"/>
    <x v="1"/>
    <x v="281"/>
    <x v="0"/>
    <x v="2"/>
    <n v="32.4"/>
  </r>
  <r>
    <x v="2"/>
    <n v="129308"/>
    <x v="251"/>
    <s v="13/07/2017"/>
    <s v="Standard Class"/>
    <s v="Chad Cunningham"/>
    <x v="123"/>
    <s v="Yes"/>
    <x v="1"/>
    <s v="Philadelphia"/>
    <x v="0"/>
    <x v="0"/>
    <x v="282"/>
    <x v="0"/>
    <x v="8"/>
    <n v="10.08"/>
  </r>
  <r>
    <x v="2"/>
    <n v="161781"/>
    <x v="252"/>
    <s v="30/09/2017"/>
    <s v="First Class"/>
    <s v="Chad Cunningham"/>
    <x v="123"/>
    <s v="Yes"/>
    <x v="1"/>
    <s v="Columbus"/>
    <x v="11"/>
    <x v="1"/>
    <x v="283"/>
    <x v="0"/>
    <x v="0"/>
    <n v="40.880000000000003"/>
  </r>
  <r>
    <x v="0"/>
    <n v="100524"/>
    <x v="253"/>
    <s v="02/04/2018"/>
    <s v="Second Class"/>
    <s v="Chad McGuire"/>
    <x v="124"/>
    <s v="No"/>
    <x v="2"/>
    <s v="New York City"/>
    <x v="3"/>
    <x v="0"/>
    <x v="284"/>
    <x v="2"/>
    <x v="6"/>
    <n v="29.78"/>
  </r>
  <r>
    <x v="2"/>
    <n v="144211"/>
    <x v="254"/>
    <s v="02/09/2017"/>
    <s v="Standard Class"/>
    <s v="Chad Sievert"/>
    <x v="125"/>
    <s v="Yes"/>
    <x v="2"/>
    <s v="Englewood"/>
    <x v="20"/>
    <x v="3"/>
    <x v="285"/>
    <x v="0"/>
    <x v="2"/>
    <n v="15.48"/>
  </r>
  <r>
    <x v="1"/>
    <n v="118962"/>
    <x v="255"/>
    <s v="09/08/2015"/>
    <s v="Standard Class"/>
    <s v="Chad Sievert"/>
    <x v="125"/>
    <s v="Yes"/>
    <x v="2"/>
    <s v="Los Angeles"/>
    <x v="5"/>
    <x v="3"/>
    <x v="286"/>
    <x v="0"/>
    <x v="2"/>
    <n v="20.94"/>
  </r>
  <r>
    <x v="3"/>
    <n v="102036"/>
    <x v="256"/>
    <s v="27/09/2016"/>
    <s v="Standard Class"/>
    <s v="Chad Sievert"/>
    <x v="125"/>
    <s v="Yes"/>
    <x v="2"/>
    <s v="Seattle"/>
    <x v="15"/>
    <x v="3"/>
    <x v="287"/>
    <x v="0"/>
    <x v="3"/>
    <n v="199.74"/>
  </r>
  <r>
    <x v="3"/>
    <n v="132906"/>
    <x v="18"/>
    <s v="14/09/2016"/>
    <s v="Standard Class"/>
    <s v="Charles Crestani"/>
    <x v="126"/>
    <s v="Yes"/>
    <x v="2"/>
    <s v="Los Angeles"/>
    <x v="5"/>
    <x v="3"/>
    <x v="288"/>
    <x v="0"/>
    <x v="5"/>
    <n v="51.52"/>
  </r>
  <r>
    <x v="0"/>
    <n v="146185"/>
    <x v="193"/>
    <s v="19/09/2018"/>
    <s v="Standard Class"/>
    <s v="Charles Crestani"/>
    <x v="126"/>
    <s v="Yes"/>
    <x v="2"/>
    <s v="Houston"/>
    <x v="1"/>
    <x v="1"/>
    <x v="289"/>
    <x v="0"/>
    <x v="0"/>
    <n v="31.744"/>
  </r>
  <r>
    <x v="3"/>
    <n v="122623"/>
    <x v="257"/>
    <s v="11/09/2016"/>
    <s v="Standard Class"/>
    <s v="Charles Crestani"/>
    <x v="126"/>
    <s v="Yes"/>
    <x v="2"/>
    <s v="El Paso"/>
    <x v="1"/>
    <x v="1"/>
    <x v="290"/>
    <x v="2"/>
    <x v="10"/>
    <n v="47.515999999999998"/>
  </r>
  <r>
    <x v="3"/>
    <n v="121797"/>
    <x v="258"/>
    <s v="06/02/2016"/>
    <s v="Standard Class"/>
    <s v="Charles Crestani"/>
    <x v="126"/>
    <s v="Yes"/>
    <x v="2"/>
    <s v="Los Angeles"/>
    <x v="5"/>
    <x v="3"/>
    <x v="291"/>
    <x v="2"/>
    <x v="6"/>
    <n v="227.36"/>
  </r>
  <r>
    <x v="0"/>
    <n v="139955"/>
    <x v="259"/>
    <s v="30/09/2018"/>
    <s v="Second Class"/>
    <s v="Charles McCrossin"/>
    <x v="127"/>
    <s v="No"/>
    <x v="2"/>
    <s v="Brownsville"/>
    <x v="1"/>
    <x v="1"/>
    <x v="119"/>
    <x v="0"/>
    <x v="5"/>
    <n v="1.744"/>
  </r>
  <r>
    <x v="2"/>
    <n v="159415"/>
    <x v="260"/>
    <s v="22/04/2017"/>
    <s v="Standard Class"/>
    <s v="Charles Sheldon"/>
    <x v="128"/>
    <s v="Yes"/>
    <x v="0"/>
    <s v="Columbia"/>
    <x v="18"/>
    <x v="2"/>
    <x v="292"/>
    <x v="2"/>
    <x v="6"/>
    <n v="79.12"/>
  </r>
  <r>
    <x v="2"/>
    <n v="157714"/>
    <x v="261"/>
    <s v="01/10/2017"/>
    <s v="Second Class"/>
    <s v="Charles Sheldon"/>
    <x v="128"/>
    <s v="Yes"/>
    <x v="0"/>
    <s v="Iowa City"/>
    <x v="32"/>
    <x v="1"/>
    <x v="237"/>
    <x v="0"/>
    <x v="2"/>
    <n v="9.99"/>
  </r>
  <r>
    <x v="0"/>
    <n v="165386"/>
    <x v="262"/>
    <s v="04/08/2018"/>
    <s v="First Class"/>
    <s v="Charlotte Melton"/>
    <x v="129"/>
    <s v="Yes"/>
    <x v="2"/>
    <s v="Chicago"/>
    <x v="10"/>
    <x v="1"/>
    <x v="293"/>
    <x v="2"/>
    <x v="13"/>
    <n v="183.37200000000001"/>
  </r>
  <r>
    <x v="0"/>
    <n v="118598"/>
    <x v="263"/>
    <s v="16/11/2018"/>
    <s v="Same Day"/>
    <s v="Charlotte Melton"/>
    <x v="129"/>
    <s v="Yes"/>
    <x v="2"/>
    <s v="Utica"/>
    <x v="3"/>
    <x v="0"/>
    <x v="294"/>
    <x v="1"/>
    <x v="9"/>
    <n v="119.94"/>
  </r>
  <r>
    <x v="3"/>
    <n v="158554"/>
    <x v="10"/>
    <s v="09/11/2016"/>
    <s v="Same Day"/>
    <s v="Charlotte Melton"/>
    <x v="129"/>
    <s v="Yes"/>
    <x v="2"/>
    <s v="Philadelphia"/>
    <x v="0"/>
    <x v="0"/>
    <x v="295"/>
    <x v="0"/>
    <x v="2"/>
    <n v="11.352"/>
  </r>
  <r>
    <x v="2"/>
    <n v="140018"/>
    <x v="264"/>
    <s v="26/11/2017"/>
    <s v="Standard Class"/>
    <s v="Chloris Kastensmidt"/>
    <x v="130"/>
    <s v="Yes"/>
    <x v="2"/>
    <s v="Columbus"/>
    <x v="21"/>
    <x v="0"/>
    <x v="296"/>
    <x v="1"/>
    <x v="1"/>
    <n v="30.344999999999999"/>
  </r>
  <r>
    <x v="2"/>
    <n v="100720"/>
    <x v="52"/>
    <s v="21/07/2017"/>
    <s v="Standard Class"/>
    <s v="Chloris Kastensmidt"/>
    <x v="130"/>
    <s v="Yes"/>
    <x v="2"/>
    <s v="Philadelphia"/>
    <x v="0"/>
    <x v="0"/>
    <x v="297"/>
    <x v="1"/>
    <x v="9"/>
    <n v="143.982"/>
  </r>
  <r>
    <x v="1"/>
    <n v="166884"/>
    <x v="265"/>
    <s v="16/03/2015"/>
    <s v="Second Class"/>
    <s v="Chloris Kastensmidt"/>
    <x v="130"/>
    <s v="Yes"/>
    <x v="2"/>
    <s v="Columbus"/>
    <x v="21"/>
    <x v="0"/>
    <x v="298"/>
    <x v="2"/>
    <x v="6"/>
    <n v="8.32"/>
  </r>
  <r>
    <x v="1"/>
    <n v="113929"/>
    <x v="266"/>
    <s v="21/06/2015"/>
    <s v="Standard Class"/>
    <s v="Chloris Kastensmidt"/>
    <x v="130"/>
    <s v="Yes"/>
    <x v="2"/>
    <s v="Hempstead"/>
    <x v="3"/>
    <x v="0"/>
    <x v="299"/>
    <x v="0"/>
    <x v="16"/>
    <n v="41.4"/>
  </r>
  <r>
    <x v="0"/>
    <n v="161410"/>
    <x v="267"/>
    <s v="03/07/2018"/>
    <s v="Standard Class"/>
    <s v="Chris Cortes"/>
    <x v="131"/>
    <s v="Yes"/>
    <x v="2"/>
    <s v="Philadelphia"/>
    <x v="0"/>
    <x v="0"/>
    <x v="300"/>
    <x v="1"/>
    <x v="9"/>
    <n v="358.2"/>
  </r>
  <r>
    <x v="0"/>
    <n v="107888"/>
    <x v="263"/>
    <s v="19/11/2018"/>
    <s v="First Class"/>
    <s v="Chris Cortes"/>
    <x v="131"/>
    <s v="Yes"/>
    <x v="2"/>
    <s v="Seattle"/>
    <x v="15"/>
    <x v="3"/>
    <x v="301"/>
    <x v="0"/>
    <x v="2"/>
    <n v="73.680000000000007"/>
  </r>
  <r>
    <x v="3"/>
    <n v="147879"/>
    <x v="268"/>
    <s v="12/05/2016"/>
    <s v="Standard Class"/>
    <s v="Chris Cortes"/>
    <x v="131"/>
    <s v="Yes"/>
    <x v="2"/>
    <s v="Owensboro"/>
    <x v="12"/>
    <x v="2"/>
    <x v="302"/>
    <x v="0"/>
    <x v="2"/>
    <n v="45.68"/>
  </r>
  <r>
    <x v="2"/>
    <n v="155474"/>
    <x v="269"/>
    <s v="14/07/2017"/>
    <s v="Standard Class"/>
    <s v="Chris Cortes"/>
    <x v="131"/>
    <s v="Yes"/>
    <x v="2"/>
    <s v="Seattle"/>
    <x v="15"/>
    <x v="3"/>
    <x v="96"/>
    <x v="1"/>
    <x v="9"/>
    <n v="107.98399999999999"/>
  </r>
  <r>
    <x v="0"/>
    <n v="152695"/>
    <x v="51"/>
    <s v="10/12/2018"/>
    <s v="Same Day"/>
    <s v="Chris Cortes"/>
    <x v="131"/>
    <s v="Yes"/>
    <x v="2"/>
    <s v="Fairfield"/>
    <x v="28"/>
    <x v="0"/>
    <x v="303"/>
    <x v="0"/>
    <x v="16"/>
    <n v="10.86"/>
  </r>
  <r>
    <x v="2"/>
    <n v="101525"/>
    <x v="270"/>
    <s v="04/05/2017"/>
    <s v="Second Class"/>
    <s v="Chris McAfee"/>
    <x v="132"/>
    <s v="No"/>
    <x v="2"/>
    <s v="Little Rock"/>
    <x v="37"/>
    <x v="2"/>
    <x v="304"/>
    <x v="0"/>
    <x v="2"/>
    <n v="109.92"/>
  </r>
  <r>
    <x v="3"/>
    <n v="121041"/>
    <x v="271"/>
    <s v="10/11/2016"/>
    <s v="Standard Class"/>
    <s v="Chris Selesnick"/>
    <x v="133"/>
    <s v="Yes"/>
    <x v="0"/>
    <s v="Haltom City"/>
    <x v="1"/>
    <x v="1"/>
    <x v="305"/>
    <x v="0"/>
    <x v="16"/>
    <n v="6.6079999999999997"/>
  </r>
  <r>
    <x v="2"/>
    <n v="161095"/>
    <x v="272"/>
    <s v="28/06/2017"/>
    <s v="Same Day"/>
    <s v="Chris Selesnick"/>
    <x v="133"/>
    <s v="Yes"/>
    <x v="0"/>
    <s v="Los Angeles"/>
    <x v="5"/>
    <x v="3"/>
    <x v="306"/>
    <x v="0"/>
    <x v="7"/>
    <n v="7.7519999999999998"/>
  </r>
  <r>
    <x v="3"/>
    <n v="120362"/>
    <x v="273"/>
    <s v="19/09/2016"/>
    <s v="Standard Class"/>
    <s v="Christina Anderson"/>
    <x v="134"/>
    <s v="Yes"/>
    <x v="2"/>
    <s v="Provo"/>
    <x v="19"/>
    <x v="3"/>
    <x v="307"/>
    <x v="2"/>
    <x v="14"/>
    <n v="912.75"/>
  </r>
  <r>
    <x v="0"/>
    <n v="102610"/>
    <x v="274"/>
    <s v="08/11/2018"/>
    <s v="Standard Class"/>
    <s v="Christina Anderson"/>
    <x v="134"/>
    <s v="Yes"/>
    <x v="2"/>
    <s v="Chattanooga"/>
    <x v="18"/>
    <x v="2"/>
    <x v="308"/>
    <x v="1"/>
    <x v="4"/>
    <n v="95.975999999999999"/>
  </r>
  <r>
    <x v="2"/>
    <n v="106894"/>
    <x v="183"/>
    <s v="07/02/2017"/>
    <s v="Same Day"/>
    <s v="Christina Anderson"/>
    <x v="134"/>
    <s v="Yes"/>
    <x v="2"/>
    <s v="Springfield"/>
    <x v="4"/>
    <x v="2"/>
    <x v="309"/>
    <x v="1"/>
    <x v="4"/>
    <n v="100"/>
  </r>
  <r>
    <x v="1"/>
    <n v="111171"/>
    <x v="26"/>
    <s v="31/12/2015"/>
    <s v="Standard Class"/>
    <s v="Christina Anderson"/>
    <x v="134"/>
    <s v="Yes"/>
    <x v="2"/>
    <s v="Chicago"/>
    <x v="10"/>
    <x v="1"/>
    <x v="310"/>
    <x v="0"/>
    <x v="7"/>
    <n v="8.69"/>
  </r>
  <r>
    <x v="0"/>
    <n v="117534"/>
    <x v="275"/>
    <s v="26/03/2018"/>
    <s v="First Class"/>
    <s v="Christina VanderZanden"/>
    <x v="135"/>
    <s v="No"/>
    <x v="2"/>
    <s v="Fresno"/>
    <x v="5"/>
    <x v="3"/>
    <x v="311"/>
    <x v="0"/>
    <x v="12"/>
    <n v="176.04"/>
  </r>
  <r>
    <x v="0"/>
    <n v="145366"/>
    <x v="81"/>
    <s v="13/12/2018"/>
    <s v="Standard Class"/>
    <s v="Christine Abelman"/>
    <x v="136"/>
    <s v="No"/>
    <x v="0"/>
    <s v="Cincinnati"/>
    <x v="21"/>
    <x v="0"/>
    <x v="312"/>
    <x v="0"/>
    <x v="3"/>
    <n v="37.207999999999998"/>
  </r>
  <r>
    <x v="1"/>
    <n v="104472"/>
    <x v="276"/>
    <s v="07/06/2015"/>
    <s v="Standard Class"/>
    <s v="Christine Kargatis"/>
    <x v="137"/>
    <s v="No"/>
    <x v="1"/>
    <s v="Orem"/>
    <x v="19"/>
    <x v="3"/>
    <x v="313"/>
    <x v="0"/>
    <x v="7"/>
    <n v="59.808"/>
  </r>
  <r>
    <x v="2"/>
    <n v="127642"/>
    <x v="277"/>
    <s v="23/05/2017"/>
    <s v="First Class"/>
    <s v="Christine Phan"/>
    <x v="138"/>
    <s v="Yes"/>
    <x v="0"/>
    <s v="Warwick"/>
    <x v="33"/>
    <x v="0"/>
    <x v="314"/>
    <x v="0"/>
    <x v="2"/>
    <n v="111.96"/>
  </r>
  <r>
    <x v="1"/>
    <n v="148838"/>
    <x v="278"/>
    <s v="21/03/2015"/>
    <s v="Standard Class"/>
    <s v="Christine Phan"/>
    <x v="138"/>
    <s v="Yes"/>
    <x v="0"/>
    <s v="New York City"/>
    <x v="3"/>
    <x v="0"/>
    <x v="315"/>
    <x v="2"/>
    <x v="14"/>
    <n v="1579.7460000000001"/>
  </r>
  <r>
    <x v="2"/>
    <n v="108098"/>
    <x v="279"/>
    <s v="18/10/2017"/>
    <s v="Standard Class"/>
    <s v="Christine Phan"/>
    <x v="138"/>
    <s v="Yes"/>
    <x v="0"/>
    <s v="Seattle"/>
    <x v="15"/>
    <x v="3"/>
    <x v="316"/>
    <x v="1"/>
    <x v="4"/>
    <n v="177"/>
  </r>
  <r>
    <x v="0"/>
    <n v="165687"/>
    <x v="280"/>
    <s v="23/11/2018"/>
    <s v="Standard Class"/>
    <s v="Christine Sundaresam"/>
    <x v="139"/>
    <s v="Yes"/>
    <x v="2"/>
    <s v="Salem"/>
    <x v="4"/>
    <x v="2"/>
    <x v="317"/>
    <x v="0"/>
    <x v="12"/>
    <n v="35.04"/>
  </r>
  <r>
    <x v="0"/>
    <n v="124296"/>
    <x v="79"/>
    <s v="28/12/2018"/>
    <s v="Standard Class"/>
    <s v="Christine Sundaresam"/>
    <x v="139"/>
    <s v="Yes"/>
    <x v="2"/>
    <s v="Lafayette"/>
    <x v="27"/>
    <x v="2"/>
    <x v="0"/>
    <x v="1"/>
    <x v="1"/>
    <n v="479.97"/>
  </r>
  <r>
    <x v="1"/>
    <n v="109043"/>
    <x v="281"/>
    <s v="17/08/2015"/>
    <s v="First Class"/>
    <s v="Christine Sundaresam"/>
    <x v="139"/>
    <s v="Yes"/>
    <x v="2"/>
    <s v="Hollywood"/>
    <x v="17"/>
    <x v="2"/>
    <x v="318"/>
    <x v="0"/>
    <x v="2"/>
    <n v="91.36"/>
  </r>
  <r>
    <x v="3"/>
    <n v="145352"/>
    <x v="282"/>
    <s v="22/03/2016"/>
    <s v="Standard Class"/>
    <s v="Christopher Martinez"/>
    <x v="140"/>
    <s v="No"/>
    <x v="2"/>
    <s v="Atlanta"/>
    <x v="7"/>
    <x v="2"/>
    <x v="319"/>
    <x v="0"/>
    <x v="0"/>
    <n v="2.74"/>
  </r>
  <r>
    <x v="0"/>
    <n v="135111"/>
    <x v="283"/>
    <s v="02/01/2019"/>
    <s v="Standard Class"/>
    <s v="Christopher Schild"/>
    <x v="141"/>
    <s v="Yes"/>
    <x v="1"/>
    <s v="Fargo"/>
    <x v="38"/>
    <x v="1"/>
    <x v="320"/>
    <x v="0"/>
    <x v="0"/>
    <n v="2.48"/>
  </r>
  <r>
    <x v="0"/>
    <n v="119662"/>
    <x v="284"/>
    <s v="16/11/2018"/>
    <s v="First Class"/>
    <s v="Christopher Schild"/>
    <x v="141"/>
    <s v="Yes"/>
    <x v="1"/>
    <s v="Chicago"/>
    <x v="10"/>
    <x v="1"/>
    <x v="321"/>
    <x v="0"/>
    <x v="3"/>
    <n v="230.376"/>
  </r>
  <r>
    <x v="2"/>
    <n v="140207"/>
    <x v="46"/>
    <s v="10/11/2017"/>
    <s v="Standard Class"/>
    <s v="Christopher Schild"/>
    <x v="141"/>
    <s v="Yes"/>
    <x v="1"/>
    <s v="San Jose"/>
    <x v="5"/>
    <x v="3"/>
    <x v="322"/>
    <x v="0"/>
    <x v="7"/>
    <n v="29.12"/>
  </r>
  <r>
    <x v="1"/>
    <n v="127586"/>
    <x v="285"/>
    <s v="30/09/2015"/>
    <s v="Standard Class"/>
    <s v="Christopher Schild"/>
    <x v="141"/>
    <s v="Yes"/>
    <x v="1"/>
    <s v="Seattle"/>
    <x v="15"/>
    <x v="3"/>
    <x v="146"/>
    <x v="0"/>
    <x v="3"/>
    <n v="310.12"/>
  </r>
  <r>
    <x v="0"/>
    <n v="100930"/>
    <x v="286"/>
    <s v="12/04/2018"/>
    <s v="Standard Class"/>
    <s v="Christopher Schild"/>
    <x v="141"/>
    <s v="Yes"/>
    <x v="1"/>
    <s v="Tampa"/>
    <x v="17"/>
    <x v="2"/>
    <x v="323"/>
    <x v="2"/>
    <x v="14"/>
    <n v="233.86"/>
  </r>
  <r>
    <x v="2"/>
    <n v="147417"/>
    <x v="287"/>
    <s v="27/07/2017"/>
    <s v="First Class"/>
    <s v="Christy Brittain"/>
    <x v="142"/>
    <s v="No"/>
    <x v="2"/>
    <s v="Columbus"/>
    <x v="21"/>
    <x v="0"/>
    <x v="324"/>
    <x v="1"/>
    <x v="11"/>
    <n v="1439.9760000000001"/>
  </r>
  <r>
    <x v="2"/>
    <n v="118570"/>
    <x v="288"/>
    <s v="17/11/2017"/>
    <s v="Standard Class"/>
    <s v="Chuck Clark"/>
    <x v="143"/>
    <s v="Yes"/>
    <x v="1"/>
    <s v="Philadelphia"/>
    <x v="0"/>
    <x v="0"/>
    <x v="325"/>
    <x v="0"/>
    <x v="2"/>
    <n v="217.05600000000001"/>
  </r>
  <r>
    <x v="0"/>
    <n v="125290"/>
    <x v="289"/>
    <s v="10/11/2018"/>
    <s v="Second Class"/>
    <s v="Chuck Clark"/>
    <x v="143"/>
    <s v="Yes"/>
    <x v="1"/>
    <s v="Minneapolis"/>
    <x v="26"/>
    <x v="1"/>
    <x v="326"/>
    <x v="0"/>
    <x v="0"/>
    <n v="13.9"/>
  </r>
  <r>
    <x v="0"/>
    <n v="126221"/>
    <x v="290"/>
    <s v="05/01/2019"/>
    <s v="Standard Class"/>
    <s v="Chuck Clark"/>
    <x v="143"/>
    <s v="Yes"/>
    <x v="1"/>
    <s v="Columbus"/>
    <x v="11"/>
    <x v="1"/>
    <x v="327"/>
    <x v="0"/>
    <x v="12"/>
    <n v="209.3"/>
  </r>
  <r>
    <x v="2"/>
    <n v="116736"/>
    <x v="291"/>
    <s v="21/01/2017"/>
    <s v="Standard Class"/>
    <s v="Chuck Clark"/>
    <x v="143"/>
    <s v="Yes"/>
    <x v="1"/>
    <s v="Concord"/>
    <x v="6"/>
    <x v="0"/>
    <x v="328"/>
    <x v="2"/>
    <x v="6"/>
    <n v="322.58999999999997"/>
  </r>
  <r>
    <x v="2"/>
    <n v="163384"/>
    <x v="292"/>
    <s v="12/11/2017"/>
    <s v="First Class"/>
    <s v="Chuck Clark"/>
    <x v="143"/>
    <s v="Yes"/>
    <x v="1"/>
    <s v="San Francisco"/>
    <x v="5"/>
    <x v="3"/>
    <x v="329"/>
    <x v="0"/>
    <x v="7"/>
    <n v="13.215999999999999"/>
  </r>
  <r>
    <x v="1"/>
    <n v="133851"/>
    <x v="209"/>
    <s v="16/06/2015"/>
    <s v="Standard Class"/>
    <s v="Chuck Magee"/>
    <x v="144"/>
    <s v="No"/>
    <x v="2"/>
    <s v="San Francisco"/>
    <x v="5"/>
    <x v="3"/>
    <x v="330"/>
    <x v="0"/>
    <x v="5"/>
    <n v="7.36"/>
  </r>
  <r>
    <x v="0"/>
    <n v="126179"/>
    <x v="293"/>
    <s v="07/07/2018"/>
    <s v="Standard Class"/>
    <s v="Chuck Sachs"/>
    <x v="145"/>
    <s v="No"/>
    <x v="2"/>
    <s v="Columbus"/>
    <x v="7"/>
    <x v="2"/>
    <x v="331"/>
    <x v="2"/>
    <x v="6"/>
    <n v="23.99"/>
  </r>
  <r>
    <x v="2"/>
    <n v="155033"/>
    <x v="294"/>
    <s v="12/10/2017"/>
    <s v="Standard Class"/>
    <s v="Cindy Chapman"/>
    <x v="146"/>
    <s v="Yes"/>
    <x v="2"/>
    <s v="Los Angeles"/>
    <x v="5"/>
    <x v="3"/>
    <x v="332"/>
    <x v="0"/>
    <x v="2"/>
    <n v="10.56"/>
  </r>
  <r>
    <x v="2"/>
    <n v="158260"/>
    <x v="44"/>
    <s v="08/11/2017"/>
    <s v="Standard Class"/>
    <s v="Cindy Chapman"/>
    <x v="146"/>
    <s v="Yes"/>
    <x v="2"/>
    <s v="San Diego"/>
    <x v="5"/>
    <x v="3"/>
    <x v="333"/>
    <x v="1"/>
    <x v="1"/>
    <n v="686.4"/>
  </r>
  <r>
    <x v="2"/>
    <n v="100671"/>
    <x v="295"/>
    <s v="04/11/2017"/>
    <s v="First Class"/>
    <s v="Cindy Schnelling"/>
    <x v="147"/>
    <s v="No"/>
    <x v="0"/>
    <s v="Conroe"/>
    <x v="1"/>
    <x v="1"/>
    <x v="334"/>
    <x v="0"/>
    <x v="3"/>
    <n v="111.672"/>
  </r>
  <r>
    <x v="2"/>
    <n v="134208"/>
    <x v="296"/>
    <s v="23/09/2017"/>
    <s v="Standard Class"/>
    <s v="Cindy Stewart"/>
    <x v="148"/>
    <s v="Yes"/>
    <x v="2"/>
    <s v="Columbus"/>
    <x v="7"/>
    <x v="2"/>
    <x v="335"/>
    <x v="1"/>
    <x v="1"/>
    <n v="396"/>
  </r>
  <r>
    <x v="3"/>
    <n v="159380"/>
    <x v="103"/>
    <s v="16/05/2016"/>
    <s v="Standard Class"/>
    <s v="Cindy Stewart"/>
    <x v="148"/>
    <s v="Yes"/>
    <x v="2"/>
    <s v="San Francisco"/>
    <x v="5"/>
    <x v="3"/>
    <x v="336"/>
    <x v="0"/>
    <x v="2"/>
    <n v="12.84"/>
  </r>
  <r>
    <x v="2"/>
    <n v="152156"/>
    <x v="297"/>
    <s v="11/11/2017"/>
    <s v="Second Class"/>
    <s v="Claire Gute"/>
    <x v="149"/>
    <s v="No"/>
    <x v="2"/>
    <s v="Henderson"/>
    <x v="12"/>
    <x v="2"/>
    <x v="337"/>
    <x v="2"/>
    <x v="13"/>
    <n v="261.95999999999998"/>
  </r>
  <r>
    <x v="0"/>
    <n v="136826"/>
    <x v="40"/>
    <s v="20/06/2018"/>
    <s v="Standard Class"/>
    <s v="Claudia Bergmann"/>
    <x v="150"/>
    <s v="Yes"/>
    <x v="0"/>
    <s v="Chapel Hill"/>
    <x v="2"/>
    <x v="2"/>
    <x v="338"/>
    <x v="0"/>
    <x v="0"/>
    <n v="14.016"/>
  </r>
  <r>
    <x v="3"/>
    <n v="113971"/>
    <x v="55"/>
    <s v="14/05/2016"/>
    <s v="Standard Class"/>
    <s v="Claudia Bergmann"/>
    <x v="150"/>
    <s v="Yes"/>
    <x v="0"/>
    <s v="Cuyahoga Falls"/>
    <x v="21"/>
    <x v="0"/>
    <x v="339"/>
    <x v="2"/>
    <x v="6"/>
    <n v="8.3520000000000003"/>
  </r>
  <r>
    <x v="2"/>
    <n v="147585"/>
    <x v="298"/>
    <s v="12/11/2017"/>
    <s v="Standard Class"/>
    <s v="Claudia Bergmann"/>
    <x v="150"/>
    <s v="Yes"/>
    <x v="0"/>
    <s v="San Francisco"/>
    <x v="5"/>
    <x v="3"/>
    <x v="340"/>
    <x v="2"/>
    <x v="6"/>
    <n v="14.82"/>
  </r>
  <r>
    <x v="3"/>
    <n v="111094"/>
    <x v="299"/>
    <s v="13/07/2016"/>
    <s v="Standard Class"/>
    <s v="Claudia Bergmann"/>
    <x v="150"/>
    <s v="Yes"/>
    <x v="0"/>
    <s v="Franklin"/>
    <x v="23"/>
    <x v="0"/>
    <x v="341"/>
    <x v="0"/>
    <x v="2"/>
    <n v="6.58"/>
  </r>
  <r>
    <x v="3"/>
    <n v="104514"/>
    <x v="300"/>
    <s v="04/01/2016"/>
    <s v="Second Class"/>
    <s v="Claudia Bergmann"/>
    <x v="150"/>
    <s v="Yes"/>
    <x v="0"/>
    <s v="Newark"/>
    <x v="39"/>
    <x v="0"/>
    <x v="134"/>
    <x v="0"/>
    <x v="3"/>
    <n v="85.52"/>
  </r>
  <r>
    <x v="0"/>
    <n v="123071"/>
    <x v="301"/>
    <s v="06/12/2018"/>
    <s v="First Class"/>
    <s v="Clay Cheatham"/>
    <x v="151"/>
    <s v="Yes"/>
    <x v="2"/>
    <s v="Plano"/>
    <x v="1"/>
    <x v="1"/>
    <x v="342"/>
    <x v="0"/>
    <x v="2"/>
    <n v="10.368"/>
  </r>
  <r>
    <x v="0"/>
    <n v="118542"/>
    <x v="302"/>
    <s v="05/12/2018"/>
    <s v="Standard Class"/>
    <s v="Clay Cheatham"/>
    <x v="151"/>
    <s v="Yes"/>
    <x v="2"/>
    <s v="Los Angeles"/>
    <x v="5"/>
    <x v="3"/>
    <x v="343"/>
    <x v="0"/>
    <x v="2"/>
    <n v="45.36"/>
  </r>
  <r>
    <x v="1"/>
    <n v="116239"/>
    <x v="303"/>
    <s v="04/03/2015"/>
    <s v="Same Day"/>
    <s v="Clay Ludtke"/>
    <x v="152"/>
    <s v="Yes"/>
    <x v="2"/>
    <s v="Columbia"/>
    <x v="40"/>
    <x v="2"/>
    <x v="344"/>
    <x v="0"/>
    <x v="3"/>
    <n v="354.9"/>
  </r>
  <r>
    <x v="2"/>
    <n v="128867"/>
    <x v="304"/>
    <s v="10/11/2017"/>
    <s v="Standard Class"/>
    <s v="Clay Ludtke"/>
    <x v="152"/>
    <s v="Yes"/>
    <x v="2"/>
    <s v="Urbandale"/>
    <x v="32"/>
    <x v="1"/>
    <x v="250"/>
    <x v="0"/>
    <x v="0"/>
    <n v="75.959999999999994"/>
  </r>
  <r>
    <x v="2"/>
    <n v="106530"/>
    <x v="305"/>
    <s v="08/05/2017"/>
    <s v="Same Day"/>
    <s v="Clay Ludtke"/>
    <x v="152"/>
    <s v="Yes"/>
    <x v="2"/>
    <s v="Cleveland"/>
    <x v="21"/>
    <x v="0"/>
    <x v="345"/>
    <x v="0"/>
    <x v="3"/>
    <n v="1006.056"/>
  </r>
  <r>
    <x v="0"/>
    <n v="129567"/>
    <x v="306"/>
    <s v="21/03/2018"/>
    <s v="Second Class"/>
    <s v="Clay Ludtke"/>
    <x v="152"/>
    <s v="Yes"/>
    <x v="2"/>
    <s v="Lancaster"/>
    <x v="5"/>
    <x v="3"/>
    <x v="346"/>
    <x v="0"/>
    <x v="7"/>
    <n v="17.456"/>
  </r>
  <r>
    <x v="0"/>
    <n v="100902"/>
    <x v="280"/>
    <s v="21/11/2018"/>
    <s v="Standard Class"/>
    <s v="Clytie Kelty"/>
    <x v="153"/>
    <s v="Yes"/>
    <x v="2"/>
    <s v="Charlotte"/>
    <x v="2"/>
    <x v="2"/>
    <x v="347"/>
    <x v="0"/>
    <x v="2"/>
    <n v="268.24"/>
  </r>
  <r>
    <x v="0"/>
    <n v="138611"/>
    <x v="307"/>
    <s v="17/11/2018"/>
    <s v="Second Class"/>
    <s v="Clytie Kelty"/>
    <x v="153"/>
    <s v="Yes"/>
    <x v="2"/>
    <s v="Grove City"/>
    <x v="21"/>
    <x v="0"/>
    <x v="348"/>
    <x v="1"/>
    <x v="9"/>
    <n v="119.94"/>
  </r>
  <r>
    <x v="1"/>
    <n v="106264"/>
    <x v="26"/>
    <s v="30/12/2015"/>
    <s v="Standard Class"/>
    <s v="Clytie Kelty"/>
    <x v="153"/>
    <s v="Yes"/>
    <x v="2"/>
    <s v="San Diego"/>
    <x v="5"/>
    <x v="3"/>
    <x v="349"/>
    <x v="0"/>
    <x v="5"/>
    <n v="11.91"/>
  </r>
  <r>
    <x v="1"/>
    <n v="124688"/>
    <x v="308"/>
    <s v="29/08/2015"/>
    <s v="First Class"/>
    <s v="Corey Catlett"/>
    <x v="154"/>
    <s v="Yes"/>
    <x v="0"/>
    <s v="Springfield"/>
    <x v="4"/>
    <x v="2"/>
    <x v="350"/>
    <x v="1"/>
    <x v="9"/>
    <n v="579.95000000000005"/>
  </r>
  <r>
    <x v="2"/>
    <n v="157707"/>
    <x v="309"/>
    <s v="12/10/2017"/>
    <s v="First Class"/>
    <s v="Corey Catlett"/>
    <x v="154"/>
    <s v="Yes"/>
    <x v="0"/>
    <s v="Denver"/>
    <x v="20"/>
    <x v="3"/>
    <x v="351"/>
    <x v="2"/>
    <x v="13"/>
    <n v="90.882000000000005"/>
  </r>
  <r>
    <x v="3"/>
    <n v="132507"/>
    <x v="310"/>
    <s v="03/08/2016"/>
    <s v="Second Class"/>
    <s v="Corey Catlett"/>
    <x v="154"/>
    <s v="Yes"/>
    <x v="0"/>
    <s v="Houston"/>
    <x v="1"/>
    <x v="1"/>
    <x v="352"/>
    <x v="0"/>
    <x v="3"/>
    <n v="61.792000000000002"/>
  </r>
  <r>
    <x v="1"/>
    <n v="111003"/>
    <x v="311"/>
    <s v="06/06/2015"/>
    <s v="Standard Class"/>
    <s v="Corey Roper"/>
    <x v="155"/>
    <s v="No"/>
    <x v="1"/>
    <s v="Lakewood"/>
    <x v="35"/>
    <x v="0"/>
    <x v="353"/>
    <x v="0"/>
    <x v="7"/>
    <n v="45.48"/>
  </r>
  <r>
    <x v="1"/>
    <n v="136280"/>
    <x v="312"/>
    <s v="06/12/2015"/>
    <s v="Standard Class"/>
    <s v="Corey-Lock"/>
    <x v="156"/>
    <s v="No"/>
    <x v="2"/>
    <s v="Philadelphia"/>
    <x v="0"/>
    <x v="0"/>
    <x v="354"/>
    <x v="0"/>
    <x v="8"/>
    <n v="5.04"/>
  </r>
  <r>
    <x v="0"/>
    <n v="113418"/>
    <x v="313"/>
    <s v="03/10/2018"/>
    <s v="First Class"/>
    <s v="Corinna Mitchell"/>
    <x v="157"/>
    <s v="Yes"/>
    <x v="1"/>
    <s v="New York City"/>
    <x v="3"/>
    <x v="0"/>
    <x v="355"/>
    <x v="1"/>
    <x v="1"/>
    <n v="1704.89"/>
  </r>
  <r>
    <x v="3"/>
    <n v="140410"/>
    <x v="271"/>
    <s v="07/11/2016"/>
    <s v="Standard Class"/>
    <s v="Corinna Mitchell"/>
    <x v="157"/>
    <s v="Yes"/>
    <x v="1"/>
    <s v="Los Angeles"/>
    <x v="5"/>
    <x v="3"/>
    <x v="356"/>
    <x v="1"/>
    <x v="9"/>
    <n v="1212.848"/>
  </r>
  <r>
    <x v="2"/>
    <n v="169026"/>
    <x v="246"/>
    <s v="13/08/2017"/>
    <s v="Standard Class"/>
    <s v="Corinna Mitchell"/>
    <x v="157"/>
    <s v="Yes"/>
    <x v="1"/>
    <s v="Jackson"/>
    <x v="41"/>
    <x v="2"/>
    <x v="357"/>
    <x v="0"/>
    <x v="15"/>
    <n v="23.34"/>
  </r>
  <r>
    <x v="2"/>
    <n v="113677"/>
    <x v="288"/>
    <s v="19/11/2017"/>
    <s v="Standard Class"/>
    <s v="Corinna Mitchell"/>
    <x v="157"/>
    <s v="Yes"/>
    <x v="1"/>
    <s v="New York City"/>
    <x v="3"/>
    <x v="0"/>
    <x v="358"/>
    <x v="1"/>
    <x v="9"/>
    <n v="2279.96"/>
  </r>
  <r>
    <x v="2"/>
    <n v="167759"/>
    <x v="48"/>
    <s v="08/03/2017"/>
    <s v="Second Class"/>
    <s v="Craig Carreira"/>
    <x v="158"/>
    <s v="Yes"/>
    <x v="2"/>
    <s v="Bloomington"/>
    <x v="11"/>
    <x v="1"/>
    <x v="359"/>
    <x v="1"/>
    <x v="9"/>
    <n v="134.85"/>
  </r>
  <r>
    <x v="2"/>
    <n v="152121"/>
    <x v="314"/>
    <s v="29/11/2017"/>
    <s v="Second Class"/>
    <s v="Craig Carreira"/>
    <x v="158"/>
    <s v="Yes"/>
    <x v="2"/>
    <s v="Scottsdale"/>
    <x v="13"/>
    <x v="3"/>
    <x v="360"/>
    <x v="1"/>
    <x v="9"/>
    <n v="271.99200000000002"/>
  </r>
  <r>
    <x v="0"/>
    <n v="163139"/>
    <x v="302"/>
    <s v="03/12/2018"/>
    <s v="Second Class"/>
    <s v="Craig Carreira"/>
    <x v="158"/>
    <s v="Yes"/>
    <x v="2"/>
    <s v="New York City"/>
    <x v="3"/>
    <x v="0"/>
    <x v="361"/>
    <x v="1"/>
    <x v="4"/>
    <n v="20.37"/>
  </r>
  <r>
    <x v="2"/>
    <n v="100419"/>
    <x v="315"/>
    <s v="20/12/2017"/>
    <s v="Second Class"/>
    <s v="Craig Carreira"/>
    <x v="158"/>
    <s v="Yes"/>
    <x v="2"/>
    <s v="Chicago"/>
    <x v="10"/>
    <x v="1"/>
    <x v="362"/>
    <x v="0"/>
    <x v="7"/>
    <n v="4.7880000000000003"/>
  </r>
  <r>
    <x v="3"/>
    <n v="109190"/>
    <x v="316"/>
    <s v="28/10/2016"/>
    <s v="Standard Class"/>
    <s v="Craig Carroll"/>
    <x v="159"/>
    <s v="No"/>
    <x v="2"/>
    <s v="Lubbock"/>
    <x v="1"/>
    <x v="1"/>
    <x v="363"/>
    <x v="0"/>
    <x v="2"/>
    <n v="60.735999999999997"/>
  </r>
  <r>
    <x v="1"/>
    <n v="103492"/>
    <x v="317"/>
    <s v="15/10/2015"/>
    <s v="Standard Class"/>
    <s v="Craig Molinari"/>
    <x v="160"/>
    <s v="No"/>
    <x v="0"/>
    <s v="Huntsville"/>
    <x v="1"/>
    <x v="1"/>
    <x v="364"/>
    <x v="1"/>
    <x v="9"/>
    <n v="719.952"/>
  </r>
  <r>
    <x v="2"/>
    <n v="137239"/>
    <x v="318"/>
    <s v="28/08/2017"/>
    <s v="Standard Class"/>
    <s v="Craig Reiter"/>
    <x v="161"/>
    <s v="Yes"/>
    <x v="2"/>
    <s v="Columbus"/>
    <x v="21"/>
    <x v="0"/>
    <x v="109"/>
    <x v="0"/>
    <x v="12"/>
    <n v="113.55200000000001"/>
  </r>
  <r>
    <x v="2"/>
    <n v="164035"/>
    <x v="319"/>
    <s v="17/06/2017"/>
    <s v="Standard Class"/>
    <s v="Craig Reiter"/>
    <x v="161"/>
    <s v="Yes"/>
    <x v="2"/>
    <s v="Chicago"/>
    <x v="10"/>
    <x v="1"/>
    <x v="184"/>
    <x v="0"/>
    <x v="2"/>
    <n v="23.12"/>
  </r>
  <r>
    <x v="2"/>
    <n v="166163"/>
    <x v="320"/>
    <s v="20/08/2017"/>
    <s v="Second Class"/>
    <s v="Craig Yedwab"/>
    <x v="162"/>
    <s v="No"/>
    <x v="0"/>
    <s v="Oakland"/>
    <x v="5"/>
    <x v="3"/>
    <x v="365"/>
    <x v="1"/>
    <x v="9"/>
    <n v="71.975999999999999"/>
  </r>
  <r>
    <x v="1"/>
    <n v="107755"/>
    <x v="321"/>
    <s v="12/02/2015"/>
    <s v="Standard Class"/>
    <s v="Cyma Kinney"/>
    <x v="163"/>
    <s v="Yes"/>
    <x v="0"/>
    <s v="Linden"/>
    <x v="35"/>
    <x v="0"/>
    <x v="366"/>
    <x v="1"/>
    <x v="4"/>
    <n v="115.36"/>
  </r>
  <r>
    <x v="0"/>
    <n v="117247"/>
    <x v="248"/>
    <s v="14/10/2018"/>
    <s v="Standard Class"/>
    <s v="Cyma Kinney"/>
    <x v="163"/>
    <s v="Yes"/>
    <x v="0"/>
    <s v="Aurora"/>
    <x v="10"/>
    <x v="1"/>
    <x v="367"/>
    <x v="2"/>
    <x v="14"/>
    <n v="652.45000000000005"/>
  </r>
  <r>
    <x v="1"/>
    <n v="145576"/>
    <x v="133"/>
    <s v="18/09/2015"/>
    <s v="Second Class"/>
    <s v="Cynthia Arntzen"/>
    <x v="164"/>
    <s v="Yes"/>
    <x v="2"/>
    <s v="Tampa"/>
    <x v="17"/>
    <x v="2"/>
    <x v="368"/>
    <x v="0"/>
    <x v="12"/>
    <n v="13"/>
  </r>
  <r>
    <x v="1"/>
    <n v="140858"/>
    <x v="322"/>
    <s v="02/07/2015"/>
    <s v="Standard Class"/>
    <s v="Cynthia Arntzen"/>
    <x v="164"/>
    <s v="Yes"/>
    <x v="2"/>
    <s v="Philadelphia"/>
    <x v="0"/>
    <x v="0"/>
    <x v="369"/>
    <x v="0"/>
    <x v="2"/>
    <n v="41.472000000000001"/>
  </r>
  <r>
    <x v="3"/>
    <n v="140200"/>
    <x v="323"/>
    <s v="28/07/2016"/>
    <s v="First Class"/>
    <s v="Cynthia Arntzen"/>
    <x v="164"/>
    <s v="Yes"/>
    <x v="2"/>
    <s v="Mesa"/>
    <x v="13"/>
    <x v="3"/>
    <x v="370"/>
    <x v="2"/>
    <x v="14"/>
    <n v="393.16500000000002"/>
  </r>
  <r>
    <x v="2"/>
    <n v="132857"/>
    <x v="114"/>
    <s v="17/12/2017"/>
    <s v="Standard Class"/>
    <s v="Cynthia Arntzen"/>
    <x v="164"/>
    <s v="Yes"/>
    <x v="2"/>
    <s v="Smyrna"/>
    <x v="18"/>
    <x v="2"/>
    <x v="371"/>
    <x v="0"/>
    <x v="0"/>
    <n v="6.6719999999999997"/>
  </r>
  <r>
    <x v="2"/>
    <n v="124352"/>
    <x v="324"/>
    <s v="21/10/2017"/>
    <s v="Standard Class"/>
    <s v="Cynthia Delaney"/>
    <x v="165"/>
    <s v="Yes"/>
    <x v="1"/>
    <s v="Oklahoma City"/>
    <x v="14"/>
    <x v="1"/>
    <x v="372"/>
    <x v="0"/>
    <x v="8"/>
    <n v="20.16"/>
  </r>
  <r>
    <x v="3"/>
    <n v="149972"/>
    <x v="256"/>
    <s v="23/09/2016"/>
    <s v="First Class"/>
    <s v="Cynthia Delaney"/>
    <x v="165"/>
    <s v="Yes"/>
    <x v="1"/>
    <s v="Los Angeles"/>
    <x v="5"/>
    <x v="3"/>
    <x v="373"/>
    <x v="2"/>
    <x v="10"/>
    <n v="601.53599999999994"/>
  </r>
  <r>
    <x v="1"/>
    <n v="139857"/>
    <x v="325"/>
    <s v="06/02/2015"/>
    <s v="Standard Class"/>
    <s v="Cynthia Delaney"/>
    <x v="165"/>
    <s v="Yes"/>
    <x v="1"/>
    <s v="San Diego"/>
    <x v="5"/>
    <x v="3"/>
    <x v="374"/>
    <x v="0"/>
    <x v="15"/>
    <n v="12.35"/>
  </r>
  <r>
    <x v="0"/>
    <n v="157252"/>
    <x v="326"/>
    <s v="23/01/2018"/>
    <s v="Second Class"/>
    <s v="Cynthia Voltz"/>
    <x v="166"/>
    <s v="Yes"/>
    <x v="0"/>
    <s v="New York City"/>
    <x v="3"/>
    <x v="0"/>
    <x v="375"/>
    <x v="2"/>
    <x v="10"/>
    <n v="207.846"/>
  </r>
  <r>
    <x v="0"/>
    <n v="164707"/>
    <x v="327"/>
    <s v="21/02/2018"/>
    <s v="Second Class"/>
    <s v="Cynthia Voltz"/>
    <x v="166"/>
    <s v="Yes"/>
    <x v="0"/>
    <s v="Los Angeles"/>
    <x v="5"/>
    <x v="3"/>
    <x v="376"/>
    <x v="1"/>
    <x v="9"/>
    <n v="167.976"/>
  </r>
  <r>
    <x v="0"/>
    <n v="146780"/>
    <x v="328"/>
    <s v="30/12/2018"/>
    <s v="Standard Class"/>
    <s v="Cynthia Voltz"/>
    <x v="166"/>
    <s v="Yes"/>
    <x v="0"/>
    <s v="New York City"/>
    <x v="3"/>
    <x v="0"/>
    <x v="153"/>
    <x v="2"/>
    <x v="6"/>
    <n v="41.96"/>
  </r>
  <r>
    <x v="2"/>
    <n v="120859"/>
    <x v="329"/>
    <s v="04/09/2017"/>
    <s v="First Class"/>
    <s v="Cynthia Voltz"/>
    <x v="166"/>
    <s v="Yes"/>
    <x v="0"/>
    <s v="San Francisco"/>
    <x v="5"/>
    <x v="3"/>
    <x v="377"/>
    <x v="0"/>
    <x v="16"/>
    <n v="21.88"/>
  </r>
  <r>
    <x v="0"/>
    <n v="159149"/>
    <x v="330"/>
    <s v="19/02/2018"/>
    <s v="First Class"/>
    <s v="Cyra Reiten"/>
    <x v="167"/>
    <s v="No"/>
    <x v="1"/>
    <s v="Houston"/>
    <x v="1"/>
    <x v="1"/>
    <x v="378"/>
    <x v="2"/>
    <x v="13"/>
    <n v="89.066400000000002"/>
  </r>
  <r>
    <x v="3"/>
    <n v="164448"/>
    <x v="331"/>
    <s v="04/11/2016"/>
    <s v="Second Class"/>
    <s v="Damala Kotsonis"/>
    <x v="168"/>
    <s v="Yes"/>
    <x v="0"/>
    <s v="Salinas"/>
    <x v="5"/>
    <x v="3"/>
    <x v="379"/>
    <x v="0"/>
    <x v="7"/>
    <n v="9.7279999999999998"/>
  </r>
  <r>
    <x v="0"/>
    <n v="149489"/>
    <x v="332"/>
    <s v="27/04/2018"/>
    <s v="First Class"/>
    <s v="Damala Kotsonis"/>
    <x v="168"/>
    <s v="Yes"/>
    <x v="0"/>
    <s v="Philadelphia"/>
    <x v="0"/>
    <x v="0"/>
    <x v="380"/>
    <x v="0"/>
    <x v="12"/>
    <n v="99.28"/>
  </r>
  <r>
    <x v="2"/>
    <n v="161844"/>
    <x v="333"/>
    <s v="14/12/2017"/>
    <s v="Second Class"/>
    <s v="Damala Kotsonis"/>
    <x v="168"/>
    <s v="Yes"/>
    <x v="0"/>
    <s v="Franklin"/>
    <x v="18"/>
    <x v="2"/>
    <x v="381"/>
    <x v="2"/>
    <x v="14"/>
    <n v="79.974000000000004"/>
  </r>
  <r>
    <x v="0"/>
    <n v="139199"/>
    <x v="81"/>
    <s v="13/12/2018"/>
    <s v="Standard Class"/>
    <s v="Damala Kotsonis"/>
    <x v="168"/>
    <s v="Yes"/>
    <x v="0"/>
    <s v="Detroit"/>
    <x v="34"/>
    <x v="1"/>
    <x v="382"/>
    <x v="2"/>
    <x v="10"/>
    <n v="872.94"/>
  </r>
  <r>
    <x v="1"/>
    <n v="141838"/>
    <x v="334"/>
    <s v="31/03/2015"/>
    <s v="Second Class"/>
    <s v="Damala Kotsonis"/>
    <x v="168"/>
    <s v="Yes"/>
    <x v="0"/>
    <s v="San Francisco"/>
    <x v="5"/>
    <x v="3"/>
    <x v="113"/>
    <x v="0"/>
    <x v="0"/>
    <n v="3.36"/>
  </r>
  <r>
    <x v="0"/>
    <n v="100426"/>
    <x v="335"/>
    <s v="08/06/2018"/>
    <s v="Standard Class"/>
    <s v="Dan Campbell"/>
    <x v="169"/>
    <s v="Yes"/>
    <x v="2"/>
    <s v="Florence"/>
    <x v="30"/>
    <x v="2"/>
    <x v="383"/>
    <x v="0"/>
    <x v="2"/>
    <n v="12.48"/>
  </r>
  <r>
    <x v="0"/>
    <n v="133781"/>
    <x v="336"/>
    <s v="23/06/2018"/>
    <s v="First Class"/>
    <s v="Dan Campbell"/>
    <x v="169"/>
    <s v="Yes"/>
    <x v="2"/>
    <s v="Miami"/>
    <x v="17"/>
    <x v="2"/>
    <x v="384"/>
    <x v="0"/>
    <x v="16"/>
    <n v="37.607999999999997"/>
  </r>
  <r>
    <x v="1"/>
    <n v="145212"/>
    <x v="337"/>
    <s v="19/09/2015"/>
    <s v="Standard Class"/>
    <s v="Dan Campbell"/>
    <x v="169"/>
    <s v="Yes"/>
    <x v="2"/>
    <s v="New York City"/>
    <x v="3"/>
    <x v="0"/>
    <x v="385"/>
    <x v="0"/>
    <x v="0"/>
    <n v="5.46"/>
  </r>
  <r>
    <x v="1"/>
    <n v="165974"/>
    <x v="338"/>
    <s v="06/07/2015"/>
    <s v="Standard Class"/>
    <s v="Dan Lawera"/>
    <x v="170"/>
    <s v="Yes"/>
    <x v="2"/>
    <s v="Cincinnati"/>
    <x v="21"/>
    <x v="0"/>
    <x v="386"/>
    <x v="0"/>
    <x v="0"/>
    <n v="32.76"/>
  </r>
  <r>
    <x v="2"/>
    <n v="102456"/>
    <x v="339"/>
    <s v="01/03/2017"/>
    <s v="First Class"/>
    <s v="Dan Lawera"/>
    <x v="170"/>
    <s v="Yes"/>
    <x v="2"/>
    <s v="New York City"/>
    <x v="3"/>
    <x v="0"/>
    <x v="387"/>
    <x v="0"/>
    <x v="12"/>
    <n v="170.88"/>
  </r>
  <r>
    <x v="3"/>
    <n v="156524"/>
    <x v="202"/>
    <s v="26/11/2016"/>
    <s v="Standard Class"/>
    <s v="Dan Lawera"/>
    <x v="170"/>
    <s v="Yes"/>
    <x v="2"/>
    <s v="New York City"/>
    <x v="3"/>
    <x v="0"/>
    <x v="388"/>
    <x v="0"/>
    <x v="2"/>
    <n v="19.649999999999999"/>
  </r>
  <r>
    <x v="0"/>
    <n v="154718"/>
    <x v="340"/>
    <s v="23/01/2018"/>
    <s v="Second Class"/>
    <s v="Dan Lawera"/>
    <x v="170"/>
    <s v="Yes"/>
    <x v="2"/>
    <s v="Keller"/>
    <x v="1"/>
    <x v="1"/>
    <x v="389"/>
    <x v="0"/>
    <x v="8"/>
    <n v="6"/>
  </r>
  <r>
    <x v="0"/>
    <n v="134404"/>
    <x v="341"/>
    <s v="27/12/2018"/>
    <s v="Same Day"/>
    <s v="Dan Reichenbach"/>
    <x v="171"/>
    <s v="Yes"/>
    <x v="0"/>
    <s v="Newark"/>
    <x v="21"/>
    <x v="0"/>
    <x v="390"/>
    <x v="1"/>
    <x v="9"/>
    <n v="164.38800000000001"/>
  </r>
  <r>
    <x v="3"/>
    <n v="159982"/>
    <x v="342"/>
    <s v="04/12/2016"/>
    <s v="Standard Class"/>
    <s v="Dan Reichenbach"/>
    <x v="171"/>
    <s v="Yes"/>
    <x v="0"/>
    <s v="Chicago"/>
    <x v="10"/>
    <x v="1"/>
    <x v="391"/>
    <x v="2"/>
    <x v="6"/>
    <n v="12.132"/>
  </r>
  <r>
    <x v="3"/>
    <n v="103933"/>
    <x v="96"/>
    <s v="27/09/2016"/>
    <s v="First Class"/>
    <s v="Dan Reichenbach"/>
    <x v="171"/>
    <s v="Yes"/>
    <x v="0"/>
    <s v="New York City"/>
    <x v="3"/>
    <x v="0"/>
    <x v="392"/>
    <x v="1"/>
    <x v="4"/>
    <n v="899.91"/>
  </r>
  <r>
    <x v="3"/>
    <n v="139738"/>
    <x v="96"/>
    <s v="29/09/2016"/>
    <s v="Standard Class"/>
    <s v="Dana Kaydos"/>
    <x v="172"/>
    <s v="Yes"/>
    <x v="2"/>
    <s v="Rockford"/>
    <x v="10"/>
    <x v="1"/>
    <x v="393"/>
    <x v="0"/>
    <x v="0"/>
    <n v="128.744"/>
  </r>
  <r>
    <x v="0"/>
    <n v="108112"/>
    <x v="343"/>
    <s v="20/11/2018"/>
    <s v="Standard Class"/>
    <s v="Dana Kaydos"/>
    <x v="172"/>
    <s v="Yes"/>
    <x v="2"/>
    <s v="Miramar"/>
    <x v="17"/>
    <x v="2"/>
    <x v="394"/>
    <x v="2"/>
    <x v="6"/>
    <n v="220.06399999999999"/>
  </r>
  <r>
    <x v="2"/>
    <n v="127985"/>
    <x v="136"/>
    <s v="05/04/2017"/>
    <s v="Second Class"/>
    <s v="Daniel Byrd"/>
    <x v="173"/>
    <s v="Yes"/>
    <x v="1"/>
    <s v="Columbus"/>
    <x v="7"/>
    <x v="2"/>
    <x v="395"/>
    <x v="2"/>
    <x v="6"/>
    <n v="7.04"/>
  </r>
  <r>
    <x v="0"/>
    <n v="159205"/>
    <x v="253"/>
    <s v="02/04/2018"/>
    <s v="Second Class"/>
    <s v="Daniel Byrd"/>
    <x v="173"/>
    <s v="Yes"/>
    <x v="1"/>
    <s v="Henderson"/>
    <x v="12"/>
    <x v="2"/>
    <x v="396"/>
    <x v="2"/>
    <x v="6"/>
    <n v="61"/>
  </r>
  <r>
    <x v="0"/>
    <n v="124898"/>
    <x v="241"/>
    <s v="15/09/2018"/>
    <s v="Standard Class"/>
    <s v="Daniel Byrd"/>
    <x v="173"/>
    <s v="Yes"/>
    <x v="1"/>
    <s v="Columbus"/>
    <x v="7"/>
    <x v="2"/>
    <x v="321"/>
    <x v="0"/>
    <x v="2"/>
    <n v="184.66"/>
  </r>
  <r>
    <x v="1"/>
    <n v="115196"/>
    <x v="344"/>
    <s v="13/09/2015"/>
    <s v="Standard Class"/>
    <s v="Daniel Lacy"/>
    <x v="174"/>
    <s v="Yes"/>
    <x v="2"/>
    <s v="Greenville"/>
    <x v="2"/>
    <x v="2"/>
    <x v="397"/>
    <x v="1"/>
    <x v="1"/>
    <n v="1299.99"/>
  </r>
  <r>
    <x v="3"/>
    <n v="134747"/>
    <x v="345"/>
    <s v="17/10/2016"/>
    <s v="Second Class"/>
    <s v="Daniel Lacy"/>
    <x v="174"/>
    <s v="Yes"/>
    <x v="2"/>
    <s v="Noblesville"/>
    <x v="11"/>
    <x v="1"/>
    <x v="398"/>
    <x v="1"/>
    <x v="9"/>
    <n v="135.72"/>
  </r>
  <r>
    <x v="0"/>
    <n v="121615"/>
    <x v="346"/>
    <s v="09/11/2018"/>
    <s v="Standard Class"/>
    <s v="Daniel Lacy"/>
    <x v="174"/>
    <s v="Yes"/>
    <x v="2"/>
    <s v="Eagan"/>
    <x v="26"/>
    <x v="1"/>
    <x v="399"/>
    <x v="0"/>
    <x v="2"/>
    <n v="8.56"/>
  </r>
  <r>
    <x v="3"/>
    <n v="112571"/>
    <x v="347"/>
    <s v="22/09/2016"/>
    <s v="Same Day"/>
    <s v="Daniel Lacy"/>
    <x v="174"/>
    <s v="Yes"/>
    <x v="2"/>
    <s v="Oceanside"/>
    <x v="5"/>
    <x v="3"/>
    <x v="400"/>
    <x v="2"/>
    <x v="6"/>
    <n v="204.6"/>
  </r>
  <r>
    <x v="3"/>
    <n v="163783"/>
    <x v="125"/>
    <s v="01/01/2017"/>
    <s v="Standard Class"/>
    <s v="Daniel Raglin"/>
    <x v="175"/>
    <s v="No"/>
    <x v="1"/>
    <s v="Chicago"/>
    <x v="10"/>
    <x v="1"/>
    <x v="401"/>
    <x v="0"/>
    <x v="3"/>
    <n v="12.672000000000001"/>
  </r>
  <r>
    <x v="3"/>
    <n v="112767"/>
    <x v="348"/>
    <s v="06/08/2016"/>
    <s v="Standard Class"/>
    <s v="Darren Koutras"/>
    <x v="176"/>
    <s v="Yes"/>
    <x v="2"/>
    <s v="Springfield"/>
    <x v="25"/>
    <x v="3"/>
    <x v="402"/>
    <x v="2"/>
    <x v="14"/>
    <n v="277.5"/>
  </r>
  <r>
    <x v="3"/>
    <n v="134894"/>
    <x v="349"/>
    <s v="11/12/2016"/>
    <s v="Standard Class"/>
    <s v="Darren Koutras"/>
    <x v="176"/>
    <s v="Yes"/>
    <x v="2"/>
    <s v="Henderson"/>
    <x v="12"/>
    <x v="2"/>
    <x v="403"/>
    <x v="0"/>
    <x v="12"/>
    <n v="152.94"/>
  </r>
  <r>
    <x v="0"/>
    <n v="141943"/>
    <x v="350"/>
    <s v="09/05/2018"/>
    <s v="Standard Class"/>
    <s v="Darren Koutras"/>
    <x v="176"/>
    <s v="Yes"/>
    <x v="2"/>
    <s v="San Francisco"/>
    <x v="5"/>
    <x v="3"/>
    <x v="404"/>
    <x v="0"/>
    <x v="16"/>
    <n v="23.16"/>
  </r>
  <r>
    <x v="3"/>
    <n v="105347"/>
    <x v="351"/>
    <s v="28/11/2016"/>
    <s v="Standard Class"/>
    <s v="Darren Powers"/>
    <x v="177"/>
    <s v="Yes"/>
    <x v="2"/>
    <s v="Los Angeles"/>
    <x v="5"/>
    <x v="3"/>
    <x v="405"/>
    <x v="0"/>
    <x v="2"/>
    <n v="368.91"/>
  </r>
  <r>
    <x v="3"/>
    <n v="115742"/>
    <x v="352"/>
    <s v="22/04/2016"/>
    <s v="Standard Class"/>
    <s v="Darren Powers"/>
    <x v="177"/>
    <s v="Yes"/>
    <x v="2"/>
    <s v="New Albany"/>
    <x v="11"/>
    <x v="1"/>
    <x v="406"/>
    <x v="0"/>
    <x v="7"/>
    <n v="38.22"/>
  </r>
  <r>
    <x v="0"/>
    <n v="154872"/>
    <x v="353"/>
    <s v="18/05/2018"/>
    <s v="Standard Class"/>
    <s v="Darren Powers"/>
    <x v="177"/>
    <s v="Yes"/>
    <x v="2"/>
    <s v="Cleveland"/>
    <x v="21"/>
    <x v="0"/>
    <x v="407"/>
    <x v="0"/>
    <x v="7"/>
    <n v="58.17"/>
  </r>
  <r>
    <x v="3"/>
    <n v="129392"/>
    <x v="354"/>
    <s v="08/07/2016"/>
    <s v="Same Day"/>
    <s v="Darrin Martin"/>
    <x v="178"/>
    <s v="Yes"/>
    <x v="2"/>
    <s v="Houston"/>
    <x v="1"/>
    <x v="1"/>
    <x v="408"/>
    <x v="0"/>
    <x v="2"/>
    <n v="21.12"/>
  </r>
  <r>
    <x v="0"/>
    <n v="110429"/>
    <x v="346"/>
    <s v="08/11/2018"/>
    <s v="Standard Class"/>
    <s v="Darrin Martin"/>
    <x v="178"/>
    <s v="Yes"/>
    <x v="2"/>
    <s v="Philadelphia"/>
    <x v="0"/>
    <x v="0"/>
    <x v="409"/>
    <x v="0"/>
    <x v="7"/>
    <n v="11.673"/>
  </r>
  <r>
    <x v="0"/>
    <n v="131954"/>
    <x v="355"/>
    <s v="25/01/2018"/>
    <s v="Standard Class"/>
    <s v="Darrin Sayre"/>
    <x v="179"/>
    <s v="Yes"/>
    <x v="1"/>
    <s v="Seattle"/>
    <x v="15"/>
    <x v="3"/>
    <x v="5"/>
    <x v="0"/>
    <x v="3"/>
    <n v="242.94"/>
  </r>
  <r>
    <x v="0"/>
    <n v="144848"/>
    <x v="356"/>
    <s v="05/04/2018"/>
    <s v="First Class"/>
    <s v="Darrin Sayre"/>
    <x v="179"/>
    <s v="Yes"/>
    <x v="1"/>
    <s v="New York City"/>
    <x v="3"/>
    <x v="0"/>
    <x v="410"/>
    <x v="1"/>
    <x v="9"/>
    <n v="41.22"/>
  </r>
  <r>
    <x v="0"/>
    <n v="139773"/>
    <x v="357"/>
    <s v="04/12/2018"/>
    <s v="Same Day"/>
    <s v="Darrin Van Huff"/>
    <x v="180"/>
    <s v="Yes"/>
    <x v="0"/>
    <s v="Philadelphia"/>
    <x v="0"/>
    <x v="0"/>
    <x v="411"/>
    <x v="2"/>
    <x v="10"/>
    <n v="188.55199999999999"/>
  </r>
  <r>
    <x v="2"/>
    <n v="138688"/>
    <x v="319"/>
    <s v="16/06/2017"/>
    <s v="Second Class"/>
    <s v="Darrin Van Huff"/>
    <x v="180"/>
    <s v="Yes"/>
    <x v="0"/>
    <s v="Los Angeles"/>
    <x v="5"/>
    <x v="3"/>
    <x v="131"/>
    <x v="0"/>
    <x v="8"/>
    <n v="14.62"/>
  </r>
  <r>
    <x v="2"/>
    <n v="127369"/>
    <x v="358"/>
    <s v="07/06/2017"/>
    <s v="First Class"/>
    <s v="Dave Brooks"/>
    <x v="181"/>
    <s v="Yes"/>
    <x v="2"/>
    <s v="Lowell"/>
    <x v="23"/>
    <x v="0"/>
    <x v="412"/>
    <x v="0"/>
    <x v="3"/>
    <n v="714.3"/>
  </r>
  <r>
    <x v="0"/>
    <n v="132353"/>
    <x v="193"/>
    <s v="17/09/2018"/>
    <s v="First Class"/>
    <s v="Dave Brooks"/>
    <x v="181"/>
    <s v="Yes"/>
    <x v="2"/>
    <s v="Chicago"/>
    <x v="10"/>
    <x v="1"/>
    <x v="413"/>
    <x v="1"/>
    <x v="9"/>
    <n v="323.976"/>
  </r>
  <r>
    <x v="1"/>
    <n v="128146"/>
    <x v="359"/>
    <s v="25/06/2015"/>
    <s v="Standard Class"/>
    <s v="Dave Brooks"/>
    <x v="181"/>
    <s v="Yes"/>
    <x v="2"/>
    <s v="Lakewood"/>
    <x v="35"/>
    <x v="0"/>
    <x v="414"/>
    <x v="1"/>
    <x v="9"/>
    <n v="1322.93"/>
  </r>
  <r>
    <x v="0"/>
    <n v="147886"/>
    <x v="360"/>
    <s v="31/03/2018"/>
    <s v="First Class"/>
    <s v="Dave Hallsten"/>
    <x v="182"/>
    <s v="Yes"/>
    <x v="0"/>
    <s v="Fairfield"/>
    <x v="5"/>
    <x v="3"/>
    <x v="415"/>
    <x v="0"/>
    <x v="2"/>
    <n v="12.96"/>
  </r>
  <r>
    <x v="3"/>
    <n v="104941"/>
    <x v="361"/>
    <s v="19/06/2016"/>
    <s v="Standard Class"/>
    <s v="Dave Hallsten"/>
    <x v="182"/>
    <s v="Yes"/>
    <x v="0"/>
    <s v="Decatur"/>
    <x v="30"/>
    <x v="2"/>
    <x v="416"/>
    <x v="0"/>
    <x v="0"/>
    <n v="24.78"/>
  </r>
  <r>
    <x v="3"/>
    <n v="110457"/>
    <x v="362"/>
    <s v="06/03/2016"/>
    <s v="Standard Class"/>
    <s v="Dave Kipp"/>
    <x v="183"/>
    <s v="Yes"/>
    <x v="2"/>
    <s v="Seattle"/>
    <x v="15"/>
    <x v="3"/>
    <x v="417"/>
    <x v="2"/>
    <x v="14"/>
    <n v="787.53"/>
  </r>
  <r>
    <x v="0"/>
    <n v="104913"/>
    <x v="122"/>
    <s v="22/11/2018"/>
    <s v="Standard Class"/>
    <s v="Dave Kipp"/>
    <x v="183"/>
    <s v="Yes"/>
    <x v="2"/>
    <s v="Long Beach"/>
    <x v="3"/>
    <x v="0"/>
    <x v="418"/>
    <x v="1"/>
    <x v="9"/>
    <n v="74.95"/>
  </r>
  <r>
    <x v="3"/>
    <n v="129098"/>
    <x v="363"/>
    <s v="13/10/2016"/>
    <s v="Standard Class"/>
    <s v="Dave Kipp"/>
    <x v="183"/>
    <s v="Yes"/>
    <x v="2"/>
    <s v="Springfield"/>
    <x v="4"/>
    <x v="2"/>
    <x v="419"/>
    <x v="0"/>
    <x v="3"/>
    <n v="30.84"/>
  </r>
  <r>
    <x v="0"/>
    <n v="102974"/>
    <x v="364"/>
    <s v="24/09/2018"/>
    <s v="Standard Class"/>
    <s v="Dave Poirier"/>
    <x v="184"/>
    <s v="Yes"/>
    <x v="0"/>
    <s v="Los Angeles"/>
    <x v="5"/>
    <x v="3"/>
    <x v="420"/>
    <x v="1"/>
    <x v="4"/>
    <n v="149.94999999999999"/>
  </r>
  <r>
    <x v="0"/>
    <n v="141663"/>
    <x v="365"/>
    <s v="17/04/2018"/>
    <s v="Standard Class"/>
    <s v="Dave Poirier"/>
    <x v="184"/>
    <s v="Yes"/>
    <x v="0"/>
    <s v="Philadelphia"/>
    <x v="0"/>
    <x v="0"/>
    <x v="421"/>
    <x v="0"/>
    <x v="15"/>
    <n v="7.92"/>
  </r>
  <r>
    <x v="3"/>
    <n v="132080"/>
    <x v="366"/>
    <s v="25/08/2016"/>
    <s v="First Class"/>
    <s v="Dave Poirier"/>
    <x v="184"/>
    <s v="Yes"/>
    <x v="0"/>
    <s v="New York City"/>
    <x v="3"/>
    <x v="0"/>
    <x v="422"/>
    <x v="0"/>
    <x v="7"/>
    <n v="50.112000000000002"/>
  </r>
  <r>
    <x v="2"/>
    <n v="152534"/>
    <x v="244"/>
    <s v="25/06/2017"/>
    <s v="Second Class"/>
    <s v="Dave Poirier"/>
    <x v="184"/>
    <s v="Yes"/>
    <x v="0"/>
    <s v="Salinas"/>
    <x v="5"/>
    <x v="3"/>
    <x v="423"/>
    <x v="0"/>
    <x v="0"/>
    <n v="5.16"/>
  </r>
  <r>
    <x v="0"/>
    <n v="160514"/>
    <x v="367"/>
    <s v="16/11/2018"/>
    <s v="Standard Class"/>
    <s v="David Bremer"/>
    <x v="185"/>
    <s v="Yes"/>
    <x v="0"/>
    <s v="Santa Clara"/>
    <x v="5"/>
    <x v="3"/>
    <x v="424"/>
    <x v="0"/>
    <x v="2"/>
    <n v="10.56"/>
  </r>
  <r>
    <x v="3"/>
    <n v="124653"/>
    <x v="368"/>
    <s v="26/12/2016"/>
    <s v="First Class"/>
    <s v="David Bremer"/>
    <x v="185"/>
    <s v="Yes"/>
    <x v="0"/>
    <s v="Rochester"/>
    <x v="3"/>
    <x v="0"/>
    <x v="425"/>
    <x v="0"/>
    <x v="2"/>
    <n v="132.79"/>
  </r>
  <r>
    <x v="2"/>
    <n v="168032"/>
    <x v="369"/>
    <s v="03/02/2017"/>
    <s v="Standard Class"/>
    <s v="David Flashing"/>
    <x v="186"/>
    <s v="Yes"/>
    <x v="2"/>
    <s v="Rockford"/>
    <x v="10"/>
    <x v="1"/>
    <x v="426"/>
    <x v="1"/>
    <x v="9"/>
    <n v="1439.9680000000001"/>
  </r>
  <r>
    <x v="1"/>
    <n v="153479"/>
    <x v="370"/>
    <s v="08/10/2015"/>
    <s v="Standard Class"/>
    <s v="David Flashing"/>
    <x v="186"/>
    <s v="Yes"/>
    <x v="2"/>
    <s v="Vallejo"/>
    <x v="5"/>
    <x v="3"/>
    <x v="427"/>
    <x v="0"/>
    <x v="8"/>
    <n v="14.45"/>
  </r>
  <r>
    <x v="1"/>
    <n v="166191"/>
    <x v="197"/>
    <s v="09/12/2015"/>
    <s v="Second Class"/>
    <s v="David Kendrick"/>
    <x v="187"/>
    <s v="No"/>
    <x v="0"/>
    <s v="Decatur"/>
    <x v="10"/>
    <x v="1"/>
    <x v="428"/>
    <x v="0"/>
    <x v="3"/>
    <n v="24.815999999999999"/>
  </r>
  <r>
    <x v="3"/>
    <n v="130456"/>
    <x v="371"/>
    <s v="26/08/2016"/>
    <s v="Standard Class"/>
    <s v="David Smith"/>
    <x v="188"/>
    <s v="Yes"/>
    <x v="0"/>
    <s v="San Francisco"/>
    <x v="5"/>
    <x v="3"/>
    <x v="336"/>
    <x v="2"/>
    <x v="13"/>
    <n v="586.39800000000002"/>
  </r>
  <r>
    <x v="0"/>
    <n v="154907"/>
    <x v="253"/>
    <s v="04/04/2018"/>
    <s v="Standard Class"/>
    <s v="David Smith"/>
    <x v="188"/>
    <s v="Yes"/>
    <x v="0"/>
    <s v="Amarillo"/>
    <x v="1"/>
    <x v="1"/>
    <x v="429"/>
    <x v="2"/>
    <x v="13"/>
    <n v="205.33279999999999"/>
  </r>
  <r>
    <x v="3"/>
    <n v="163055"/>
    <x v="372"/>
    <s v="16/08/2016"/>
    <s v="Standard Class"/>
    <s v="David Smith"/>
    <x v="188"/>
    <s v="Yes"/>
    <x v="0"/>
    <s v="Detroit"/>
    <x v="34"/>
    <x v="1"/>
    <x v="430"/>
    <x v="0"/>
    <x v="0"/>
    <n v="2.2000000000000002"/>
  </r>
  <r>
    <x v="3"/>
    <n v="159863"/>
    <x v="373"/>
    <s v="07/09/2016"/>
    <s v="Second Class"/>
    <s v="David Smith"/>
    <x v="188"/>
    <s v="Yes"/>
    <x v="0"/>
    <s v="Houston"/>
    <x v="1"/>
    <x v="1"/>
    <x v="431"/>
    <x v="1"/>
    <x v="4"/>
    <n v="134.376"/>
  </r>
  <r>
    <x v="2"/>
    <n v="127971"/>
    <x v="60"/>
    <s v="27/11/2017"/>
    <s v="Standard Class"/>
    <s v="David Wiener"/>
    <x v="189"/>
    <s v="No"/>
    <x v="0"/>
    <s v="Houston"/>
    <x v="1"/>
    <x v="1"/>
    <x v="432"/>
    <x v="2"/>
    <x v="10"/>
    <n v="318.43"/>
  </r>
  <r>
    <x v="0"/>
    <n v="165841"/>
    <x v="190"/>
    <s v="28/12/2018"/>
    <s v="Standard Class"/>
    <s v="Dean Braden"/>
    <x v="190"/>
    <s v="Yes"/>
    <x v="2"/>
    <s v="Paterson"/>
    <x v="35"/>
    <x v="0"/>
    <x v="310"/>
    <x v="1"/>
    <x v="9"/>
    <n v="281.97000000000003"/>
  </r>
  <r>
    <x v="2"/>
    <n v="149370"/>
    <x v="374"/>
    <s v="19/09/2017"/>
    <s v="Standard Class"/>
    <s v="Dean Braden"/>
    <x v="190"/>
    <s v="Yes"/>
    <x v="2"/>
    <s v="Philadelphia"/>
    <x v="0"/>
    <x v="0"/>
    <x v="433"/>
    <x v="0"/>
    <x v="2"/>
    <n v="5.3440000000000003"/>
  </r>
  <r>
    <x v="2"/>
    <n v="162677"/>
    <x v="375"/>
    <s v="27/03/2017"/>
    <s v="First Class"/>
    <s v="Dean Braden"/>
    <x v="190"/>
    <s v="Yes"/>
    <x v="2"/>
    <s v="Jacksonville"/>
    <x v="2"/>
    <x v="2"/>
    <x v="434"/>
    <x v="0"/>
    <x v="3"/>
    <n v="67.64"/>
  </r>
  <r>
    <x v="0"/>
    <n v="109960"/>
    <x v="81"/>
    <s v="11/12/2018"/>
    <s v="Second Class"/>
    <s v="Dean Braden"/>
    <x v="190"/>
    <s v="Yes"/>
    <x v="2"/>
    <s v="Detroit"/>
    <x v="34"/>
    <x v="1"/>
    <x v="435"/>
    <x v="1"/>
    <x v="4"/>
    <n v="104.88"/>
  </r>
  <r>
    <x v="0"/>
    <n v="100650"/>
    <x v="232"/>
    <s v="03/07/2018"/>
    <s v="Second Class"/>
    <s v="Dean Katz"/>
    <x v="191"/>
    <s v="Yes"/>
    <x v="0"/>
    <s v="Anaheim"/>
    <x v="5"/>
    <x v="3"/>
    <x v="436"/>
    <x v="0"/>
    <x v="3"/>
    <n v="1295.78"/>
  </r>
  <r>
    <x v="0"/>
    <n v="105480"/>
    <x v="376"/>
    <s v="26/12/2018"/>
    <s v="Standard Class"/>
    <s v="Dean Katz"/>
    <x v="191"/>
    <s v="Yes"/>
    <x v="0"/>
    <s v="Rochester"/>
    <x v="3"/>
    <x v="0"/>
    <x v="437"/>
    <x v="0"/>
    <x v="2"/>
    <n v="6.48"/>
  </r>
  <r>
    <x v="3"/>
    <n v="122756"/>
    <x v="182"/>
    <s v="07/12/2016"/>
    <s v="Standard Class"/>
    <s v="Dean Katz"/>
    <x v="191"/>
    <s v="Yes"/>
    <x v="0"/>
    <s v="Philadelphia"/>
    <x v="0"/>
    <x v="0"/>
    <x v="438"/>
    <x v="1"/>
    <x v="1"/>
    <n v="482.34"/>
  </r>
  <r>
    <x v="0"/>
    <n v="163692"/>
    <x v="90"/>
    <s v="09/09/2018"/>
    <s v="First Class"/>
    <s v="Dean percer"/>
    <x v="192"/>
    <s v="Yes"/>
    <x v="1"/>
    <s v="Phoenix"/>
    <x v="13"/>
    <x v="3"/>
    <x v="439"/>
    <x v="0"/>
    <x v="7"/>
    <n v="7.8570000000000002"/>
  </r>
  <r>
    <x v="3"/>
    <n v="169796"/>
    <x v="10"/>
    <s v="14/11/2016"/>
    <s v="Standard Class"/>
    <s v="Dean percer"/>
    <x v="192"/>
    <s v="Yes"/>
    <x v="1"/>
    <s v="New York City"/>
    <x v="3"/>
    <x v="0"/>
    <x v="440"/>
    <x v="1"/>
    <x v="1"/>
    <n v="2321.9"/>
  </r>
  <r>
    <x v="3"/>
    <n v="142601"/>
    <x v="352"/>
    <s v="20/04/2016"/>
    <s v="Second Class"/>
    <s v="Deanra Eno"/>
    <x v="193"/>
    <s v="Yes"/>
    <x v="1"/>
    <s v="Los Angeles"/>
    <x v="5"/>
    <x v="3"/>
    <x v="441"/>
    <x v="0"/>
    <x v="3"/>
    <n v="947.17"/>
  </r>
  <r>
    <x v="3"/>
    <n v="153381"/>
    <x v="377"/>
    <s v="28/09/2016"/>
    <s v="Standard Class"/>
    <s v="Deanra Eno"/>
    <x v="193"/>
    <s v="Yes"/>
    <x v="1"/>
    <s v="Dubuque"/>
    <x v="32"/>
    <x v="1"/>
    <x v="442"/>
    <x v="0"/>
    <x v="7"/>
    <n v="15.24"/>
  </r>
  <r>
    <x v="2"/>
    <n v="126529"/>
    <x v="378"/>
    <s v="13/01/2017"/>
    <s v="Second Class"/>
    <s v="Deanra Eno"/>
    <x v="193"/>
    <s v="Yes"/>
    <x v="1"/>
    <s v="Springfield"/>
    <x v="21"/>
    <x v="0"/>
    <x v="443"/>
    <x v="0"/>
    <x v="2"/>
    <n v="15.552"/>
  </r>
  <r>
    <x v="1"/>
    <n v="107181"/>
    <x v="379"/>
    <s v="08/02/2015"/>
    <s v="Standard Class"/>
    <s v="Deborah Brumfield"/>
    <x v="194"/>
    <s v="Yes"/>
    <x v="1"/>
    <s v="San Diego"/>
    <x v="5"/>
    <x v="3"/>
    <x v="444"/>
    <x v="0"/>
    <x v="7"/>
    <n v="82.896000000000001"/>
  </r>
  <r>
    <x v="2"/>
    <n v="143609"/>
    <x v="114"/>
    <s v="13/12/2017"/>
    <s v="First Class"/>
    <s v="Deborah Brumfield"/>
    <x v="194"/>
    <s v="Yes"/>
    <x v="1"/>
    <s v="Portland"/>
    <x v="25"/>
    <x v="3"/>
    <x v="445"/>
    <x v="2"/>
    <x v="10"/>
    <n v="403.92"/>
  </r>
  <r>
    <x v="0"/>
    <n v="122504"/>
    <x v="380"/>
    <s v="12/11/2018"/>
    <s v="Second Class"/>
    <s v="Deborah Brumfield"/>
    <x v="194"/>
    <s v="Yes"/>
    <x v="1"/>
    <s v="Brentwood"/>
    <x v="5"/>
    <x v="3"/>
    <x v="446"/>
    <x v="1"/>
    <x v="4"/>
    <n v="59.97"/>
  </r>
  <r>
    <x v="0"/>
    <n v="104003"/>
    <x v="381"/>
    <s v="13/10/2018"/>
    <s v="Standard Class"/>
    <s v="Debra Catini"/>
    <x v="195"/>
    <s v="Yes"/>
    <x v="2"/>
    <s v="San Francisco"/>
    <x v="5"/>
    <x v="3"/>
    <x v="447"/>
    <x v="2"/>
    <x v="13"/>
    <n v="307.666"/>
  </r>
  <r>
    <x v="1"/>
    <n v="106803"/>
    <x v="113"/>
    <s v="02/01/2016"/>
    <s v="Standard Class"/>
    <s v="Debra Catini"/>
    <x v="195"/>
    <s v="Yes"/>
    <x v="2"/>
    <s v="Cottage Grove"/>
    <x v="26"/>
    <x v="1"/>
    <x v="448"/>
    <x v="0"/>
    <x v="3"/>
    <n v="24.56"/>
  </r>
  <r>
    <x v="2"/>
    <n v="137736"/>
    <x v="292"/>
    <s v="15/11/2017"/>
    <s v="Standard Class"/>
    <s v="Debra Catini"/>
    <x v="195"/>
    <s v="Yes"/>
    <x v="2"/>
    <s v="Warner Robins"/>
    <x v="7"/>
    <x v="2"/>
    <x v="449"/>
    <x v="0"/>
    <x v="0"/>
    <n v="41.86"/>
  </r>
  <r>
    <x v="0"/>
    <n v="136189"/>
    <x v="382"/>
    <s v="11/12/2018"/>
    <s v="Standard Class"/>
    <s v="Debra Catini"/>
    <x v="195"/>
    <s v="Yes"/>
    <x v="2"/>
    <s v="Richmond"/>
    <x v="4"/>
    <x v="2"/>
    <x v="450"/>
    <x v="2"/>
    <x v="6"/>
    <n v="82.38"/>
  </r>
  <r>
    <x v="3"/>
    <n v="153500"/>
    <x v="210"/>
    <s v="05/07/2016"/>
    <s v="First Class"/>
    <s v="Deirdre Greer"/>
    <x v="196"/>
    <s v="Yes"/>
    <x v="0"/>
    <s v="Philadelphia"/>
    <x v="0"/>
    <x v="0"/>
    <x v="451"/>
    <x v="2"/>
    <x v="6"/>
    <n v="168.464"/>
  </r>
  <r>
    <x v="0"/>
    <n v="123372"/>
    <x v="383"/>
    <s v="02/12/2018"/>
    <s v="Standard Class"/>
    <s v="Deirdre Greer"/>
    <x v="196"/>
    <s v="Yes"/>
    <x v="0"/>
    <s v="New York City"/>
    <x v="3"/>
    <x v="0"/>
    <x v="452"/>
    <x v="1"/>
    <x v="9"/>
    <n v="1979.89"/>
  </r>
  <r>
    <x v="2"/>
    <n v="146941"/>
    <x v="384"/>
    <s v="13/12/2017"/>
    <s v="First Class"/>
    <s v="Delfina Latchford"/>
    <x v="197"/>
    <s v="Yes"/>
    <x v="2"/>
    <s v="New York City"/>
    <x v="3"/>
    <x v="0"/>
    <x v="453"/>
    <x v="0"/>
    <x v="3"/>
    <n v="80.58"/>
  </r>
  <r>
    <x v="1"/>
    <n v="115791"/>
    <x v="385"/>
    <s v="18/01/2015"/>
    <s v="Second Class"/>
    <s v="Delfina Latchford"/>
    <x v="197"/>
    <s v="Yes"/>
    <x v="2"/>
    <s v="Philadelphia"/>
    <x v="0"/>
    <x v="0"/>
    <x v="454"/>
    <x v="2"/>
    <x v="6"/>
    <n v="127.104"/>
  </r>
  <r>
    <x v="0"/>
    <n v="145226"/>
    <x v="34"/>
    <s v="10/12/2018"/>
    <s v="Second Class"/>
    <s v="Delfina Latchford"/>
    <x v="197"/>
    <s v="Yes"/>
    <x v="2"/>
    <s v="New York City"/>
    <x v="3"/>
    <x v="0"/>
    <x v="455"/>
    <x v="2"/>
    <x v="6"/>
    <n v="109.48"/>
  </r>
  <r>
    <x v="0"/>
    <n v="155159"/>
    <x v="189"/>
    <s v="29/11/2018"/>
    <s v="Second Class"/>
    <s v="Delfina Latchford"/>
    <x v="197"/>
    <s v="Yes"/>
    <x v="2"/>
    <s v="Atlanta"/>
    <x v="7"/>
    <x v="2"/>
    <x v="456"/>
    <x v="0"/>
    <x v="2"/>
    <n v="48.87"/>
  </r>
  <r>
    <x v="1"/>
    <n v="108182"/>
    <x v="386"/>
    <s v="10/02/2015"/>
    <s v="Second Class"/>
    <s v="Delfina Latchford"/>
    <x v="197"/>
    <s v="Yes"/>
    <x v="2"/>
    <s v="Romeoville"/>
    <x v="10"/>
    <x v="1"/>
    <x v="457"/>
    <x v="0"/>
    <x v="7"/>
    <n v="8.952"/>
  </r>
  <r>
    <x v="1"/>
    <n v="130358"/>
    <x v="387"/>
    <s v="26/06/2015"/>
    <s v="First Class"/>
    <s v="Denise Leinenbach"/>
    <x v="198"/>
    <s v="No"/>
    <x v="2"/>
    <s v="Concord"/>
    <x v="2"/>
    <x v="2"/>
    <x v="458"/>
    <x v="0"/>
    <x v="0"/>
    <n v="20.015999999999998"/>
  </r>
  <r>
    <x v="0"/>
    <n v="108854"/>
    <x v="34"/>
    <s v="14/12/2018"/>
    <s v="Standard Class"/>
    <s v="Denise Monton"/>
    <x v="199"/>
    <s v="Yes"/>
    <x v="0"/>
    <s v="San Francisco"/>
    <x v="5"/>
    <x v="3"/>
    <x v="459"/>
    <x v="0"/>
    <x v="2"/>
    <n v="87.92"/>
  </r>
  <r>
    <x v="0"/>
    <n v="157854"/>
    <x v="388"/>
    <s v="15/04/2018"/>
    <s v="Standard Class"/>
    <s v="Denise Monton"/>
    <x v="199"/>
    <s v="Yes"/>
    <x v="0"/>
    <s v="Roswell"/>
    <x v="7"/>
    <x v="2"/>
    <x v="460"/>
    <x v="2"/>
    <x v="6"/>
    <n v="56.28"/>
  </r>
  <r>
    <x v="2"/>
    <n v="139556"/>
    <x v="389"/>
    <s v="01/05/2017"/>
    <s v="Standard Class"/>
    <s v="Dennis Bolton"/>
    <x v="200"/>
    <s v="No"/>
    <x v="1"/>
    <s v="New York City"/>
    <x v="3"/>
    <x v="0"/>
    <x v="281"/>
    <x v="2"/>
    <x v="10"/>
    <n v="434.64600000000002"/>
  </r>
  <r>
    <x v="0"/>
    <n v="165099"/>
    <x v="390"/>
    <s v="13/12/2018"/>
    <s v="First Class"/>
    <s v="Dennis Kane"/>
    <x v="201"/>
    <s v="Yes"/>
    <x v="2"/>
    <s v="Abilene"/>
    <x v="1"/>
    <x v="1"/>
    <x v="461"/>
    <x v="0"/>
    <x v="12"/>
    <n v="1.3919999999999999"/>
  </r>
  <r>
    <x v="3"/>
    <n v="131884"/>
    <x v="121"/>
    <s v="06/12/2016"/>
    <s v="Same Day"/>
    <s v="Dennis Kane"/>
    <x v="201"/>
    <s v="Yes"/>
    <x v="2"/>
    <s v="Marion"/>
    <x v="21"/>
    <x v="0"/>
    <x v="462"/>
    <x v="1"/>
    <x v="9"/>
    <n v="485.94"/>
  </r>
  <r>
    <x v="3"/>
    <n v="145065"/>
    <x v="391"/>
    <s v="15/12/2016"/>
    <s v="First Class"/>
    <s v="Dennis Kane"/>
    <x v="201"/>
    <s v="Yes"/>
    <x v="2"/>
    <s v="San Diego"/>
    <x v="5"/>
    <x v="3"/>
    <x v="463"/>
    <x v="0"/>
    <x v="15"/>
    <n v="7.86"/>
  </r>
  <r>
    <x v="1"/>
    <n v="100006"/>
    <x v="392"/>
    <s v="13/09/2015"/>
    <s v="Standard Class"/>
    <s v="Dennis Kane"/>
    <x v="201"/>
    <s v="Yes"/>
    <x v="2"/>
    <s v="New York City"/>
    <x v="3"/>
    <x v="0"/>
    <x v="464"/>
    <x v="1"/>
    <x v="9"/>
    <n v="377.97"/>
  </r>
  <r>
    <x v="1"/>
    <n v="168592"/>
    <x v="150"/>
    <s v="14/09/2015"/>
    <s v="Standard Class"/>
    <s v="Dennis Pardue"/>
    <x v="202"/>
    <s v="Yes"/>
    <x v="1"/>
    <s v="San Francisco"/>
    <x v="5"/>
    <x v="3"/>
    <x v="465"/>
    <x v="0"/>
    <x v="12"/>
    <n v="56.65"/>
  </r>
  <r>
    <x v="3"/>
    <n v="118423"/>
    <x v="393"/>
    <s v="27/03/2016"/>
    <s v="First Class"/>
    <s v="Dennis Pardue"/>
    <x v="202"/>
    <s v="Yes"/>
    <x v="1"/>
    <s v="Peoria"/>
    <x v="10"/>
    <x v="1"/>
    <x v="466"/>
    <x v="2"/>
    <x v="13"/>
    <n v="359.05799999999999"/>
  </r>
  <r>
    <x v="0"/>
    <n v="140949"/>
    <x v="306"/>
    <s v="22/03/2018"/>
    <s v="Second Class"/>
    <s v="Denny Blanton"/>
    <x v="203"/>
    <s v="No"/>
    <x v="2"/>
    <s v="New York City"/>
    <x v="3"/>
    <x v="0"/>
    <x v="467"/>
    <x v="0"/>
    <x v="8"/>
    <n v="18.75"/>
  </r>
  <r>
    <x v="3"/>
    <n v="168004"/>
    <x v="49"/>
    <s v="09/10/2016"/>
    <s v="Second Class"/>
    <s v="Denny Joy"/>
    <x v="204"/>
    <s v="No"/>
    <x v="0"/>
    <s v="Warner Robins"/>
    <x v="7"/>
    <x v="2"/>
    <x v="468"/>
    <x v="2"/>
    <x v="10"/>
    <n v="392.94"/>
  </r>
  <r>
    <x v="2"/>
    <n v="133144"/>
    <x v="394"/>
    <s v="21/05/2017"/>
    <s v="Second Class"/>
    <s v="Denny Ordway"/>
    <x v="205"/>
    <s v="Yes"/>
    <x v="2"/>
    <s v="Los Angeles"/>
    <x v="5"/>
    <x v="3"/>
    <x v="469"/>
    <x v="0"/>
    <x v="2"/>
    <n v="17.34"/>
  </r>
  <r>
    <x v="3"/>
    <n v="121272"/>
    <x v="395"/>
    <s v="04/04/2016"/>
    <s v="Standard Class"/>
    <s v="Denny Ordway"/>
    <x v="205"/>
    <s v="Yes"/>
    <x v="2"/>
    <s v="Seattle"/>
    <x v="15"/>
    <x v="3"/>
    <x v="470"/>
    <x v="0"/>
    <x v="12"/>
    <n v="73.28"/>
  </r>
  <r>
    <x v="0"/>
    <n v="100636"/>
    <x v="267"/>
    <s v="30/06/2018"/>
    <s v="Standard Class"/>
    <s v="Denny Ordway"/>
    <x v="205"/>
    <s v="Yes"/>
    <x v="2"/>
    <s v="New York City"/>
    <x v="3"/>
    <x v="0"/>
    <x v="471"/>
    <x v="0"/>
    <x v="3"/>
    <n v="272.94"/>
  </r>
  <r>
    <x v="3"/>
    <n v="168935"/>
    <x v="227"/>
    <s v="02/12/2016"/>
    <s v="Standard Class"/>
    <s v="Denny Ordway"/>
    <x v="205"/>
    <s v="Yes"/>
    <x v="2"/>
    <s v="Pembroke Pines"/>
    <x v="17"/>
    <x v="2"/>
    <x v="472"/>
    <x v="2"/>
    <x v="14"/>
    <n v="375.45749999999998"/>
  </r>
  <r>
    <x v="1"/>
    <n v="108903"/>
    <x v="61"/>
    <s v="03/10/2015"/>
    <s v="Same Day"/>
    <s v="Denny Ordway"/>
    <x v="205"/>
    <s v="Yes"/>
    <x v="2"/>
    <s v="Columbus"/>
    <x v="21"/>
    <x v="0"/>
    <x v="473"/>
    <x v="0"/>
    <x v="0"/>
    <n v="55.984000000000002"/>
  </r>
  <r>
    <x v="0"/>
    <n v="102771"/>
    <x v="253"/>
    <s v="05/04/2018"/>
    <s v="Standard Class"/>
    <s v="Denny Ordway"/>
    <x v="205"/>
    <s v="Yes"/>
    <x v="2"/>
    <s v="New York City"/>
    <x v="3"/>
    <x v="0"/>
    <x v="474"/>
    <x v="1"/>
    <x v="9"/>
    <n v="84.95"/>
  </r>
  <r>
    <x v="1"/>
    <n v="124646"/>
    <x v="396"/>
    <s v="24/06/2015"/>
    <s v="First Class"/>
    <s v="Dianna Vittorini"/>
    <x v="206"/>
    <s v="Yes"/>
    <x v="2"/>
    <s v="Minneapolis"/>
    <x v="26"/>
    <x v="1"/>
    <x v="169"/>
    <x v="0"/>
    <x v="3"/>
    <n v="501.81"/>
  </r>
  <r>
    <x v="3"/>
    <n v="146486"/>
    <x v="10"/>
    <s v="14/11/2016"/>
    <s v="Second Class"/>
    <s v="Dianna Vittorini"/>
    <x v="206"/>
    <s v="Yes"/>
    <x v="2"/>
    <s v="Oceanside"/>
    <x v="3"/>
    <x v="0"/>
    <x v="331"/>
    <x v="0"/>
    <x v="3"/>
    <n v="244.55"/>
  </r>
  <r>
    <x v="0"/>
    <n v="152002"/>
    <x v="149"/>
    <s v="11/06/2018"/>
    <s v="Same Day"/>
    <s v="Dianna Vittorini"/>
    <x v="206"/>
    <s v="Yes"/>
    <x v="2"/>
    <s v="Los Angeles"/>
    <x v="5"/>
    <x v="3"/>
    <x v="475"/>
    <x v="0"/>
    <x v="2"/>
    <n v="122.97"/>
  </r>
  <r>
    <x v="2"/>
    <n v="164399"/>
    <x v="397"/>
    <s v="15/11/2017"/>
    <s v="First Class"/>
    <s v="Dianna Wilson"/>
    <x v="207"/>
    <s v="Yes"/>
    <x v="1"/>
    <s v="San Diego"/>
    <x v="5"/>
    <x v="3"/>
    <x v="476"/>
    <x v="1"/>
    <x v="9"/>
    <n v="203.976"/>
  </r>
  <r>
    <x v="2"/>
    <n v="151141"/>
    <x v="398"/>
    <s v="23/08/2017"/>
    <s v="First Class"/>
    <s v="Dianna Wilson"/>
    <x v="207"/>
    <s v="Yes"/>
    <x v="1"/>
    <s v="Detroit"/>
    <x v="34"/>
    <x v="1"/>
    <x v="477"/>
    <x v="1"/>
    <x v="9"/>
    <n v="14.78"/>
  </r>
  <r>
    <x v="2"/>
    <n v="101938"/>
    <x v="399"/>
    <s v="12/01/2017"/>
    <s v="Standard Class"/>
    <s v="Dianna Wilson"/>
    <x v="207"/>
    <s v="Yes"/>
    <x v="1"/>
    <s v="Oakland"/>
    <x v="5"/>
    <x v="3"/>
    <x v="478"/>
    <x v="0"/>
    <x v="0"/>
    <n v="34.58"/>
  </r>
  <r>
    <x v="2"/>
    <n v="106558"/>
    <x v="291"/>
    <s v="21/01/2017"/>
    <s v="Standard Class"/>
    <s v="Dionis Lloyd"/>
    <x v="208"/>
    <s v="Yes"/>
    <x v="0"/>
    <s v="Columbus"/>
    <x v="7"/>
    <x v="2"/>
    <x v="479"/>
    <x v="1"/>
    <x v="4"/>
    <n v="316"/>
  </r>
  <r>
    <x v="2"/>
    <n v="144855"/>
    <x v="235"/>
    <s v="24/07/2017"/>
    <s v="Second Class"/>
    <s v="Dionis Lloyd"/>
    <x v="208"/>
    <s v="Yes"/>
    <x v="0"/>
    <s v="San Francisco"/>
    <x v="5"/>
    <x v="3"/>
    <x v="480"/>
    <x v="0"/>
    <x v="8"/>
    <n v="6.3"/>
  </r>
  <r>
    <x v="0"/>
    <n v="117723"/>
    <x v="179"/>
    <s v="18/08/2018"/>
    <s v="Second Class"/>
    <s v="Dionis Lloyd"/>
    <x v="208"/>
    <s v="Yes"/>
    <x v="0"/>
    <s v="Philadelphia"/>
    <x v="0"/>
    <x v="0"/>
    <x v="481"/>
    <x v="0"/>
    <x v="3"/>
    <n v="1801.6320000000001"/>
  </r>
  <r>
    <x v="0"/>
    <n v="153339"/>
    <x v="346"/>
    <s v="05/11/2018"/>
    <s v="Second Class"/>
    <s v="Don Jones"/>
    <x v="209"/>
    <s v="Yes"/>
    <x v="0"/>
    <s v="Murfreesboro"/>
    <x v="18"/>
    <x v="2"/>
    <x v="482"/>
    <x v="2"/>
    <x v="6"/>
    <n v="15.992000000000001"/>
  </r>
  <r>
    <x v="0"/>
    <n v="108749"/>
    <x v="143"/>
    <s v="15/09/2018"/>
    <s v="First Class"/>
    <s v="Don Jones"/>
    <x v="209"/>
    <s v="Yes"/>
    <x v="0"/>
    <s v="Woonsocket"/>
    <x v="33"/>
    <x v="0"/>
    <x v="483"/>
    <x v="0"/>
    <x v="2"/>
    <n v="45.36"/>
  </r>
  <r>
    <x v="0"/>
    <n v="156895"/>
    <x v="400"/>
    <s v="12/05/2018"/>
    <s v="Standard Class"/>
    <s v="Don Jones"/>
    <x v="209"/>
    <s v="Yes"/>
    <x v="0"/>
    <s v="Philadelphia"/>
    <x v="0"/>
    <x v="0"/>
    <x v="484"/>
    <x v="2"/>
    <x v="10"/>
    <n v="128.05799999999999"/>
  </r>
  <r>
    <x v="1"/>
    <n v="111500"/>
    <x v="401"/>
    <s v="21/08/2015"/>
    <s v="Standard Class"/>
    <s v="Don Jones"/>
    <x v="209"/>
    <s v="Yes"/>
    <x v="0"/>
    <s v="Little Rock"/>
    <x v="37"/>
    <x v="2"/>
    <x v="485"/>
    <x v="0"/>
    <x v="2"/>
    <n v="114.2"/>
  </r>
  <r>
    <x v="2"/>
    <n v="149195"/>
    <x v="402"/>
    <s v="07/09/2017"/>
    <s v="Second Class"/>
    <s v="Don Miller"/>
    <x v="210"/>
    <s v="No"/>
    <x v="0"/>
    <s v="Houston"/>
    <x v="1"/>
    <x v="1"/>
    <x v="486"/>
    <x v="0"/>
    <x v="2"/>
    <n v="25.92"/>
  </r>
  <r>
    <x v="2"/>
    <n v="128706"/>
    <x v="339"/>
    <s v="02/03/2017"/>
    <s v="Standard Class"/>
    <s v="Don Weiss"/>
    <x v="211"/>
    <s v="Yes"/>
    <x v="2"/>
    <s v="Houston"/>
    <x v="1"/>
    <x v="1"/>
    <x v="487"/>
    <x v="2"/>
    <x v="6"/>
    <n v="16.192"/>
  </r>
  <r>
    <x v="0"/>
    <n v="132521"/>
    <x v="129"/>
    <s v="25/09/2018"/>
    <s v="Second Class"/>
    <s v="Don Weiss"/>
    <x v="211"/>
    <s v="Yes"/>
    <x v="2"/>
    <s v="Seattle"/>
    <x v="15"/>
    <x v="3"/>
    <x v="488"/>
    <x v="0"/>
    <x v="12"/>
    <n v="119.96"/>
  </r>
  <r>
    <x v="0"/>
    <n v="158036"/>
    <x v="403"/>
    <s v="14/09/2018"/>
    <s v="Standard Class"/>
    <s v="Dorothy Badders"/>
    <x v="212"/>
    <s v="Yes"/>
    <x v="0"/>
    <s v="Dublin"/>
    <x v="21"/>
    <x v="0"/>
    <x v="347"/>
    <x v="1"/>
    <x v="4"/>
    <n v="9.0960000000000001"/>
  </r>
  <r>
    <x v="0"/>
    <n v="133200"/>
    <x v="404"/>
    <s v="11/05/2018"/>
    <s v="Standard Class"/>
    <s v="Dorothy Badders"/>
    <x v="212"/>
    <s v="Yes"/>
    <x v="0"/>
    <s v="Fort Worth"/>
    <x v="1"/>
    <x v="1"/>
    <x v="489"/>
    <x v="0"/>
    <x v="7"/>
    <n v="11.06"/>
  </r>
  <r>
    <x v="1"/>
    <n v="151953"/>
    <x v="405"/>
    <s v="25/09/2015"/>
    <s v="Standard Class"/>
    <s v="Dorothy Badders"/>
    <x v="212"/>
    <s v="Yes"/>
    <x v="0"/>
    <s v="Jacksonville"/>
    <x v="17"/>
    <x v="2"/>
    <x v="402"/>
    <x v="0"/>
    <x v="0"/>
    <n v="2.8159999999999998"/>
  </r>
  <r>
    <x v="0"/>
    <n v="125640"/>
    <x v="406"/>
    <s v="29/07/2018"/>
    <s v="Standard Class"/>
    <s v="Dorothy Dickinson"/>
    <x v="213"/>
    <s v="No"/>
    <x v="2"/>
    <s v="Philadelphia"/>
    <x v="0"/>
    <x v="0"/>
    <x v="490"/>
    <x v="0"/>
    <x v="8"/>
    <n v="3.3039999999999998"/>
  </r>
  <r>
    <x v="0"/>
    <n v="164147"/>
    <x v="407"/>
    <s v="05/02/2018"/>
    <s v="First Class"/>
    <s v="Dorothy Wardle"/>
    <x v="214"/>
    <s v="Yes"/>
    <x v="0"/>
    <s v="Columbus"/>
    <x v="21"/>
    <x v="0"/>
    <x v="491"/>
    <x v="1"/>
    <x v="9"/>
    <n v="59.97"/>
  </r>
  <r>
    <x v="1"/>
    <n v="120432"/>
    <x v="408"/>
    <s v="26/08/2015"/>
    <s v="Second Class"/>
    <s v="Dorothy Wardle"/>
    <x v="214"/>
    <s v="Yes"/>
    <x v="0"/>
    <s v="Owensboro"/>
    <x v="12"/>
    <x v="2"/>
    <x v="492"/>
    <x v="0"/>
    <x v="5"/>
    <n v="25.5"/>
  </r>
  <r>
    <x v="2"/>
    <n v="120530"/>
    <x v="409"/>
    <s v="12/04/2017"/>
    <s v="Standard Class"/>
    <s v="Dorris liebe"/>
    <x v="215"/>
    <s v="Yes"/>
    <x v="0"/>
    <s v="New York City"/>
    <x v="3"/>
    <x v="0"/>
    <x v="493"/>
    <x v="2"/>
    <x v="10"/>
    <n v="658.74599999999998"/>
  </r>
  <r>
    <x v="0"/>
    <n v="155299"/>
    <x v="410"/>
    <s v="12/06/2018"/>
    <s v="Standard Class"/>
    <s v="Dorris liebe"/>
    <x v="215"/>
    <s v="Yes"/>
    <x v="0"/>
    <s v="Pasadena"/>
    <x v="1"/>
    <x v="1"/>
    <x v="494"/>
    <x v="0"/>
    <x v="12"/>
    <n v="1.6240000000000001"/>
  </r>
  <r>
    <x v="1"/>
    <n v="153150"/>
    <x v="411"/>
    <s v="06/07/2015"/>
    <s v="Second Class"/>
    <s v="Dorris liebe"/>
    <x v="215"/>
    <s v="Yes"/>
    <x v="0"/>
    <s v="Seattle"/>
    <x v="15"/>
    <x v="3"/>
    <x v="495"/>
    <x v="0"/>
    <x v="7"/>
    <n v="19.920000000000002"/>
  </r>
  <r>
    <x v="2"/>
    <n v="135636"/>
    <x v="147"/>
    <s v="13/10/2017"/>
    <s v="Standard Class"/>
    <s v="Doug Bickford"/>
    <x v="216"/>
    <s v="Yes"/>
    <x v="2"/>
    <s v="Charlotte"/>
    <x v="2"/>
    <x v="2"/>
    <x v="496"/>
    <x v="0"/>
    <x v="3"/>
    <n v="387.72"/>
  </r>
  <r>
    <x v="3"/>
    <n v="137946"/>
    <x v="412"/>
    <s v="04/09/2016"/>
    <s v="Second Class"/>
    <s v="Doug Bickford"/>
    <x v="216"/>
    <s v="Yes"/>
    <x v="2"/>
    <s v="Los Angeles"/>
    <x v="5"/>
    <x v="3"/>
    <x v="497"/>
    <x v="0"/>
    <x v="7"/>
    <n v="4.7519999999999998"/>
  </r>
  <r>
    <x v="3"/>
    <n v="123232"/>
    <x v="413"/>
    <s v="16/12/2016"/>
    <s v="Second Class"/>
    <s v="Doug Jacobs"/>
    <x v="217"/>
    <s v="Yes"/>
    <x v="2"/>
    <s v="Portland"/>
    <x v="25"/>
    <x v="3"/>
    <x v="498"/>
    <x v="1"/>
    <x v="9"/>
    <n v="319.96800000000002"/>
  </r>
  <r>
    <x v="2"/>
    <n v="164511"/>
    <x v="414"/>
    <s v="24/11/2017"/>
    <s v="Standard Class"/>
    <s v="Doug Jacobs"/>
    <x v="217"/>
    <s v="Yes"/>
    <x v="2"/>
    <s v="New York City"/>
    <x v="3"/>
    <x v="0"/>
    <x v="499"/>
    <x v="0"/>
    <x v="7"/>
    <n v="14.352"/>
  </r>
  <r>
    <x v="0"/>
    <n v="115602"/>
    <x v="0"/>
    <s v="24/12/2018"/>
    <s v="Standard Class"/>
    <s v="Doug Jacobs"/>
    <x v="217"/>
    <s v="Yes"/>
    <x v="2"/>
    <s v="New York City"/>
    <x v="3"/>
    <x v="0"/>
    <x v="500"/>
    <x v="0"/>
    <x v="0"/>
    <n v="38.82"/>
  </r>
  <r>
    <x v="0"/>
    <n v="133207"/>
    <x v="415"/>
    <s v="03/12/2018"/>
    <s v="Standard Class"/>
    <s v="Doug O'Connell"/>
    <x v="218"/>
    <s v="Yes"/>
    <x v="2"/>
    <s v="Los Angeles"/>
    <x v="5"/>
    <x v="3"/>
    <x v="501"/>
    <x v="1"/>
    <x v="9"/>
    <n v="57.567999999999998"/>
  </r>
  <r>
    <x v="3"/>
    <n v="126669"/>
    <x v="416"/>
    <s v="13/11/2016"/>
    <s v="Standard Class"/>
    <s v="Doug O'Connell"/>
    <x v="218"/>
    <s v="Yes"/>
    <x v="2"/>
    <s v="Houston"/>
    <x v="1"/>
    <x v="1"/>
    <x v="502"/>
    <x v="0"/>
    <x v="2"/>
    <n v="76.64"/>
  </r>
  <r>
    <x v="0"/>
    <n v="118003"/>
    <x v="357"/>
    <s v="10/12/2018"/>
    <s v="Standard Class"/>
    <s v="Doug O'Connell"/>
    <x v="218"/>
    <s v="Yes"/>
    <x v="2"/>
    <s v="Paterson"/>
    <x v="35"/>
    <x v="0"/>
    <x v="503"/>
    <x v="2"/>
    <x v="6"/>
    <n v="12.99"/>
  </r>
  <r>
    <x v="0"/>
    <n v="105886"/>
    <x v="0"/>
    <s v="23/12/2018"/>
    <s v="Standard Class"/>
    <s v="Duane Benoit"/>
    <x v="219"/>
    <s v="Yes"/>
    <x v="2"/>
    <s v="Oceanside"/>
    <x v="3"/>
    <x v="0"/>
    <x v="504"/>
    <x v="2"/>
    <x v="6"/>
    <n v="18.96"/>
  </r>
  <r>
    <x v="0"/>
    <n v="101077"/>
    <x v="275"/>
    <s v="30/03/2018"/>
    <s v="Second Class"/>
    <s v="Duane Benoit"/>
    <x v="219"/>
    <s v="Yes"/>
    <x v="2"/>
    <s v="Dallas"/>
    <x v="1"/>
    <x v="1"/>
    <x v="505"/>
    <x v="0"/>
    <x v="2"/>
    <n v="6.8479999999999999"/>
  </r>
  <r>
    <x v="3"/>
    <n v="127593"/>
    <x v="256"/>
    <s v="21/09/2016"/>
    <s v="Same Day"/>
    <s v="Duane Huffman"/>
    <x v="220"/>
    <s v="Yes"/>
    <x v="1"/>
    <s v="Quincy"/>
    <x v="23"/>
    <x v="0"/>
    <x v="410"/>
    <x v="2"/>
    <x v="6"/>
    <n v="85.3"/>
  </r>
  <r>
    <x v="1"/>
    <n v="156244"/>
    <x v="417"/>
    <s v="16/08/2015"/>
    <s v="Standard Class"/>
    <s v="Duane Huffman"/>
    <x v="220"/>
    <s v="Yes"/>
    <x v="1"/>
    <s v="Miami"/>
    <x v="17"/>
    <x v="2"/>
    <x v="506"/>
    <x v="0"/>
    <x v="2"/>
    <n v="31.103999999999999"/>
  </r>
  <r>
    <x v="1"/>
    <n v="139451"/>
    <x v="418"/>
    <s v="16/10/2015"/>
    <s v="Standard Class"/>
    <s v="Duane Noonan"/>
    <x v="221"/>
    <s v="Yes"/>
    <x v="2"/>
    <s v="San Francisco"/>
    <x v="5"/>
    <x v="3"/>
    <x v="507"/>
    <x v="0"/>
    <x v="0"/>
    <n v="14.9"/>
  </r>
  <r>
    <x v="1"/>
    <n v="119977"/>
    <x v="419"/>
    <s v="13/10/2015"/>
    <s v="Second Class"/>
    <s v="Duane Noonan"/>
    <x v="221"/>
    <s v="Yes"/>
    <x v="2"/>
    <s v="New York City"/>
    <x v="3"/>
    <x v="0"/>
    <x v="508"/>
    <x v="0"/>
    <x v="2"/>
    <n v="123.92"/>
  </r>
  <r>
    <x v="2"/>
    <n v="128223"/>
    <x v="420"/>
    <s v="14/06/2017"/>
    <s v="Same Day"/>
    <s v="Ed Braxton"/>
    <x v="222"/>
    <s v="Yes"/>
    <x v="0"/>
    <s v="Anaheim"/>
    <x v="5"/>
    <x v="3"/>
    <x v="509"/>
    <x v="2"/>
    <x v="14"/>
    <n v="1293.4880000000001"/>
  </r>
  <r>
    <x v="2"/>
    <n v="137547"/>
    <x v="421"/>
    <s v="12/03/2017"/>
    <s v="Standard Class"/>
    <s v="Ed Braxton"/>
    <x v="222"/>
    <s v="Yes"/>
    <x v="0"/>
    <s v="Fort Worth"/>
    <x v="1"/>
    <x v="1"/>
    <x v="73"/>
    <x v="1"/>
    <x v="9"/>
    <n v="21.071999999999999"/>
  </r>
  <r>
    <x v="3"/>
    <n v="104493"/>
    <x v="422"/>
    <s v="08/10/2016"/>
    <s v="Standard Class"/>
    <s v="Ed Braxton"/>
    <x v="222"/>
    <s v="Yes"/>
    <x v="0"/>
    <s v="San Diego"/>
    <x v="5"/>
    <x v="3"/>
    <x v="25"/>
    <x v="0"/>
    <x v="7"/>
    <n v="57.503999999999998"/>
  </r>
  <r>
    <x v="0"/>
    <n v="147277"/>
    <x v="423"/>
    <s v="24/10/2018"/>
    <s v="Standard Class"/>
    <s v="Ed Braxton"/>
    <x v="222"/>
    <s v="Yes"/>
    <x v="0"/>
    <s v="Akron"/>
    <x v="21"/>
    <x v="0"/>
    <x v="510"/>
    <x v="2"/>
    <x v="14"/>
    <n v="284.36399999999998"/>
  </r>
  <r>
    <x v="1"/>
    <n v="100090"/>
    <x v="424"/>
    <s v="12/07/2015"/>
    <s v="Standard Class"/>
    <s v="Ed Braxton"/>
    <x v="222"/>
    <s v="Yes"/>
    <x v="0"/>
    <s v="San Francisco"/>
    <x v="5"/>
    <x v="3"/>
    <x v="511"/>
    <x v="2"/>
    <x v="14"/>
    <n v="502.488"/>
  </r>
  <r>
    <x v="0"/>
    <n v="123085"/>
    <x v="425"/>
    <s v="08/03/2018"/>
    <s v="Standard Class"/>
    <s v="Ed Jacobs"/>
    <x v="223"/>
    <s v="No"/>
    <x v="2"/>
    <s v="Los Angeles"/>
    <x v="5"/>
    <x v="3"/>
    <x v="512"/>
    <x v="1"/>
    <x v="4"/>
    <n v="1049.44"/>
  </r>
  <r>
    <x v="0"/>
    <n v="150707"/>
    <x v="165"/>
    <s v="19/10/2018"/>
    <s v="Standard Class"/>
    <s v="Ed Ludwig"/>
    <x v="224"/>
    <s v="Yes"/>
    <x v="1"/>
    <s v="Columbia"/>
    <x v="31"/>
    <x v="0"/>
    <x v="513"/>
    <x v="0"/>
    <x v="7"/>
    <n v="37.659999999999997"/>
  </r>
  <r>
    <x v="2"/>
    <n v="113061"/>
    <x v="426"/>
    <s v="26/04/2017"/>
    <s v="Standard Class"/>
    <s v="Ed Ludwig"/>
    <x v="224"/>
    <s v="Yes"/>
    <x v="1"/>
    <s v="Jefferson City"/>
    <x v="9"/>
    <x v="1"/>
    <x v="514"/>
    <x v="2"/>
    <x v="6"/>
    <n v="86.62"/>
  </r>
  <r>
    <x v="0"/>
    <n v="122707"/>
    <x v="427"/>
    <s v="18/04/2018"/>
    <s v="First Class"/>
    <s v="Edward Becker"/>
    <x v="225"/>
    <s v="No"/>
    <x v="0"/>
    <s v="Hoover"/>
    <x v="30"/>
    <x v="2"/>
    <x v="515"/>
    <x v="0"/>
    <x v="5"/>
    <n v="477.24"/>
  </r>
  <r>
    <x v="2"/>
    <n v="119046"/>
    <x v="428"/>
    <s v="06/06/2017"/>
    <s v="Standard Class"/>
    <s v="Edward Hooks"/>
    <x v="226"/>
    <s v="Yes"/>
    <x v="0"/>
    <s v="Seattle"/>
    <x v="15"/>
    <x v="3"/>
    <x v="516"/>
    <x v="0"/>
    <x v="2"/>
    <n v="30.18"/>
  </r>
  <r>
    <x v="0"/>
    <n v="111423"/>
    <x v="429"/>
    <s v="19/08/2018"/>
    <s v="First Class"/>
    <s v="Edward Hooks"/>
    <x v="226"/>
    <s v="Yes"/>
    <x v="0"/>
    <s v="Watertown"/>
    <x v="3"/>
    <x v="0"/>
    <x v="517"/>
    <x v="0"/>
    <x v="7"/>
    <n v="895.92"/>
  </r>
  <r>
    <x v="3"/>
    <n v="103177"/>
    <x v="430"/>
    <s v="01/06/2016"/>
    <s v="First Class"/>
    <s v="Edward Nazzal"/>
    <x v="227"/>
    <s v="No"/>
    <x v="2"/>
    <s v="New York City"/>
    <x v="3"/>
    <x v="0"/>
    <x v="518"/>
    <x v="1"/>
    <x v="9"/>
    <n v="239.97"/>
  </r>
  <r>
    <x v="3"/>
    <n v="154340"/>
    <x v="117"/>
    <s v="30/11/2016"/>
    <s v="First Class"/>
    <s v="Eileen Kiefer"/>
    <x v="228"/>
    <s v="No"/>
    <x v="1"/>
    <s v="Santa Ana"/>
    <x v="5"/>
    <x v="3"/>
    <x v="519"/>
    <x v="0"/>
    <x v="0"/>
    <n v="56.3"/>
  </r>
  <r>
    <x v="3"/>
    <n v="113404"/>
    <x v="431"/>
    <s v="16/07/2016"/>
    <s v="Same Day"/>
    <s v="Eleni McCrary"/>
    <x v="229"/>
    <s v="No"/>
    <x v="0"/>
    <s v="San Francisco"/>
    <x v="5"/>
    <x v="3"/>
    <x v="520"/>
    <x v="2"/>
    <x v="10"/>
    <n v="1348.704"/>
  </r>
  <r>
    <x v="2"/>
    <n v="116764"/>
    <x v="432"/>
    <s v="02/09/2017"/>
    <s v="Standard Class"/>
    <s v="Elizabeth Moffitt"/>
    <x v="230"/>
    <s v="Yes"/>
    <x v="0"/>
    <s v="Hollywood"/>
    <x v="17"/>
    <x v="2"/>
    <x v="521"/>
    <x v="0"/>
    <x v="8"/>
    <n v="9.2159999999999993"/>
  </r>
  <r>
    <x v="0"/>
    <n v="122035"/>
    <x v="229"/>
    <s v="25/07/2018"/>
    <s v="Standard Class"/>
    <s v="Elizabeth Moffitt"/>
    <x v="230"/>
    <s v="Yes"/>
    <x v="0"/>
    <s v="Sioux Falls"/>
    <x v="42"/>
    <x v="1"/>
    <x v="522"/>
    <x v="0"/>
    <x v="8"/>
    <n v="14.62"/>
  </r>
  <r>
    <x v="3"/>
    <n v="149748"/>
    <x v="176"/>
    <s v="02/06/2016"/>
    <s v="Second Class"/>
    <s v="Elizabeth Moffitt"/>
    <x v="230"/>
    <s v="Yes"/>
    <x v="0"/>
    <s v="Paterson"/>
    <x v="35"/>
    <x v="0"/>
    <x v="523"/>
    <x v="0"/>
    <x v="2"/>
    <n v="274.8"/>
  </r>
  <r>
    <x v="0"/>
    <n v="156951"/>
    <x v="313"/>
    <s v="08/10/2018"/>
    <s v="Standard Class"/>
    <s v="Ellis Ballard"/>
    <x v="231"/>
    <s v="Yes"/>
    <x v="0"/>
    <s v="Seattle"/>
    <x v="15"/>
    <x v="3"/>
    <x v="524"/>
    <x v="0"/>
    <x v="2"/>
    <n v="91.84"/>
  </r>
  <r>
    <x v="2"/>
    <n v="139885"/>
    <x v="433"/>
    <s v="08/12/2017"/>
    <s v="Standard Class"/>
    <s v="Ellis Ballard"/>
    <x v="231"/>
    <s v="Yes"/>
    <x v="0"/>
    <s v="New York City"/>
    <x v="3"/>
    <x v="0"/>
    <x v="525"/>
    <x v="0"/>
    <x v="3"/>
    <n v="212.88"/>
  </r>
  <r>
    <x v="1"/>
    <n v="102631"/>
    <x v="434"/>
    <s v="17/12/2015"/>
    <s v="Standard Class"/>
    <s v="Ellis Ballard"/>
    <x v="231"/>
    <s v="Yes"/>
    <x v="0"/>
    <s v="Chicago"/>
    <x v="10"/>
    <x v="1"/>
    <x v="526"/>
    <x v="2"/>
    <x v="6"/>
    <n v="94.427999999999997"/>
  </r>
  <r>
    <x v="2"/>
    <n v="149223"/>
    <x v="435"/>
    <s v="11/09/2017"/>
    <s v="Standard Class"/>
    <s v="Elpida Rittenbach"/>
    <x v="232"/>
    <s v="Yes"/>
    <x v="0"/>
    <s v="Saint Paul"/>
    <x v="26"/>
    <x v="1"/>
    <x v="527"/>
    <x v="0"/>
    <x v="12"/>
    <n v="77.88"/>
  </r>
  <r>
    <x v="3"/>
    <n v="127019"/>
    <x v="436"/>
    <s v="25/12/2016"/>
    <s v="Standard Class"/>
    <s v="Elpida Rittenbach"/>
    <x v="232"/>
    <s v="Yes"/>
    <x v="0"/>
    <s v="Colorado Springs"/>
    <x v="20"/>
    <x v="3"/>
    <x v="528"/>
    <x v="0"/>
    <x v="12"/>
    <n v="60.984000000000002"/>
  </r>
  <r>
    <x v="0"/>
    <n v="148999"/>
    <x v="164"/>
    <s v="04/02/2018"/>
    <s v="Standard Class"/>
    <s v="Emily Burns"/>
    <x v="233"/>
    <s v="Yes"/>
    <x v="2"/>
    <s v="Miami"/>
    <x v="17"/>
    <x v="2"/>
    <x v="529"/>
    <x v="2"/>
    <x v="10"/>
    <n v="419.13600000000002"/>
  </r>
  <r>
    <x v="0"/>
    <n v="169817"/>
    <x v="437"/>
    <s v="25/09/2018"/>
    <s v="Standard Class"/>
    <s v="Emily Burns"/>
    <x v="233"/>
    <s v="Yes"/>
    <x v="2"/>
    <s v="Philadelphia"/>
    <x v="0"/>
    <x v="0"/>
    <x v="530"/>
    <x v="0"/>
    <x v="7"/>
    <n v="1.9079999999999999"/>
  </r>
  <r>
    <x v="2"/>
    <n v="144939"/>
    <x v="438"/>
    <s v="08/10/2017"/>
    <s v="Standard Class"/>
    <s v="Emily Burns"/>
    <x v="233"/>
    <s v="Yes"/>
    <x v="2"/>
    <s v="New York City"/>
    <x v="3"/>
    <x v="0"/>
    <x v="531"/>
    <x v="2"/>
    <x v="10"/>
    <n v="599.29200000000003"/>
  </r>
  <r>
    <x v="1"/>
    <n v="126340"/>
    <x v="439"/>
    <s v="14/11/2015"/>
    <s v="Standard Class"/>
    <s v="Emily Burns"/>
    <x v="233"/>
    <s v="Yes"/>
    <x v="2"/>
    <s v="Redding"/>
    <x v="5"/>
    <x v="3"/>
    <x v="532"/>
    <x v="1"/>
    <x v="9"/>
    <n v="333.57600000000002"/>
  </r>
  <r>
    <x v="3"/>
    <n v="153626"/>
    <x v="299"/>
    <s v="14/07/2016"/>
    <s v="Standard Class"/>
    <s v="Emily Burns"/>
    <x v="233"/>
    <s v="Yes"/>
    <x v="2"/>
    <s v="Nashville"/>
    <x v="18"/>
    <x v="2"/>
    <x v="533"/>
    <x v="0"/>
    <x v="0"/>
    <n v="5.16"/>
  </r>
  <r>
    <x v="0"/>
    <n v="133102"/>
    <x v="429"/>
    <s v="24/08/2018"/>
    <s v="Standard Class"/>
    <s v="Emily Ducich"/>
    <x v="234"/>
    <s v="Yes"/>
    <x v="1"/>
    <s v="Houston"/>
    <x v="1"/>
    <x v="1"/>
    <x v="534"/>
    <x v="0"/>
    <x v="5"/>
    <n v="5.5519999999999996"/>
  </r>
  <r>
    <x v="2"/>
    <n v="118311"/>
    <x v="440"/>
    <s v="28/10/2017"/>
    <s v="Standard Class"/>
    <s v="Emily Ducich"/>
    <x v="234"/>
    <s v="Yes"/>
    <x v="1"/>
    <s v="San Francisco"/>
    <x v="5"/>
    <x v="3"/>
    <x v="535"/>
    <x v="1"/>
    <x v="4"/>
    <n v="450"/>
  </r>
  <r>
    <x v="1"/>
    <n v="110527"/>
    <x v="76"/>
    <s v="16/08/2015"/>
    <s v="Standard Class"/>
    <s v="Emily Ducich"/>
    <x v="234"/>
    <s v="Yes"/>
    <x v="1"/>
    <s v="San Diego"/>
    <x v="5"/>
    <x v="3"/>
    <x v="536"/>
    <x v="0"/>
    <x v="8"/>
    <n v="20.88"/>
  </r>
  <r>
    <x v="3"/>
    <n v="160227"/>
    <x v="441"/>
    <s v="04/11/2016"/>
    <s v="First Class"/>
    <s v="Emily Ducich"/>
    <x v="234"/>
    <s v="Yes"/>
    <x v="1"/>
    <s v="New York City"/>
    <x v="3"/>
    <x v="0"/>
    <x v="397"/>
    <x v="2"/>
    <x v="10"/>
    <n v="2621.3220000000001"/>
  </r>
  <r>
    <x v="0"/>
    <n v="141719"/>
    <x v="280"/>
    <s v="21/11/2018"/>
    <s v="Second Class"/>
    <s v="Emily Grady"/>
    <x v="235"/>
    <s v="Yes"/>
    <x v="2"/>
    <s v="Naperville"/>
    <x v="10"/>
    <x v="1"/>
    <x v="537"/>
    <x v="1"/>
    <x v="4"/>
    <n v="239.96"/>
  </r>
  <r>
    <x v="3"/>
    <n v="138625"/>
    <x v="441"/>
    <s v="05/11/2016"/>
    <s v="First Class"/>
    <s v="Emily Grady"/>
    <x v="235"/>
    <s v="Yes"/>
    <x v="2"/>
    <s v="Chesapeake"/>
    <x v="4"/>
    <x v="2"/>
    <x v="538"/>
    <x v="0"/>
    <x v="12"/>
    <n v="197.72"/>
  </r>
  <r>
    <x v="2"/>
    <n v="150861"/>
    <x v="237"/>
    <s v="06/12/2017"/>
    <s v="First Class"/>
    <s v="Emily Grady"/>
    <x v="235"/>
    <s v="Yes"/>
    <x v="2"/>
    <s v="Oceanside"/>
    <x v="3"/>
    <x v="0"/>
    <x v="539"/>
    <x v="0"/>
    <x v="2"/>
    <n v="182.72"/>
  </r>
  <r>
    <x v="0"/>
    <n v="157483"/>
    <x v="442"/>
    <s v="18/11/2018"/>
    <s v="Standard Class"/>
    <s v="Emily Phan"/>
    <x v="236"/>
    <s v="Yes"/>
    <x v="2"/>
    <s v="Detroit"/>
    <x v="34"/>
    <x v="1"/>
    <x v="540"/>
    <x v="0"/>
    <x v="0"/>
    <n v="181.86"/>
  </r>
  <r>
    <x v="0"/>
    <n v="122637"/>
    <x v="126"/>
    <s v="08/09/2018"/>
    <s v="Second Class"/>
    <s v="Emily Phan"/>
    <x v="236"/>
    <s v="Yes"/>
    <x v="2"/>
    <s v="Chicago"/>
    <x v="10"/>
    <x v="1"/>
    <x v="541"/>
    <x v="0"/>
    <x v="7"/>
    <n v="42.616"/>
  </r>
  <r>
    <x v="2"/>
    <n v="116400"/>
    <x v="443"/>
    <s v="24/10/2017"/>
    <s v="First Class"/>
    <s v="Eric Barreto"/>
    <x v="237"/>
    <s v="No"/>
    <x v="2"/>
    <s v="Richmond"/>
    <x v="4"/>
    <x v="2"/>
    <x v="542"/>
    <x v="2"/>
    <x v="6"/>
    <n v="39.92"/>
  </r>
  <r>
    <x v="3"/>
    <n v="114048"/>
    <x v="413"/>
    <s v="18/12/2016"/>
    <s v="Standard Class"/>
    <s v="Eric Hoffmann"/>
    <x v="238"/>
    <s v="Yes"/>
    <x v="2"/>
    <s v="Costa Mesa"/>
    <x v="5"/>
    <x v="3"/>
    <x v="543"/>
    <x v="2"/>
    <x v="6"/>
    <n v="29.22"/>
  </r>
  <r>
    <x v="2"/>
    <n v="121755"/>
    <x v="444"/>
    <s v="20/01/2017"/>
    <s v="Second Class"/>
    <s v="Eric Hoffmann"/>
    <x v="238"/>
    <s v="Yes"/>
    <x v="2"/>
    <s v="Los Angeles"/>
    <x v="5"/>
    <x v="3"/>
    <x v="461"/>
    <x v="0"/>
    <x v="7"/>
    <n v="11.648"/>
  </r>
  <r>
    <x v="3"/>
    <n v="149384"/>
    <x v="445"/>
    <s v="10/07/2016"/>
    <s v="Same Day"/>
    <s v="Eric Hoffmann"/>
    <x v="238"/>
    <s v="Yes"/>
    <x v="2"/>
    <s v="Tempe"/>
    <x v="13"/>
    <x v="3"/>
    <x v="544"/>
    <x v="0"/>
    <x v="7"/>
    <n v="3.3660000000000001"/>
  </r>
  <r>
    <x v="3"/>
    <n v="119697"/>
    <x v="446"/>
    <s v="31/12/2016"/>
    <s v="Second Class"/>
    <s v="Eric Murdock"/>
    <x v="239"/>
    <s v="No"/>
    <x v="2"/>
    <s v="Philadelphia"/>
    <x v="0"/>
    <x v="0"/>
    <x v="545"/>
    <x v="1"/>
    <x v="4"/>
    <n v="54.384"/>
  </r>
  <r>
    <x v="2"/>
    <n v="164630"/>
    <x v="447"/>
    <s v="09/01/2017"/>
    <s v="Standard Class"/>
    <s v="Erica Bern"/>
    <x v="240"/>
    <s v="No"/>
    <x v="0"/>
    <s v="Charlotte"/>
    <x v="2"/>
    <x v="2"/>
    <x v="546"/>
    <x v="1"/>
    <x v="11"/>
    <n v="959.96799999999996"/>
  </r>
  <r>
    <x v="1"/>
    <n v="102295"/>
    <x v="448"/>
    <s v="26/11/2015"/>
    <s v="Second Class"/>
    <s v="Erica Hackney"/>
    <x v="241"/>
    <s v="Yes"/>
    <x v="2"/>
    <s v="Sacramento"/>
    <x v="5"/>
    <x v="3"/>
    <x v="117"/>
    <x v="2"/>
    <x v="10"/>
    <n v="120.712"/>
  </r>
  <r>
    <x v="2"/>
    <n v="124100"/>
    <x v="449"/>
    <s v="06/04/2017"/>
    <s v="Standard Class"/>
    <s v="Erica Hackney"/>
    <x v="241"/>
    <s v="Yes"/>
    <x v="2"/>
    <s v="New York City"/>
    <x v="3"/>
    <x v="0"/>
    <x v="547"/>
    <x v="2"/>
    <x v="10"/>
    <n v="327.99599999999998"/>
  </r>
  <r>
    <x v="0"/>
    <n v="144862"/>
    <x v="302"/>
    <s v="05/12/2018"/>
    <s v="Standard Class"/>
    <s v="Erica Hernandez"/>
    <x v="242"/>
    <s v="Yes"/>
    <x v="1"/>
    <s v="Philadelphia"/>
    <x v="0"/>
    <x v="0"/>
    <x v="548"/>
    <x v="0"/>
    <x v="16"/>
    <n v="104.68"/>
  </r>
  <r>
    <x v="0"/>
    <n v="167381"/>
    <x v="450"/>
    <s v="24/09/2018"/>
    <s v="Second Class"/>
    <s v="Erica Hernandez"/>
    <x v="242"/>
    <s v="Yes"/>
    <x v="1"/>
    <s v="Lansing"/>
    <x v="34"/>
    <x v="1"/>
    <x v="549"/>
    <x v="2"/>
    <x v="13"/>
    <n v="241.96"/>
  </r>
  <r>
    <x v="2"/>
    <n v="152814"/>
    <x v="451"/>
    <s v="02/05/2017"/>
    <s v="Standard Class"/>
    <s v="Erica Hernandez"/>
    <x v="242"/>
    <s v="Yes"/>
    <x v="1"/>
    <s v="Denver"/>
    <x v="20"/>
    <x v="3"/>
    <x v="550"/>
    <x v="0"/>
    <x v="2"/>
    <n v="29.472000000000001"/>
  </r>
  <r>
    <x v="1"/>
    <n v="156433"/>
    <x v="405"/>
    <s v="26/09/2015"/>
    <s v="Standard Class"/>
    <s v="Erica Smith"/>
    <x v="243"/>
    <s v="No"/>
    <x v="2"/>
    <s v="San Francisco"/>
    <x v="5"/>
    <x v="3"/>
    <x v="551"/>
    <x v="0"/>
    <x v="8"/>
    <n v="9.9600000000000009"/>
  </r>
  <r>
    <x v="1"/>
    <n v="156216"/>
    <x v="337"/>
    <s v="17/09/2015"/>
    <s v="Standard Class"/>
    <s v="Erin Ashbrook"/>
    <x v="244"/>
    <s v="Yes"/>
    <x v="0"/>
    <s v="Charlotte"/>
    <x v="2"/>
    <x v="2"/>
    <x v="552"/>
    <x v="0"/>
    <x v="7"/>
    <n v="18.648"/>
  </r>
  <r>
    <x v="3"/>
    <n v="154921"/>
    <x v="452"/>
    <s v="28/05/2016"/>
    <s v="Standard Class"/>
    <s v="Erin Ashbrook"/>
    <x v="244"/>
    <s v="Yes"/>
    <x v="0"/>
    <s v="Columbia"/>
    <x v="40"/>
    <x v="2"/>
    <x v="553"/>
    <x v="0"/>
    <x v="16"/>
    <n v="186.69"/>
  </r>
  <r>
    <x v="2"/>
    <n v="164924"/>
    <x v="57"/>
    <s v="10/07/2017"/>
    <s v="Same Day"/>
    <s v="Erin Ashbrook"/>
    <x v="244"/>
    <s v="Yes"/>
    <x v="0"/>
    <s v="Philadelphia"/>
    <x v="0"/>
    <x v="0"/>
    <x v="554"/>
    <x v="1"/>
    <x v="1"/>
    <n v="341.99099999999999"/>
  </r>
  <r>
    <x v="2"/>
    <n v="108581"/>
    <x v="244"/>
    <s v="26/06/2017"/>
    <s v="Standard Class"/>
    <s v="Erin Ashbrook"/>
    <x v="244"/>
    <s v="Yes"/>
    <x v="0"/>
    <s v="Carrollton"/>
    <x v="1"/>
    <x v="1"/>
    <x v="555"/>
    <x v="1"/>
    <x v="4"/>
    <n v="95.968000000000004"/>
  </r>
  <r>
    <x v="3"/>
    <n v="158939"/>
    <x v="453"/>
    <s v="01/12/2016"/>
    <s v="Standard Class"/>
    <s v="Erin Ashbrook"/>
    <x v="244"/>
    <s v="Yes"/>
    <x v="0"/>
    <s v="Springfield"/>
    <x v="9"/>
    <x v="1"/>
    <x v="556"/>
    <x v="1"/>
    <x v="11"/>
    <n v="599.99"/>
  </r>
  <r>
    <x v="2"/>
    <n v="168956"/>
    <x v="454"/>
    <s v="20/02/2017"/>
    <s v="Standard Class"/>
    <s v="Erin Ashbrook"/>
    <x v="244"/>
    <s v="Yes"/>
    <x v="0"/>
    <s v="Chicago"/>
    <x v="10"/>
    <x v="1"/>
    <x v="164"/>
    <x v="0"/>
    <x v="12"/>
    <n v="92.063999999999993"/>
  </r>
  <r>
    <x v="0"/>
    <n v="121909"/>
    <x v="455"/>
    <s v="05/08/2018"/>
    <s v="Standard Class"/>
    <s v="Erin Ashbrook"/>
    <x v="244"/>
    <s v="Yes"/>
    <x v="0"/>
    <s v="Philadelphia"/>
    <x v="0"/>
    <x v="0"/>
    <x v="557"/>
    <x v="0"/>
    <x v="2"/>
    <n v="54.816000000000003"/>
  </r>
  <r>
    <x v="0"/>
    <n v="140074"/>
    <x v="177"/>
    <s v="29/03/2018"/>
    <s v="Standard Class"/>
    <s v="Erin Creighton"/>
    <x v="245"/>
    <s v="No"/>
    <x v="2"/>
    <s v="New York City"/>
    <x v="3"/>
    <x v="0"/>
    <x v="558"/>
    <x v="0"/>
    <x v="2"/>
    <n v="25.68"/>
  </r>
  <r>
    <x v="2"/>
    <n v="155670"/>
    <x v="456"/>
    <s v="17/08/2017"/>
    <s v="Second Class"/>
    <s v="Erin Mull"/>
    <x v="246"/>
    <s v="No"/>
    <x v="2"/>
    <s v="Jacksonville"/>
    <x v="2"/>
    <x v="2"/>
    <x v="559"/>
    <x v="0"/>
    <x v="7"/>
    <n v="11.231999999999999"/>
  </r>
  <r>
    <x v="2"/>
    <n v="136924"/>
    <x v="215"/>
    <s v="17/07/2017"/>
    <s v="First Class"/>
    <s v="Erin Smith"/>
    <x v="247"/>
    <s v="Yes"/>
    <x v="0"/>
    <s v="Tucson"/>
    <x v="13"/>
    <x v="3"/>
    <x v="560"/>
    <x v="1"/>
    <x v="9"/>
    <n v="380.86399999999998"/>
  </r>
  <r>
    <x v="0"/>
    <n v="139619"/>
    <x v="364"/>
    <s v="23/09/2018"/>
    <s v="Standard Class"/>
    <s v="Erin Smith"/>
    <x v="247"/>
    <s v="Yes"/>
    <x v="0"/>
    <s v="Melbourne"/>
    <x v="17"/>
    <x v="2"/>
    <x v="561"/>
    <x v="0"/>
    <x v="3"/>
    <n v="95.616"/>
  </r>
  <r>
    <x v="2"/>
    <n v="134936"/>
    <x v="457"/>
    <s v="25/12/2017"/>
    <s v="Standard Class"/>
    <s v="Erin Smith"/>
    <x v="247"/>
    <s v="Yes"/>
    <x v="0"/>
    <s v="Tucson"/>
    <x v="13"/>
    <x v="3"/>
    <x v="562"/>
    <x v="2"/>
    <x v="14"/>
    <n v="455.97"/>
  </r>
  <r>
    <x v="2"/>
    <n v="161669"/>
    <x v="298"/>
    <s v="09/11/2017"/>
    <s v="First Class"/>
    <s v="Eudokia Martin"/>
    <x v="248"/>
    <s v="Yes"/>
    <x v="0"/>
    <s v="Los Angeles"/>
    <x v="5"/>
    <x v="3"/>
    <x v="563"/>
    <x v="0"/>
    <x v="7"/>
    <n v="37.44"/>
  </r>
  <r>
    <x v="3"/>
    <n v="159499"/>
    <x v="458"/>
    <s v="23/11/2016"/>
    <s v="Second Class"/>
    <s v="Eudokia Martin"/>
    <x v="248"/>
    <s v="Yes"/>
    <x v="0"/>
    <s v="Phoenix"/>
    <x v="13"/>
    <x v="3"/>
    <x v="564"/>
    <x v="0"/>
    <x v="12"/>
    <n v="325.63200000000001"/>
  </r>
  <r>
    <x v="3"/>
    <n v="154389"/>
    <x v="227"/>
    <s v="03/12/2016"/>
    <s v="Standard Class"/>
    <s v="Eugene Hildebrand"/>
    <x v="249"/>
    <s v="Yes"/>
    <x v="1"/>
    <s v="Philadelphia"/>
    <x v="0"/>
    <x v="0"/>
    <x v="565"/>
    <x v="1"/>
    <x v="9"/>
    <n v="748.75199999999995"/>
  </r>
  <r>
    <x v="2"/>
    <n v="156097"/>
    <x v="97"/>
    <s v="19/09/2017"/>
    <s v="Same Day"/>
    <s v="Eugene Hildebrand"/>
    <x v="249"/>
    <s v="Yes"/>
    <x v="1"/>
    <s v="Aurora"/>
    <x v="10"/>
    <x v="1"/>
    <x v="566"/>
    <x v="2"/>
    <x v="10"/>
    <n v="701.37199999999996"/>
  </r>
  <r>
    <x v="2"/>
    <n v="104969"/>
    <x v="459"/>
    <s v="14/04/2017"/>
    <s v="Standard Class"/>
    <s v="Eugene Hildebrand"/>
    <x v="249"/>
    <s v="Yes"/>
    <x v="1"/>
    <s v="Troy"/>
    <x v="21"/>
    <x v="0"/>
    <x v="567"/>
    <x v="0"/>
    <x v="16"/>
    <n v="8.8719999999999999"/>
  </r>
  <r>
    <x v="2"/>
    <n v="136126"/>
    <x v="460"/>
    <s v="24/05/2017"/>
    <s v="Same Day"/>
    <s v="Eugene Hildebrand"/>
    <x v="249"/>
    <s v="Yes"/>
    <x v="1"/>
    <s v="Newport News"/>
    <x v="4"/>
    <x v="2"/>
    <x v="568"/>
    <x v="0"/>
    <x v="5"/>
    <n v="69.5"/>
  </r>
  <r>
    <x v="0"/>
    <n v="133641"/>
    <x v="353"/>
    <s v="21/05/2018"/>
    <s v="Standard Class"/>
    <s v="Eva Jacobs"/>
    <x v="250"/>
    <s v="No"/>
    <x v="2"/>
    <s v="Gulfport"/>
    <x v="41"/>
    <x v="2"/>
    <x v="569"/>
    <x v="0"/>
    <x v="16"/>
    <n v="48.69"/>
  </r>
  <r>
    <x v="0"/>
    <n v="162635"/>
    <x v="248"/>
    <s v="10/10/2018"/>
    <s v="First Class"/>
    <s v="Evan Bailliet"/>
    <x v="251"/>
    <s v="No"/>
    <x v="2"/>
    <s v="Wilmington"/>
    <x v="2"/>
    <x v="2"/>
    <x v="570"/>
    <x v="0"/>
    <x v="2"/>
    <n v="10.816000000000001"/>
  </r>
  <r>
    <x v="1"/>
    <n v="139542"/>
    <x v="461"/>
    <s v="29/10/2015"/>
    <s v="Standard Class"/>
    <s v="Evan Henry"/>
    <x v="252"/>
    <s v="Yes"/>
    <x v="2"/>
    <s v="Philadelphia"/>
    <x v="0"/>
    <x v="0"/>
    <x v="571"/>
    <x v="1"/>
    <x v="4"/>
    <n v="40.776000000000003"/>
  </r>
  <r>
    <x v="0"/>
    <n v="112984"/>
    <x v="138"/>
    <s v="18/09/2018"/>
    <s v="Second Class"/>
    <s v="Evan Henry"/>
    <x v="252"/>
    <s v="Yes"/>
    <x v="2"/>
    <s v="Philadelphia"/>
    <x v="0"/>
    <x v="0"/>
    <x v="545"/>
    <x v="0"/>
    <x v="2"/>
    <n v="20.544"/>
  </r>
  <r>
    <x v="0"/>
    <n v="164056"/>
    <x v="462"/>
    <s v="04/05/2018"/>
    <s v="Second Class"/>
    <s v="Filia McAdams"/>
    <x v="253"/>
    <s v="Yes"/>
    <x v="0"/>
    <s v="Dublin"/>
    <x v="21"/>
    <x v="0"/>
    <x v="572"/>
    <x v="2"/>
    <x v="14"/>
    <n v="1048.3499999999999"/>
  </r>
  <r>
    <x v="0"/>
    <n v="127929"/>
    <x v="463"/>
    <s v="27/12/2018"/>
    <s v="Standard Class"/>
    <s v="Filia McAdams"/>
    <x v="253"/>
    <s v="Yes"/>
    <x v="0"/>
    <s v="Middletown"/>
    <x v="28"/>
    <x v="0"/>
    <x v="82"/>
    <x v="2"/>
    <x v="6"/>
    <n v="181.95"/>
  </r>
  <r>
    <x v="1"/>
    <n v="114643"/>
    <x v="464"/>
    <s v="17/06/2015"/>
    <s v="Standard Class"/>
    <s v="Filia McAdams"/>
    <x v="253"/>
    <s v="Yes"/>
    <x v="0"/>
    <s v="Los Angeles"/>
    <x v="5"/>
    <x v="3"/>
    <x v="573"/>
    <x v="0"/>
    <x v="0"/>
    <n v="14.52"/>
  </r>
  <r>
    <x v="3"/>
    <n v="131359"/>
    <x v="141"/>
    <s v="02/11/2016"/>
    <s v="Second Class"/>
    <s v="Frank Atkinson"/>
    <x v="254"/>
    <s v="Yes"/>
    <x v="0"/>
    <s v="Denver"/>
    <x v="20"/>
    <x v="3"/>
    <x v="574"/>
    <x v="1"/>
    <x v="1"/>
    <n v="59.994"/>
  </r>
  <r>
    <x v="2"/>
    <n v="113845"/>
    <x v="60"/>
    <s v="25/11/2017"/>
    <s v="Standard Class"/>
    <s v="Frank Atkinson"/>
    <x v="254"/>
    <s v="Yes"/>
    <x v="0"/>
    <s v="Orlando"/>
    <x v="17"/>
    <x v="2"/>
    <x v="575"/>
    <x v="2"/>
    <x v="13"/>
    <n v="289.56799999999998"/>
  </r>
  <r>
    <x v="0"/>
    <n v="122364"/>
    <x v="89"/>
    <s v="29/09/2018"/>
    <s v="Standard Class"/>
    <s v="Frank Atkinson"/>
    <x v="254"/>
    <s v="Yes"/>
    <x v="0"/>
    <s v="Los Angeles"/>
    <x v="5"/>
    <x v="3"/>
    <x v="576"/>
    <x v="1"/>
    <x v="9"/>
    <n v="859.2"/>
  </r>
  <r>
    <x v="3"/>
    <n v="135391"/>
    <x v="465"/>
    <s v="11/02/2016"/>
    <s v="Second Class"/>
    <s v="Frank Atkinson"/>
    <x v="254"/>
    <s v="Yes"/>
    <x v="0"/>
    <s v="San Antonio"/>
    <x v="1"/>
    <x v="1"/>
    <x v="577"/>
    <x v="0"/>
    <x v="8"/>
    <n v="40.095999999999997"/>
  </r>
  <r>
    <x v="1"/>
    <n v="156601"/>
    <x v="466"/>
    <s v="24/09/2015"/>
    <s v="Standard Class"/>
    <s v="Frank Atkinson"/>
    <x v="254"/>
    <s v="Yes"/>
    <x v="0"/>
    <s v="Long Beach"/>
    <x v="5"/>
    <x v="3"/>
    <x v="578"/>
    <x v="0"/>
    <x v="15"/>
    <n v="7.16"/>
  </r>
  <r>
    <x v="0"/>
    <n v="167640"/>
    <x v="467"/>
    <s v="10/03/2018"/>
    <s v="Standard Class"/>
    <s v="Frank Carlisle"/>
    <x v="255"/>
    <s v="No"/>
    <x v="1"/>
    <s v="San Francisco"/>
    <x v="5"/>
    <x v="3"/>
    <x v="579"/>
    <x v="0"/>
    <x v="0"/>
    <n v="23.88"/>
  </r>
  <r>
    <x v="0"/>
    <n v="101308"/>
    <x v="152"/>
    <s v="07/10/2018"/>
    <s v="Standard Class"/>
    <s v="Frank Gastineau"/>
    <x v="256"/>
    <s v="Yes"/>
    <x v="1"/>
    <s v="Seattle"/>
    <x v="15"/>
    <x v="3"/>
    <x v="580"/>
    <x v="0"/>
    <x v="15"/>
    <n v="8.94"/>
  </r>
  <r>
    <x v="0"/>
    <n v="160801"/>
    <x v="364"/>
    <s v="19/09/2018"/>
    <s v="Same Day"/>
    <s v="Frank Gastineau"/>
    <x v="256"/>
    <s v="Yes"/>
    <x v="1"/>
    <s v="Philadelphia"/>
    <x v="0"/>
    <x v="0"/>
    <x v="581"/>
    <x v="0"/>
    <x v="7"/>
    <n v="4.8419999999999996"/>
  </r>
  <r>
    <x v="0"/>
    <n v="106033"/>
    <x v="468"/>
    <s v="18/10/2018"/>
    <s v="Second Class"/>
    <s v="Frank Gastineau"/>
    <x v="256"/>
    <s v="Yes"/>
    <x v="1"/>
    <s v="San Francisco"/>
    <x v="5"/>
    <x v="3"/>
    <x v="582"/>
    <x v="0"/>
    <x v="0"/>
    <n v="87.92"/>
  </r>
  <r>
    <x v="2"/>
    <n v="152170"/>
    <x v="397"/>
    <s v="15/11/2017"/>
    <s v="Second Class"/>
    <s v="Frank Hawley"/>
    <x v="257"/>
    <s v="Yes"/>
    <x v="0"/>
    <s v="La Porte"/>
    <x v="11"/>
    <x v="1"/>
    <x v="583"/>
    <x v="0"/>
    <x v="16"/>
    <n v="287.52"/>
  </r>
  <r>
    <x v="0"/>
    <n v="121503"/>
    <x v="293"/>
    <s v="06/07/2018"/>
    <s v="Second Class"/>
    <s v="Frank Hawley"/>
    <x v="257"/>
    <s v="Yes"/>
    <x v="0"/>
    <s v="Houston"/>
    <x v="1"/>
    <x v="1"/>
    <x v="584"/>
    <x v="0"/>
    <x v="2"/>
    <n v="273.89600000000002"/>
  </r>
  <r>
    <x v="1"/>
    <n v="123260"/>
    <x v="469"/>
    <s v="30/08/2015"/>
    <s v="Standard Class"/>
    <s v="Frank Merwin"/>
    <x v="258"/>
    <s v="Yes"/>
    <x v="1"/>
    <s v="Los Angeles"/>
    <x v="5"/>
    <x v="3"/>
    <x v="585"/>
    <x v="1"/>
    <x v="4"/>
    <n v="176.8"/>
  </r>
  <r>
    <x v="0"/>
    <n v="129777"/>
    <x v="293"/>
    <s v="09/07/2018"/>
    <s v="Standard Class"/>
    <s v="Frank Merwin"/>
    <x v="258"/>
    <s v="Yes"/>
    <x v="1"/>
    <s v="Quincy"/>
    <x v="23"/>
    <x v="0"/>
    <x v="586"/>
    <x v="1"/>
    <x v="4"/>
    <n v="258.89999999999998"/>
  </r>
  <r>
    <x v="0"/>
    <n v="141992"/>
    <x v="62"/>
    <s v="25/06/2018"/>
    <s v="Standard Class"/>
    <s v="Frank Olsen"/>
    <x v="259"/>
    <s v="Yes"/>
    <x v="2"/>
    <s v="Dallas"/>
    <x v="1"/>
    <x v="1"/>
    <x v="587"/>
    <x v="0"/>
    <x v="5"/>
    <n v="11.183999999999999"/>
  </r>
  <r>
    <x v="0"/>
    <n v="106943"/>
    <x v="307"/>
    <s v="19/11/2018"/>
    <s v="Standard Class"/>
    <s v="Frank Olsen"/>
    <x v="259"/>
    <s v="Yes"/>
    <x v="2"/>
    <s v="New York City"/>
    <x v="3"/>
    <x v="0"/>
    <x v="588"/>
    <x v="0"/>
    <x v="7"/>
    <n v="8.64"/>
  </r>
  <r>
    <x v="2"/>
    <n v="125850"/>
    <x v="109"/>
    <s v="28/01/2017"/>
    <s v="Standard Class"/>
    <s v="Frank Preis"/>
    <x v="260"/>
    <s v="Yes"/>
    <x v="2"/>
    <s v="San Diego"/>
    <x v="5"/>
    <x v="3"/>
    <x v="589"/>
    <x v="0"/>
    <x v="8"/>
    <n v="44.4"/>
  </r>
  <r>
    <x v="2"/>
    <n v="153129"/>
    <x v="195"/>
    <s v="30/12/2017"/>
    <s v="Standard Class"/>
    <s v="Frank Preis"/>
    <x v="260"/>
    <s v="Yes"/>
    <x v="2"/>
    <s v="Seattle"/>
    <x v="15"/>
    <x v="3"/>
    <x v="590"/>
    <x v="0"/>
    <x v="2"/>
    <n v="33.9"/>
  </r>
  <r>
    <x v="0"/>
    <n v="137099"/>
    <x v="382"/>
    <s v="10/12/2018"/>
    <s v="First Class"/>
    <s v="Frank Preis"/>
    <x v="260"/>
    <s v="Yes"/>
    <x v="2"/>
    <s v="Los Angeles"/>
    <x v="5"/>
    <x v="3"/>
    <x v="591"/>
    <x v="1"/>
    <x v="9"/>
    <n v="374.37599999999998"/>
  </r>
  <r>
    <x v="0"/>
    <n v="113572"/>
    <x v="380"/>
    <s v="11/11/2018"/>
    <s v="Standard Class"/>
    <s v="Frank Preis"/>
    <x v="260"/>
    <s v="Yes"/>
    <x v="2"/>
    <s v="New York City"/>
    <x v="3"/>
    <x v="0"/>
    <x v="242"/>
    <x v="1"/>
    <x v="4"/>
    <n v="7.88"/>
  </r>
  <r>
    <x v="1"/>
    <n v="134054"/>
    <x v="317"/>
    <s v="10/10/2015"/>
    <s v="Same Day"/>
    <s v="Fred Chung"/>
    <x v="261"/>
    <s v="No"/>
    <x v="0"/>
    <s v="Albuquerque"/>
    <x v="22"/>
    <x v="3"/>
    <x v="592"/>
    <x v="0"/>
    <x v="0"/>
    <n v="255.85"/>
  </r>
  <r>
    <x v="0"/>
    <n v="106831"/>
    <x v="137"/>
    <s v="03/06/2018"/>
    <s v="First Class"/>
    <s v="Fred Harton"/>
    <x v="262"/>
    <s v="No"/>
    <x v="2"/>
    <s v="Dublin"/>
    <x v="21"/>
    <x v="0"/>
    <x v="593"/>
    <x v="0"/>
    <x v="7"/>
    <n v="3.798"/>
  </r>
  <r>
    <x v="0"/>
    <n v="109750"/>
    <x v="470"/>
    <s v="28/07/2018"/>
    <s v="Standard Class"/>
    <s v="Fred Hopkins"/>
    <x v="263"/>
    <s v="Yes"/>
    <x v="0"/>
    <s v="New York City"/>
    <x v="3"/>
    <x v="0"/>
    <x v="594"/>
    <x v="1"/>
    <x v="9"/>
    <n v="29.97"/>
  </r>
  <r>
    <x v="0"/>
    <n v="124303"/>
    <x v="82"/>
    <s v="13/07/2018"/>
    <s v="Standard Class"/>
    <s v="Fred Hopkins"/>
    <x v="263"/>
    <s v="Yes"/>
    <x v="0"/>
    <s v="Philadelphia"/>
    <x v="0"/>
    <x v="0"/>
    <x v="595"/>
    <x v="0"/>
    <x v="7"/>
    <n v="2.9460000000000002"/>
  </r>
  <r>
    <x v="3"/>
    <n v="111829"/>
    <x v="166"/>
    <s v="20/03/2016"/>
    <s v="First Class"/>
    <s v="Fred Hopkins"/>
    <x v="263"/>
    <s v="Yes"/>
    <x v="0"/>
    <s v="Seattle"/>
    <x v="15"/>
    <x v="3"/>
    <x v="596"/>
    <x v="0"/>
    <x v="3"/>
    <n v="1247.6400000000001"/>
  </r>
  <r>
    <x v="2"/>
    <n v="135720"/>
    <x v="114"/>
    <s v="13/12/2017"/>
    <s v="Second Class"/>
    <s v="Fred McMath"/>
    <x v="264"/>
    <s v="Yes"/>
    <x v="2"/>
    <s v="Aurora"/>
    <x v="20"/>
    <x v="3"/>
    <x v="597"/>
    <x v="0"/>
    <x v="3"/>
    <n v="243.38399999999999"/>
  </r>
  <r>
    <x v="3"/>
    <n v="112711"/>
    <x v="471"/>
    <s v="18/07/2016"/>
    <s v="Standard Class"/>
    <s v="Fred McMath"/>
    <x v="264"/>
    <s v="Yes"/>
    <x v="2"/>
    <s v="Amarillo"/>
    <x v="1"/>
    <x v="1"/>
    <x v="598"/>
    <x v="1"/>
    <x v="9"/>
    <n v="307.16800000000001"/>
  </r>
  <r>
    <x v="2"/>
    <n v="141082"/>
    <x v="333"/>
    <s v="13/12/2017"/>
    <s v="Standard Class"/>
    <s v="Fred McMath"/>
    <x v="264"/>
    <s v="Yes"/>
    <x v="2"/>
    <s v="Lawrence"/>
    <x v="23"/>
    <x v="0"/>
    <x v="599"/>
    <x v="0"/>
    <x v="8"/>
    <n v="3.69"/>
  </r>
  <r>
    <x v="3"/>
    <n v="121552"/>
    <x v="472"/>
    <s v="27/03/2016"/>
    <s v="Standard Class"/>
    <s v="Fred Wasserman"/>
    <x v="265"/>
    <s v="No"/>
    <x v="0"/>
    <s v="Huntsville"/>
    <x v="30"/>
    <x v="2"/>
    <x v="600"/>
    <x v="0"/>
    <x v="0"/>
    <n v="19.559999999999999"/>
  </r>
  <r>
    <x v="0"/>
    <n v="131849"/>
    <x v="473"/>
    <s v="10/06/2018"/>
    <s v="Standard Class"/>
    <s v="Gary Hansen"/>
    <x v="266"/>
    <s v="Yes"/>
    <x v="1"/>
    <s v="San Francisco"/>
    <x v="5"/>
    <x v="3"/>
    <x v="601"/>
    <x v="2"/>
    <x v="6"/>
    <n v="4.95"/>
  </r>
  <r>
    <x v="0"/>
    <n v="159282"/>
    <x v="106"/>
    <s v="21/10/2018"/>
    <s v="Standard Class"/>
    <s v="Gary Hansen"/>
    <x v="266"/>
    <s v="Yes"/>
    <x v="1"/>
    <s v="Yuma"/>
    <x v="13"/>
    <x v="3"/>
    <x v="602"/>
    <x v="1"/>
    <x v="1"/>
    <n v="599.98500000000001"/>
  </r>
  <r>
    <x v="0"/>
    <n v="163006"/>
    <x v="474"/>
    <s v="04/07/2018"/>
    <s v="Second Class"/>
    <s v="Gary Hansen"/>
    <x v="266"/>
    <s v="Yes"/>
    <x v="1"/>
    <s v="Chicago"/>
    <x v="10"/>
    <x v="1"/>
    <x v="603"/>
    <x v="1"/>
    <x v="9"/>
    <n v="1001.5839999999999"/>
  </r>
  <r>
    <x v="2"/>
    <n v="161025"/>
    <x v="237"/>
    <s v="09/12/2017"/>
    <s v="Standard Class"/>
    <s v="Gary McGarr"/>
    <x v="267"/>
    <s v="Yes"/>
    <x v="2"/>
    <s v="Los Angeles"/>
    <x v="5"/>
    <x v="3"/>
    <x v="277"/>
    <x v="0"/>
    <x v="3"/>
    <n v="772.68"/>
  </r>
  <r>
    <x v="0"/>
    <n v="135783"/>
    <x v="475"/>
    <s v="24/04/2018"/>
    <s v="First Class"/>
    <s v="Gary McGarr"/>
    <x v="267"/>
    <s v="Yes"/>
    <x v="2"/>
    <s v="San Francisco"/>
    <x v="5"/>
    <x v="3"/>
    <x v="604"/>
    <x v="2"/>
    <x v="6"/>
    <n v="18.28"/>
  </r>
  <r>
    <x v="0"/>
    <n v="121251"/>
    <x v="476"/>
    <s v="27/03/2018"/>
    <s v="First Class"/>
    <s v="Gary McGarr"/>
    <x v="267"/>
    <s v="Yes"/>
    <x v="2"/>
    <s v="New York City"/>
    <x v="3"/>
    <x v="0"/>
    <x v="168"/>
    <x v="2"/>
    <x v="13"/>
    <n v="257.56799999999998"/>
  </r>
  <r>
    <x v="2"/>
    <n v="161396"/>
    <x v="477"/>
    <s v="25/04/2017"/>
    <s v="Standard Class"/>
    <s v="Gary Mitchum"/>
    <x v="268"/>
    <s v="Yes"/>
    <x v="1"/>
    <s v="Columbus"/>
    <x v="21"/>
    <x v="0"/>
    <x v="605"/>
    <x v="2"/>
    <x v="14"/>
    <n v="205.17599999999999"/>
  </r>
  <r>
    <x v="0"/>
    <n v="122595"/>
    <x v="478"/>
    <s v="20/12/2018"/>
    <s v="Standard Class"/>
    <s v="Gary Mitchum"/>
    <x v="268"/>
    <s v="Yes"/>
    <x v="1"/>
    <s v="Chicago"/>
    <x v="10"/>
    <x v="1"/>
    <x v="31"/>
    <x v="1"/>
    <x v="4"/>
    <n v="227.976"/>
  </r>
  <r>
    <x v="1"/>
    <n v="143231"/>
    <x v="222"/>
    <s v="03/01/2016"/>
    <s v="First Class"/>
    <s v="Gary Mitchum"/>
    <x v="268"/>
    <s v="Yes"/>
    <x v="1"/>
    <s v="Franklin"/>
    <x v="23"/>
    <x v="0"/>
    <x v="606"/>
    <x v="2"/>
    <x v="6"/>
    <n v="63.2"/>
  </r>
  <r>
    <x v="2"/>
    <n v="159695"/>
    <x v="479"/>
    <s v="10/04/2017"/>
    <s v="Second Class"/>
    <s v="Gary Mitchum"/>
    <x v="268"/>
    <s v="Yes"/>
    <x v="1"/>
    <s v="Houston"/>
    <x v="1"/>
    <x v="1"/>
    <x v="607"/>
    <x v="0"/>
    <x v="3"/>
    <n v="158.36799999999999"/>
  </r>
  <r>
    <x v="0"/>
    <n v="151981"/>
    <x v="480"/>
    <s v="12/08/2018"/>
    <s v="Standard Class"/>
    <s v="Gary Mitchum"/>
    <x v="268"/>
    <s v="Yes"/>
    <x v="1"/>
    <s v="Concord"/>
    <x v="6"/>
    <x v="0"/>
    <x v="608"/>
    <x v="1"/>
    <x v="9"/>
    <n v="824.95"/>
  </r>
  <r>
    <x v="0"/>
    <n v="156769"/>
    <x v="404"/>
    <s v="09/05/2018"/>
    <s v="First Class"/>
    <s v="Gary Zandusky"/>
    <x v="269"/>
    <s v="Yes"/>
    <x v="2"/>
    <s v="Arlington"/>
    <x v="4"/>
    <x v="2"/>
    <x v="609"/>
    <x v="0"/>
    <x v="0"/>
    <n v="54.66"/>
  </r>
  <r>
    <x v="3"/>
    <n v="154795"/>
    <x v="120"/>
    <s v="24/12/2016"/>
    <s v="Standard Class"/>
    <s v="Gary Zandusky"/>
    <x v="269"/>
    <s v="Yes"/>
    <x v="2"/>
    <s v="Bullhead City"/>
    <x v="13"/>
    <x v="3"/>
    <x v="610"/>
    <x v="0"/>
    <x v="16"/>
    <n v="7.92"/>
  </r>
  <r>
    <x v="2"/>
    <n v="129903"/>
    <x v="481"/>
    <s v="04/12/2017"/>
    <s v="Second Class"/>
    <s v="Gary Zandusky"/>
    <x v="269"/>
    <s v="Yes"/>
    <x v="2"/>
    <s v="Rochester"/>
    <x v="26"/>
    <x v="1"/>
    <x v="611"/>
    <x v="0"/>
    <x v="2"/>
    <n v="23.92"/>
  </r>
  <r>
    <x v="0"/>
    <n v="123463"/>
    <x v="463"/>
    <s v="23/12/2018"/>
    <s v="Same Day"/>
    <s v="Gary Zandusky"/>
    <x v="269"/>
    <s v="Yes"/>
    <x v="2"/>
    <s v="San Francisco"/>
    <x v="5"/>
    <x v="3"/>
    <x v="612"/>
    <x v="0"/>
    <x v="0"/>
    <n v="13.48"/>
  </r>
  <r>
    <x v="1"/>
    <n v="132500"/>
    <x v="150"/>
    <s v="12/09/2015"/>
    <s v="Standard Class"/>
    <s v="Gary Zandusky"/>
    <x v="269"/>
    <s v="Yes"/>
    <x v="2"/>
    <s v="San Francisco"/>
    <x v="5"/>
    <x v="3"/>
    <x v="613"/>
    <x v="1"/>
    <x v="4"/>
    <n v="49.98"/>
  </r>
  <r>
    <x v="0"/>
    <n v="126928"/>
    <x v="32"/>
    <s v="23/09/2018"/>
    <s v="Standard Class"/>
    <s v="Gary Zandusky"/>
    <x v="269"/>
    <s v="Yes"/>
    <x v="2"/>
    <s v="Morristown"/>
    <x v="35"/>
    <x v="0"/>
    <x v="614"/>
    <x v="1"/>
    <x v="1"/>
    <n v="480"/>
  </r>
  <r>
    <x v="2"/>
    <n v="117590"/>
    <x v="482"/>
    <s v="10/12/2017"/>
    <s v="First Class"/>
    <s v="Gene Hale"/>
    <x v="270"/>
    <s v="No"/>
    <x v="0"/>
    <s v="Richardson"/>
    <x v="1"/>
    <x v="1"/>
    <x v="615"/>
    <x v="1"/>
    <x v="9"/>
    <n v="1097.5440000000001"/>
  </r>
  <r>
    <x v="1"/>
    <n v="141901"/>
    <x v="76"/>
    <s v="14/08/2015"/>
    <s v="Standard Class"/>
    <s v="Gene McClure"/>
    <x v="271"/>
    <s v="Yes"/>
    <x v="2"/>
    <s v="Fresno"/>
    <x v="5"/>
    <x v="3"/>
    <x v="616"/>
    <x v="0"/>
    <x v="2"/>
    <n v="5.98"/>
  </r>
  <r>
    <x v="2"/>
    <n v="119445"/>
    <x v="41"/>
    <s v="03/07/2017"/>
    <s v="Standard Class"/>
    <s v="Gene McClure"/>
    <x v="271"/>
    <s v="Yes"/>
    <x v="2"/>
    <s v="Providence"/>
    <x v="33"/>
    <x v="0"/>
    <x v="472"/>
    <x v="0"/>
    <x v="3"/>
    <n v="14.9"/>
  </r>
  <r>
    <x v="2"/>
    <n v="117625"/>
    <x v="483"/>
    <s v="15/05/2017"/>
    <s v="Standard Class"/>
    <s v="Gene McClure"/>
    <x v="271"/>
    <s v="Yes"/>
    <x v="2"/>
    <s v="Chicago"/>
    <x v="10"/>
    <x v="1"/>
    <x v="617"/>
    <x v="0"/>
    <x v="16"/>
    <n v="7.0720000000000001"/>
  </r>
  <r>
    <x v="2"/>
    <n v="137393"/>
    <x v="484"/>
    <s v="10/05/2017"/>
    <s v="Standard Class"/>
    <s v="Gene McClure"/>
    <x v="271"/>
    <s v="Yes"/>
    <x v="2"/>
    <s v="Bakersfield"/>
    <x v="5"/>
    <x v="3"/>
    <x v="23"/>
    <x v="2"/>
    <x v="6"/>
    <n v="41.6"/>
  </r>
  <r>
    <x v="2"/>
    <n v="132731"/>
    <x v="65"/>
    <s v="28/11/2017"/>
    <s v="Standard Class"/>
    <s v="George Ashbrook"/>
    <x v="272"/>
    <s v="No"/>
    <x v="2"/>
    <s v="Dallas"/>
    <x v="1"/>
    <x v="1"/>
    <x v="618"/>
    <x v="1"/>
    <x v="9"/>
    <n v="657.55200000000002"/>
  </r>
  <r>
    <x v="2"/>
    <n v="149314"/>
    <x v="485"/>
    <s v="07/07/2017"/>
    <s v="Second Class"/>
    <s v="George Bell"/>
    <x v="273"/>
    <s v="Yes"/>
    <x v="0"/>
    <s v="Los Angeles"/>
    <x v="5"/>
    <x v="3"/>
    <x v="619"/>
    <x v="2"/>
    <x v="10"/>
    <n v="195.184"/>
  </r>
  <r>
    <x v="2"/>
    <n v="159912"/>
    <x v="6"/>
    <s v="03/09/2017"/>
    <s v="Standard Class"/>
    <s v="George Bell"/>
    <x v="273"/>
    <s v="Yes"/>
    <x v="0"/>
    <s v="Philadelphia"/>
    <x v="0"/>
    <x v="0"/>
    <x v="620"/>
    <x v="2"/>
    <x v="14"/>
    <n v="241.92"/>
  </r>
  <r>
    <x v="3"/>
    <n v="126186"/>
    <x v="486"/>
    <s v="12/09/2016"/>
    <s v="First Class"/>
    <s v="George Bell"/>
    <x v="273"/>
    <s v="Yes"/>
    <x v="0"/>
    <s v="Aurora"/>
    <x v="20"/>
    <x v="3"/>
    <x v="621"/>
    <x v="2"/>
    <x v="6"/>
    <n v="24.64"/>
  </r>
  <r>
    <x v="0"/>
    <n v="160983"/>
    <x v="487"/>
    <s v="31/10/2018"/>
    <s v="Second Class"/>
    <s v="George Bell"/>
    <x v="273"/>
    <s v="Yes"/>
    <x v="0"/>
    <s v="Auburn"/>
    <x v="3"/>
    <x v="0"/>
    <x v="622"/>
    <x v="0"/>
    <x v="2"/>
    <n v="46.96"/>
  </r>
  <r>
    <x v="2"/>
    <n v="164672"/>
    <x v="305"/>
    <s v="13/05/2017"/>
    <s v="Second Class"/>
    <s v="George Bell"/>
    <x v="273"/>
    <s v="Yes"/>
    <x v="0"/>
    <s v="Dover"/>
    <x v="39"/>
    <x v="0"/>
    <x v="623"/>
    <x v="2"/>
    <x v="6"/>
    <n v="211.96"/>
  </r>
  <r>
    <x v="3"/>
    <n v="158421"/>
    <x v="256"/>
    <s v="26/09/2016"/>
    <s v="Standard Class"/>
    <s v="Giulietta Baptist"/>
    <x v="274"/>
    <s v="Yes"/>
    <x v="2"/>
    <s v="Columbia"/>
    <x v="40"/>
    <x v="2"/>
    <x v="270"/>
    <x v="2"/>
    <x v="10"/>
    <n v="1690.04"/>
  </r>
  <r>
    <x v="3"/>
    <n v="139850"/>
    <x v="488"/>
    <s v="17/06/2016"/>
    <s v="Standard Class"/>
    <s v="Giulietta Baptist"/>
    <x v="274"/>
    <s v="Yes"/>
    <x v="2"/>
    <s v="Philadelphia"/>
    <x v="0"/>
    <x v="0"/>
    <x v="624"/>
    <x v="0"/>
    <x v="2"/>
    <n v="20.736000000000001"/>
  </r>
  <r>
    <x v="2"/>
    <n v="121223"/>
    <x v="12"/>
    <s v="13/09/2017"/>
    <s v="Second Class"/>
    <s v="Giulietta Dortch"/>
    <x v="275"/>
    <s v="No"/>
    <x v="0"/>
    <s v="Philadelphia"/>
    <x v="0"/>
    <x v="0"/>
    <x v="625"/>
    <x v="0"/>
    <x v="2"/>
    <n v="8.4480000000000004"/>
  </r>
  <r>
    <x v="0"/>
    <n v="113852"/>
    <x v="91"/>
    <s v="02/08/2018"/>
    <s v="Standard Class"/>
    <s v="Giulietta Weimer"/>
    <x v="276"/>
    <s v="No"/>
    <x v="2"/>
    <s v="Seattle"/>
    <x v="15"/>
    <x v="3"/>
    <x v="626"/>
    <x v="1"/>
    <x v="4"/>
    <n v="90.57"/>
  </r>
  <r>
    <x v="0"/>
    <n v="139444"/>
    <x v="118"/>
    <s v="15/09/2018"/>
    <s v="Standard Class"/>
    <s v="Grace Kelly"/>
    <x v="277"/>
    <s v="Yes"/>
    <x v="0"/>
    <s v="Plano"/>
    <x v="1"/>
    <x v="1"/>
    <x v="627"/>
    <x v="0"/>
    <x v="8"/>
    <n v="9.8559999999999999"/>
  </r>
  <r>
    <x v="2"/>
    <n v="116729"/>
    <x v="489"/>
    <s v="28/12/2017"/>
    <s v="First Class"/>
    <s v="Grace Kelly"/>
    <x v="277"/>
    <s v="Yes"/>
    <x v="0"/>
    <s v="Los Angeles"/>
    <x v="5"/>
    <x v="3"/>
    <x v="628"/>
    <x v="1"/>
    <x v="9"/>
    <n v="2575.944"/>
  </r>
  <r>
    <x v="1"/>
    <n v="165862"/>
    <x v="490"/>
    <s v="17/07/2015"/>
    <s v="Standard Class"/>
    <s v="Grace Kelly"/>
    <x v="277"/>
    <s v="Yes"/>
    <x v="0"/>
    <s v="Los Angeles"/>
    <x v="5"/>
    <x v="3"/>
    <x v="629"/>
    <x v="2"/>
    <x v="14"/>
    <n v="351.21600000000001"/>
  </r>
  <r>
    <x v="2"/>
    <n v="162138"/>
    <x v="491"/>
    <s v="27/04/2017"/>
    <s v="Standard Class"/>
    <s v="Grace Kelly"/>
    <x v="277"/>
    <s v="Yes"/>
    <x v="0"/>
    <s v="Hesperia"/>
    <x v="5"/>
    <x v="3"/>
    <x v="630"/>
    <x v="0"/>
    <x v="7"/>
    <n v="251.52"/>
  </r>
  <r>
    <x v="3"/>
    <n v="161767"/>
    <x v="202"/>
    <s v="24/11/2016"/>
    <s v="Standard Class"/>
    <s v="Grace Kelly"/>
    <x v="277"/>
    <s v="Yes"/>
    <x v="0"/>
    <s v="Dallas"/>
    <x v="1"/>
    <x v="1"/>
    <x v="631"/>
    <x v="1"/>
    <x v="1"/>
    <n v="479.988"/>
  </r>
  <r>
    <x v="0"/>
    <n v="168116"/>
    <x v="274"/>
    <s v="04/11/2018"/>
    <s v="Same Day"/>
    <s v="Grant Thornton"/>
    <x v="278"/>
    <s v="No"/>
    <x v="0"/>
    <s v="Burlington"/>
    <x v="2"/>
    <x v="2"/>
    <x v="632"/>
    <x v="1"/>
    <x v="1"/>
    <n v="7999.98"/>
  </r>
  <r>
    <x v="1"/>
    <n v="106439"/>
    <x v="107"/>
    <s v="04/11/2015"/>
    <s v="Standard Class"/>
    <s v="Greg Guthrie"/>
    <x v="279"/>
    <s v="Yes"/>
    <x v="0"/>
    <s v="Los Angeles"/>
    <x v="5"/>
    <x v="3"/>
    <x v="633"/>
    <x v="0"/>
    <x v="15"/>
    <n v="11.34"/>
  </r>
  <r>
    <x v="3"/>
    <n v="136476"/>
    <x v="230"/>
    <s v="10/04/2016"/>
    <s v="Standard Class"/>
    <s v="Greg Guthrie"/>
    <x v="279"/>
    <s v="Yes"/>
    <x v="0"/>
    <s v="Bristol"/>
    <x v="18"/>
    <x v="2"/>
    <x v="634"/>
    <x v="0"/>
    <x v="7"/>
    <n v="157.79400000000001"/>
  </r>
  <r>
    <x v="3"/>
    <n v="163090"/>
    <x v="204"/>
    <s v="21/11/2016"/>
    <s v="Second Class"/>
    <s v="Greg Hansen"/>
    <x v="280"/>
    <s v="Yes"/>
    <x v="2"/>
    <s v="Chicago"/>
    <x v="10"/>
    <x v="1"/>
    <x v="635"/>
    <x v="0"/>
    <x v="5"/>
    <n v="40.92"/>
  </r>
  <r>
    <x v="0"/>
    <n v="136539"/>
    <x v="283"/>
    <s v="01/01/2019"/>
    <s v="Standard Class"/>
    <s v="Greg Hansen"/>
    <x v="280"/>
    <s v="Yes"/>
    <x v="2"/>
    <s v="Round Rock"/>
    <x v="1"/>
    <x v="1"/>
    <x v="636"/>
    <x v="0"/>
    <x v="0"/>
    <n v="27.167999999999999"/>
  </r>
  <r>
    <x v="1"/>
    <n v="127012"/>
    <x v="492"/>
    <s v="15/08/2015"/>
    <s v="Standard Class"/>
    <s v="Greg Matthias"/>
    <x v="281"/>
    <s v="Yes"/>
    <x v="2"/>
    <s v="Seattle"/>
    <x v="15"/>
    <x v="3"/>
    <x v="637"/>
    <x v="2"/>
    <x v="6"/>
    <n v="12.35"/>
  </r>
  <r>
    <x v="2"/>
    <n v="139710"/>
    <x v="493"/>
    <s v="15/06/2017"/>
    <s v="Standard Class"/>
    <s v="Greg Matthias"/>
    <x v="281"/>
    <s v="Yes"/>
    <x v="2"/>
    <s v="Los Angeles"/>
    <x v="5"/>
    <x v="3"/>
    <x v="638"/>
    <x v="1"/>
    <x v="9"/>
    <n v="177.48"/>
  </r>
  <r>
    <x v="2"/>
    <n v="139157"/>
    <x v="494"/>
    <s v="05/10/2017"/>
    <s v="Standard Class"/>
    <s v="Greg Matthias"/>
    <x v="281"/>
    <s v="Yes"/>
    <x v="2"/>
    <s v="New York City"/>
    <x v="3"/>
    <x v="0"/>
    <x v="639"/>
    <x v="2"/>
    <x v="14"/>
    <n v="330.58800000000002"/>
  </r>
  <r>
    <x v="1"/>
    <n v="103310"/>
    <x v="495"/>
    <s v="15/05/2015"/>
    <s v="Standard Class"/>
    <s v="Greg Matthias"/>
    <x v="281"/>
    <s v="Yes"/>
    <x v="2"/>
    <s v="San Jose"/>
    <x v="5"/>
    <x v="3"/>
    <x v="640"/>
    <x v="0"/>
    <x v="2"/>
    <n v="39.96"/>
  </r>
  <r>
    <x v="0"/>
    <n v="161774"/>
    <x v="353"/>
    <s v="15/05/2018"/>
    <s v="First Class"/>
    <s v="Greg Tran"/>
    <x v="282"/>
    <s v="Yes"/>
    <x v="2"/>
    <s v="Houston"/>
    <x v="1"/>
    <x v="1"/>
    <x v="298"/>
    <x v="2"/>
    <x v="10"/>
    <n v="899.43"/>
  </r>
  <r>
    <x v="3"/>
    <n v="124450"/>
    <x v="496"/>
    <s v="03/05/2016"/>
    <s v="Standard Class"/>
    <s v="Greg Tran"/>
    <x v="282"/>
    <s v="Yes"/>
    <x v="2"/>
    <s v="Washington"/>
    <x v="43"/>
    <x v="0"/>
    <x v="443"/>
    <x v="0"/>
    <x v="0"/>
    <n v="22.74"/>
  </r>
  <r>
    <x v="2"/>
    <n v="169040"/>
    <x v="497"/>
    <s v="12/12/2017"/>
    <s v="Standard Class"/>
    <s v="Greg Tran"/>
    <x v="282"/>
    <s v="Yes"/>
    <x v="2"/>
    <s v="Seattle"/>
    <x v="15"/>
    <x v="3"/>
    <x v="641"/>
    <x v="1"/>
    <x v="9"/>
    <n v="156.792"/>
  </r>
  <r>
    <x v="0"/>
    <n v="126956"/>
    <x v="498"/>
    <s v="28/08/2018"/>
    <s v="Standard Class"/>
    <s v="Greg Tran"/>
    <x v="282"/>
    <s v="Yes"/>
    <x v="2"/>
    <s v="Lakeville"/>
    <x v="26"/>
    <x v="1"/>
    <x v="500"/>
    <x v="0"/>
    <x v="15"/>
    <n v="35"/>
  </r>
  <r>
    <x v="0"/>
    <n v="101945"/>
    <x v="499"/>
    <s v="28/11/2018"/>
    <s v="Standard Class"/>
    <s v="Greg Tran"/>
    <x v="282"/>
    <s v="Yes"/>
    <x v="2"/>
    <s v="Houston"/>
    <x v="1"/>
    <x v="1"/>
    <x v="408"/>
    <x v="0"/>
    <x v="15"/>
    <n v="10.824"/>
  </r>
  <r>
    <x v="0"/>
    <n v="114636"/>
    <x v="500"/>
    <s v="29/08/2018"/>
    <s v="Standard Class"/>
    <s v="Guy Armstrong"/>
    <x v="283"/>
    <s v="Yes"/>
    <x v="2"/>
    <s v="Charlotte"/>
    <x v="2"/>
    <x v="2"/>
    <x v="642"/>
    <x v="0"/>
    <x v="2"/>
    <n v="192.16"/>
  </r>
  <r>
    <x v="0"/>
    <n v="107503"/>
    <x v="501"/>
    <s v="06/01/2018"/>
    <s v="Standard Class"/>
    <s v="Guy Armstrong"/>
    <x v="283"/>
    <s v="Yes"/>
    <x v="2"/>
    <s v="Lorain"/>
    <x v="21"/>
    <x v="0"/>
    <x v="643"/>
    <x v="2"/>
    <x v="6"/>
    <n v="48.896000000000001"/>
  </r>
  <r>
    <x v="3"/>
    <n v="126235"/>
    <x v="502"/>
    <s v="15/10/2016"/>
    <s v="Same Day"/>
    <s v="Guy Armstrong"/>
    <x v="283"/>
    <s v="Yes"/>
    <x v="2"/>
    <s v="Mount Pleasant"/>
    <x v="34"/>
    <x v="1"/>
    <x v="644"/>
    <x v="2"/>
    <x v="6"/>
    <n v="17.14"/>
  </r>
  <r>
    <x v="3"/>
    <n v="110163"/>
    <x v="503"/>
    <s v="04/11/2016"/>
    <s v="First Class"/>
    <s v="Guy Armstrong"/>
    <x v="283"/>
    <s v="Yes"/>
    <x v="2"/>
    <s v="Salem"/>
    <x v="25"/>
    <x v="3"/>
    <x v="645"/>
    <x v="0"/>
    <x v="0"/>
    <n v="7.88"/>
  </r>
  <r>
    <x v="1"/>
    <n v="136742"/>
    <x v="80"/>
    <s v="10/04/2015"/>
    <s v="Standard Class"/>
    <s v="Guy Phonely"/>
    <x v="284"/>
    <s v="No"/>
    <x v="0"/>
    <s v="Lancaster"/>
    <x v="0"/>
    <x v="0"/>
    <x v="646"/>
    <x v="0"/>
    <x v="7"/>
    <n v="44.91"/>
  </r>
  <r>
    <x v="2"/>
    <n v="130029"/>
    <x v="504"/>
    <s v="06/07/2017"/>
    <s v="First Class"/>
    <s v="Guy Thornton"/>
    <x v="285"/>
    <s v="Yes"/>
    <x v="2"/>
    <s v="Los Angeles"/>
    <x v="5"/>
    <x v="3"/>
    <x v="647"/>
    <x v="0"/>
    <x v="2"/>
    <n v="12.96"/>
  </r>
  <r>
    <x v="0"/>
    <n v="104745"/>
    <x v="505"/>
    <s v="04/06/2018"/>
    <s v="Standard Class"/>
    <s v="Guy Thornton"/>
    <x v="285"/>
    <s v="Yes"/>
    <x v="2"/>
    <s v="Harlingen"/>
    <x v="1"/>
    <x v="1"/>
    <x v="648"/>
    <x v="0"/>
    <x v="2"/>
    <n v="25.92"/>
  </r>
  <r>
    <x v="0"/>
    <n v="106964"/>
    <x v="119"/>
    <s v="20/12/2018"/>
    <s v="First Class"/>
    <s v="Hallie Redmond"/>
    <x v="286"/>
    <s v="Yes"/>
    <x v="1"/>
    <s v="Los Angeles"/>
    <x v="5"/>
    <x v="3"/>
    <x v="649"/>
    <x v="0"/>
    <x v="7"/>
    <n v="11.808"/>
  </r>
  <r>
    <x v="3"/>
    <n v="103954"/>
    <x v="372"/>
    <s v="13/08/2016"/>
    <s v="Second Class"/>
    <s v="Hallie Redmond"/>
    <x v="286"/>
    <s v="Yes"/>
    <x v="1"/>
    <s v="Milwaukee"/>
    <x v="29"/>
    <x v="1"/>
    <x v="650"/>
    <x v="2"/>
    <x v="13"/>
    <n v="687.4"/>
  </r>
  <r>
    <x v="1"/>
    <n v="143707"/>
    <x v="506"/>
    <s v="05/03/2015"/>
    <s v="Standard Class"/>
    <s v="Hallie Redmond"/>
    <x v="286"/>
    <s v="Yes"/>
    <x v="1"/>
    <s v="New York City"/>
    <x v="3"/>
    <x v="0"/>
    <x v="651"/>
    <x v="1"/>
    <x v="9"/>
    <n v="5.94"/>
  </r>
  <r>
    <x v="1"/>
    <n v="119172"/>
    <x v="507"/>
    <s v="15/05/2015"/>
    <s v="Standard Class"/>
    <s v="Harold Dahlen"/>
    <x v="287"/>
    <s v="No"/>
    <x v="1"/>
    <s v="Chicago"/>
    <x v="10"/>
    <x v="1"/>
    <x v="652"/>
    <x v="0"/>
    <x v="2"/>
    <n v="17.472000000000001"/>
  </r>
  <r>
    <x v="0"/>
    <n v="143252"/>
    <x v="0"/>
    <s v="24/12/2018"/>
    <s v="Standard Class"/>
    <s v="Harold Engle"/>
    <x v="288"/>
    <s v="No"/>
    <x v="0"/>
    <s v="Milwaukee"/>
    <x v="29"/>
    <x v="1"/>
    <x v="653"/>
    <x v="2"/>
    <x v="6"/>
    <n v="99.95"/>
  </r>
  <r>
    <x v="1"/>
    <n v="121664"/>
    <x v="508"/>
    <s v="10/05/2015"/>
    <s v="Standard Class"/>
    <s v="Harold Pawlan"/>
    <x v="289"/>
    <s v="Yes"/>
    <x v="1"/>
    <s v="Los Angeles"/>
    <x v="5"/>
    <x v="3"/>
    <x v="654"/>
    <x v="0"/>
    <x v="7"/>
    <n v="140.73599999999999"/>
  </r>
  <r>
    <x v="3"/>
    <n v="122259"/>
    <x v="331"/>
    <s v="04/11/2016"/>
    <s v="Standard Class"/>
    <s v="Harold Pawlan"/>
    <x v="289"/>
    <s v="Yes"/>
    <x v="1"/>
    <s v="Jackson"/>
    <x v="34"/>
    <x v="1"/>
    <x v="655"/>
    <x v="0"/>
    <x v="5"/>
    <n v="70.12"/>
  </r>
  <r>
    <x v="3"/>
    <n v="118983"/>
    <x v="78"/>
    <s v="26/11/2016"/>
    <s v="Standard Class"/>
    <s v="Harold Pawlan"/>
    <x v="289"/>
    <s v="Yes"/>
    <x v="1"/>
    <s v="Fort Worth"/>
    <x v="1"/>
    <x v="1"/>
    <x v="656"/>
    <x v="0"/>
    <x v="12"/>
    <n v="68.81"/>
  </r>
  <r>
    <x v="0"/>
    <n v="111689"/>
    <x v="509"/>
    <s v="02/12/2018"/>
    <s v="Second Class"/>
    <s v="Harold Pawlan"/>
    <x v="289"/>
    <s v="Yes"/>
    <x v="1"/>
    <s v="New York City"/>
    <x v="3"/>
    <x v="0"/>
    <x v="657"/>
    <x v="0"/>
    <x v="7"/>
    <n v="68.471999999999994"/>
  </r>
  <r>
    <x v="3"/>
    <n v="135538"/>
    <x v="368"/>
    <s v="28/12/2016"/>
    <s v="Standard Class"/>
    <s v="Harold Ryan"/>
    <x v="290"/>
    <s v="Yes"/>
    <x v="0"/>
    <s v="Gilbert"/>
    <x v="13"/>
    <x v="3"/>
    <x v="658"/>
    <x v="2"/>
    <x v="10"/>
    <n v="883.84"/>
  </r>
  <r>
    <x v="3"/>
    <n v="110632"/>
    <x v="510"/>
    <s v="22/03/2016"/>
    <s v="Second Class"/>
    <s v="Harold Ryan"/>
    <x v="290"/>
    <s v="Yes"/>
    <x v="0"/>
    <s v="New York City"/>
    <x v="3"/>
    <x v="0"/>
    <x v="659"/>
    <x v="1"/>
    <x v="4"/>
    <n v="15.02"/>
  </r>
  <r>
    <x v="1"/>
    <n v="127131"/>
    <x v="448"/>
    <s v="30/11/2015"/>
    <s v="Standard Class"/>
    <s v="Harold Ryan"/>
    <x v="290"/>
    <s v="Yes"/>
    <x v="0"/>
    <s v="Seattle"/>
    <x v="15"/>
    <x v="3"/>
    <x v="660"/>
    <x v="0"/>
    <x v="7"/>
    <n v="12.096"/>
  </r>
  <r>
    <x v="3"/>
    <n v="161347"/>
    <x v="511"/>
    <s v="19/09/2016"/>
    <s v="Standard Class"/>
    <s v="Harry Greene"/>
    <x v="291"/>
    <s v="Yes"/>
    <x v="2"/>
    <s v="Philadelphia"/>
    <x v="0"/>
    <x v="0"/>
    <x v="661"/>
    <x v="0"/>
    <x v="7"/>
    <n v="2.4119999999999999"/>
  </r>
  <r>
    <x v="0"/>
    <n v="141873"/>
    <x v="248"/>
    <s v="14/10/2018"/>
    <s v="Standard Class"/>
    <s v="Harry Greene"/>
    <x v="291"/>
    <s v="Yes"/>
    <x v="2"/>
    <s v="New York City"/>
    <x v="3"/>
    <x v="0"/>
    <x v="662"/>
    <x v="0"/>
    <x v="7"/>
    <n v="12.816000000000001"/>
  </r>
  <r>
    <x v="3"/>
    <n v="128587"/>
    <x v="368"/>
    <s v="30/12/2016"/>
    <s v="Standard Class"/>
    <s v="Harry Marie"/>
    <x v="292"/>
    <s v="Yes"/>
    <x v="0"/>
    <s v="Springfield"/>
    <x v="9"/>
    <x v="1"/>
    <x v="663"/>
    <x v="2"/>
    <x v="6"/>
    <n v="9.68"/>
  </r>
  <r>
    <x v="2"/>
    <n v="110170"/>
    <x v="512"/>
    <s v="03/10/2017"/>
    <s v="Standard Class"/>
    <s v="Harry Marie"/>
    <x v="292"/>
    <s v="Yes"/>
    <x v="0"/>
    <s v="Huntsville"/>
    <x v="1"/>
    <x v="1"/>
    <x v="664"/>
    <x v="2"/>
    <x v="13"/>
    <n v="956.66480000000001"/>
  </r>
  <r>
    <x v="0"/>
    <n v="132738"/>
    <x v="513"/>
    <s v="07/08/2018"/>
    <s v="First Class"/>
    <s v="Harry Marie"/>
    <x v="292"/>
    <s v="Yes"/>
    <x v="0"/>
    <s v="Loveland"/>
    <x v="20"/>
    <x v="3"/>
    <x v="665"/>
    <x v="0"/>
    <x v="2"/>
    <n v="7.968"/>
  </r>
  <r>
    <x v="3"/>
    <n v="109862"/>
    <x v="514"/>
    <s v="30/10/2016"/>
    <s v="Standard Class"/>
    <s v="Heather Kirkland"/>
    <x v="293"/>
    <s v="Yes"/>
    <x v="0"/>
    <s v="Newark"/>
    <x v="39"/>
    <x v="0"/>
    <x v="666"/>
    <x v="1"/>
    <x v="9"/>
    <n v="158.99"/>
  </r>
  <r>
    <x v="0"/>
    <n v="126382"/>
    <x v="515"/>
    <s v="07/06/2018"/>
    <s v="Standard Class"/>
    <s v="Heather Kirkland"/>
    <x v="293"/>
    <s v="Yes"/>
    <x v="0"/>
    <s v="Franklin"/>
    <x v="18"/>
    <x v="2"/>
    <x v="667"/>
    <x v="2"/>
    <x v="6"/>
    <n v="35.167999999999999"/>
  </r>
  <r>
    <x v="0"/>
    <n v="124576"/>
    <x v="1"/>
    <s v="04/08/2018"/>
    <s v="Second Class"/>
    <s v="Heather Kirkland"/>
    <x v="293"/>
    <s v="Yes"/>
    <x v="0"/>
    <s v="Salinas"/>
    <x v="5"/>
    <x v="3"/>
    <x v="668"/>
    <x v="0"/>
    <x v="7"/>
    <n v="54.896000000000001"/>
  </r>
  <r>
    <x v="2"/>
    <n v="165484"/>
    <x v="516"/>
    <s v="29/10/2017"/>
    <s v="Standard Class"/>
    <s v="Heather Kirkland"/>
    <x v="293"/>
    <s v="Yes"/>
    <x v="0"/>
    <s v="Chicago"/>
    <x v="10"/>
    <x v="1"/>
    <x v="457"/>
    <x v="2"/>
    <x v="6"/>
    <n v="16.155999999999999"/>
  </r>
  <r>
    <x v="1"/>
    <n v="146640"/>
    <x v="116"/>
    <s v="05/07/2015"/>
    <s v="Standard Class"/>
    <s v="Helen Abelman"/>
    <x v="294"/>
    <s v="Yes"/>
    <x v="2"/>
    <s v="New York City"/>
    <x v="3"/>
    <x v="0"/>
    <x v="564"/>
    <x v="0"/>
    <x v="7"/>
    <n v="334.76799999999997"/>
  </r>
  <r>
    <x v="3"/>
    <n v="153073"/>
    <x v="517"/>
    <s v="13/11/2016"/>
    <s v="Same Day"/>
    <s v="Helen Abelman"/>
    <x v="294"/>
    <s v="Yes"/>
    <x v="2"/>
    <s v="Chicago"/>
    <x v="10"/>
    <x v="1"/>
    <x v="669"/>
    <x v="2"/>
    <x v="6"/>
    <n v="17.495999999999999"/>
  </r>
  <r>
    <x v="0"/>
    <n v="130141"/>
    <x v="199"/>
    <s v="24/10/2018"/>
    <s v="Second Class"/>
    <s v="Helen Abelman"/>
    <x v="294"/>
    <s v="Yes"/>
    <x v="2"/>
    <s v="Fort Collins"/>
    <x v="20"/>
    <x v="3"/>
    <x v="670"/>
    <x v="0"/>
    <x v="7"/>
    <n v="3.1680000000000001"/>
  </r>
  <r>
    <x v="2"/>
    <n v="113649"/>
    <x v="518"/>
    <s v="12/08/2017"/>
    <s v="First Class"/>
    <s v="Helen Andreada"/>
    <x v="295"/>
    <s v="Yes"/>
    <x v="2"/>
    <s v="Fayetteville"/>
    <x v="2"/>
    <x v="2"/>
    <x v="671"/>
    <x v="0"/>
    <x v="2"/>
    <n v="30.815999999999999"/>
  </r>
  <r>
    <x v="0"/>
    <n v="117044"/>
    <x v="241"/>
    <s v="13/09/2018"/>
    <s v="Second Class"/>
    <s v="Helen Andreada"/>
    <x v="295"/>
    <s v="Yes"/>
    <x v="2"/>
    <s v="Chicago"/>
    <x v="10"/>
    <x v="1"/>
    <x v="672"/>
    <x v="0"/>
    <x v="15"/>
    <n v="10.528"/>
  </r>
  <r>
    <x v="0"/>
    <n v="157651"/>
    <x v="51"/>
    <s v="14/12/2018"/>
    <s v="Standard Class"/>
    <s v="Helen Andreada"/>
    <x v="295"/>
    <s v="Yes"/>
    <x v="2"/>
    <s v="Philadelphia"/>
    <x v="0"/>
    <x v="0"/>
    <x v="673"/>
    <x v="1"/>
    <x v="4"/>
    <n v="14.2"/>
  </r>
  <r>
    <x v="3"/>
    <n v="155334"/>
    <x v="310"/>
    <s v="31/07/2016"/>
    <s v="First Class"/>
    <s v="Helen Andreada"/>
    <x v="295"/>
    <s v="Yes"/>
    <x v="2"/>
    <s v="San Francisco"/>
    <x v="5"/>
    <x v="3"/>
    <x v="674"/>
    <x v="1"/>
    <x v="4"/>
    <n v="209.93"/>
  </r>
  <r>
    <x v="3"/>
    <n v="136735"/>
    <x v="323"/>
    <s v="02/08/2016"/>
    <s v="Standard Class"/>
    <s v="Helen Andreada"/>
    <x v="295"/>
    <s v="Yes"/>
    <x v="2"/>
    <s v="San Francisco"/>
    <x v="5"/>
    <x v="3"/>
    <x v="211"/>
    <x v="0"/>
    <x v="16"/>
    <n v="167.86"/>
  </r>
  <r>
    <x v="2"/>
    <n v="136133"/>
    <x v="519"/>
    <s v="23/08/2017"/>
    <s v="Second Class"/>
    <s v="Helen Wasserman"/>
    <x v="296"/>
    <s v="Yes"/>
    <x v="0"/>
    <s v="New York City"/>
    <x v="3"/>
    <x v="0"/>
    <x v="390"/>
    <x v="0"/>
    <x v="12"/>
    <n v="355.32"/>
  </r>
  <r>
    <x v="0"/>
    <n v="105809"/>
    <x v="520"/>
    <s v="23/02/2018"/>
    <s v="First Class"/>
    <s v="Helen Wasserman"/>
    <x v="296"/>
    <s v="Yes"/>
    <x v="0"/>
    <s v="San Diego"/>
    <x v="5"/>
    <x v="3"/>
    <x v="675"/>
    <x v="2"/>
    <x v="6"/>
    <n v="22.23"/>
  </r>
  <r>
    <x v="0"/>
    <n v="165491"/>
    <x v="521"/>
    <s v="24/03/2018"/>
    <s v="Standard Class"/>
    <s v="Helen Wasserman"/>
    <x v="296"/>
    <s v="Yes"/>
    <x v="0"/>
    <s v="Seattle"/>
    <x v="15"/>
    <x v="3"/>
    <x v="527"/>
    <x v="1"/>
    <x v="4"/>
    <n v="265.93"/>
  </r>
  <r>
    <x v="0"/>
    <n v="140326"/>
    <x v="522"/>
    <s v="06/09/2018"/>
    <s v="First Class"/>
    <s v="Helen Wasserman"/>
    <x v="296"/>
    <s v="Yes"/>
    <x v="0"/>
    <s v="Chicago"/>
    <x v="10"/>
    <x v="1"/>
    <x v="676"/>
    <x v="2"/>
    <x v="13"/>
    <n v="825.17399999999998"/>
  </r>
  <r>
    <x v="2"/>
    <n v="154361"/>
    <x v="523"/>
    <s v="19/03/2017"/>
    <s v="Standard Class"/>
    <s v="Henia Zydlo"/>
    <x v="297"/>
    <s v="Yes"/>
    <x v="2"/>
    <s v="Columbus"/>
    <x v="21"/>
    <x v="0"/>
    <x v="677"/>
    <x v="2"/>
    <x v="6"/>
    <n v="21.88"/>
  </r>
  <r>
    <x v="0"/>
    <n v="168739"/>
    <x v="505"/>
    <s v="05/06/2018"/>
    <s v="Standard Class"/>
    <s v="Henia Zydlo"/>
    <x v="297"/>
    <s v="Yes"/>
    <x v="2"/>
    <s v="Houston"/>
    <x v="1"/>
    <x v="1"/>
    <x v="678"/>
    <x v="2"/>
    <x v="6"/>
    <n v="65.424000000000007"/>
  </r>
  <r>
    <x v="1"/>
    <n v="152723"/>
    <x v="285"/>
    <s v="26/09/2015"/>
    <s v="Same Day"/>
    <s v="Henry Goldwyn"/>
    <x v="298"/>
    <s v="Yes"/>
    <x v="0"/>
    <s v="Mesquite"/>
    <x v="1"/>
    <x v="1"/>
    <x v="679"/>
    <x v="0"/>
    <x v="7"/>
    <n v="0.876"/>
  </r>
  <r>
    <x v="0"/>
    <n v="122714"/>
    <x v="382"/>
    <s v="13/12/2018"/>
    <s v="Standard Class"/>
    <s v="Henry Goldwyn"/>
    <x v="298"/>
    <s v="Yes"/>
    <x v="0"/>
    <s v="Chicago"/>
    <x v="10"/>
    <x v="1"/>
    <x v="680"/>
    <x v="0"/>
    <x v="7"/>
    <n v="1889.99"/>
  </r>
  <r>
    <x v="1"/>
    <n v="126480"/>
    <x v="405"/>
    <s v="24/09/2015"/>
    <s v="Standard Class"/>
    <s v="Henry Goldwyn"/>
    <x v="298"/>
    <s v="Yes"/>
    <x v="0"/>
    <s v="San Diego"/>
    <x v="5"/>
    <x v="3"/>
    <x v="681"/>
    <x v="0"/>
    <x v="2"/>
    <n v="8.56"/>
  </r>
  <r>
    <x v="2"/>
    <n v="145919"/>
    <x v="28"/>
    <s v="23/12/2017"/>
    <s v="Standard Class"/>
    <s v="Henry Goldwyn"/>
    <x v="298"/>
    <s v="Yes"/>
    <x v="0"/>
    <s v="Los Angeles"/>
    <x v="5"/>
    <x v="3"/>
    <x v="682"/>
    <x v="0"/>
    <x v="2"/>
    <n v="38.880000000000003"/>
  </r>
  <r>
    <x v="2"/>
    <n v="106075"/>
    <x v="524"/>
    <s v="23/09/2017"/>
    <s v="Standard Class"/>
    <s v="Henry MacAllister"/>
    <x v="299"/>
    <s v="No"/>
    <x v="2"/>
    <s v="New York City"/>
    <x v="3"/>
    <x v="0"/>
    <x v="683"/>
    <x v="0"/>
    <x v="7"/>
    <n v="4.6159999999999997"/>
  </r>
  <r>
    <x v="0"/>
    <n v="129833"/>
    <x v="81"/>
    <s v="15/12/2018"/>
    <s v="Standard Class"/>
    <s v="Herbert Flentye"/>
    <x v="300"/>
    <s v="No"/>
    <x v="2"/>
    <s v="Indianapolis"/>
    <x v="11"/>
    <x v="1"/>
    <x v="684"/>
    <x v="0"/>
    <x v="2"/>
    <n v="33.450000000000003"/>
  </r>
  <r>
    <x v="0"/>
    <n v="131492"/>
    <x v="525"/>
    <s v="24/10/2018"/>
    <s v="Second Class"/>
    <s v="Hilary Holden"/>
    <x v="301"/>
    <s v="Yes"/>
    <x v="0"/>
    <s v="San Francisco"/>
    <x v="5"/>
    <x v="3"/>
    <x v="685"/>
    <x v="0"/>
    <x v="16"/>
    <n v="8.9600000000000009"/>
  </r>
  <r>
    <x v="1"/>
    <n v="135699"/>
    <x v="526"/>
    <s v="29/08/2015"/>
    <s v="Same Day"/>
    <s v="Hilary Holden"/>
    <x v="301"/>
    <s v="Yes"/>
    <x v="0"/>
    <s v="San Francisco"/>
    <x v="5"/>
    <x v="3"/>
    <x v="686"/>
    <x v="0"/>
    <x v="2"/>
    <n v="109.92"/>
  </r>
  <r>
    <x v="1"/>
    <n v="163748"/>
    <x v="527"/>
    <s v="18/10/2015"/>
    <s v="Standard Class"/>
    <s v="Hunter Glantz"/>
    <x v="302"/>
    <s v="Yes"/>
    <x v="2"/>
    <s v="Fort Worth"/>
    <x v="1"/>
    <x v="1"/>
    <x v="687"/>
    <x v="0"/>
    <x v="12"/>
    <n v="3.16"/>
  </r>
  <r>
    <x v="2"/>
    <n v="156692"/>
    <x v="456"/>
    <s v="13/08/2017"/>
    <s v="Same Day"/>
    <s v="Hunter Glantz"/>
    <x v="302"/>
    <s v="Yes"/>
    <x v="2"/>
    <s v="Kenner"/>
    <x v="27"/>
    <x v="2"/>
    <x v="688"/>
    <x v="0"/>
    <x v="12"/>
    <n v="17.34"/>
  </r>
  <r>
    <x v="2"/>
    <n v="140634"/>
    <x v="438"/>
    <s v="06/10/2017"/>
    <s v="Second Class"/>
    <s v="Hunter Lopez"/>
    <x v="303"/>
    <s v="Yes"/>
    <x v="2"/>
    <s v="Houston"/>
    <x v="1"/>
    <x v="1"/>
    <x v="689"/>
    <x v="0"/>
    <x v="16"/>
    <n v="15.648"/>
  </r>
  <r>
    <x v="2"/>
    <n v="101987"/>
    <x v="174"/>
    <s v="30/06/2017"/>
    <s v="Standard Class"/>
    <s v="Hunter Lopez"/>
    <x v="303"/>
    <s v="Yes"/>
    <x v="2"/>
    <s v="Richmond"/>
    <x v="11"/>
    <x v="1"/>
    <x v="690"/>
    <x v="1"/>
    <x v="9"/>
    <n v="440.91"/>
  </r>
  <r>
    <x v="0"/>
    <n v="134607"/>
    <x v="67"/>
    <s v="08/10/2018"/>
    <s v="Second Class"/>
    <s v="Hunter Lopez"/>
    <x v="303"/>
    <s v="Yes"/>
    <x v="2"/>
    <s v="Rochester"/>
    <x v="3"/>
    <x v="0"/>
    <x v="691"/>
    <x v="0"/>
    <x v="3"/>
    <n v="22.58"/>
  </r>
  <r>
    <x v="1"/>
    <n v="147627"/>
    <x v="528"/>
    <s v="26/01/2015"/>
    <s v="Standard Class"/>
    <s v="Hunter Lopez"/>
    <x v="303"/>
    <s v="Yes"/>
    <x v="2"/>
    <s v="Jonesboro"/>
    <x v="37"/>
    <x v="2"/>
    <x v="692"/>
    <x v="1"/>
    <x v="9"/>
    <n v="699.93"/>
  </r>
  <r>
    <x v="3"/>
    <n v="104346"/>
    <x v="529"/>
    <s v="16/12/2016"/>
    <s v="Standard Class"/>
    <s v="Irene Maddox"/>
    <x v="304"/>
    <s v="Yes"/>
    <x v="2"/>
    <s v="Colorado Springs"/>
    <x v="20"/>
    <x v="3"/>
    <x v="74"/>
    <x v="0"/>
    <x v="0"/>
    <n v="13.12"/>
  </r>
  <r>
    <x v="2"/>
    <n v="140501"/>
    <x v="530"/>
    <s v="28/06/2017"/>
    <s v="Standard Class"/>
    <s v="Irene Maddox"/>
    <x v="304"/>
    <s v="Yes"/>
    <x v="2"/>
    <s v="New York City"/>
    <x v="3"/>
    <x v="0"/>
    <x v="693"/>
    <x v="0"/>
    <x v="8"/>
    <n v="122.12"/>
  </r>
  <r>
    <x v="2"/>
    <n v="161389"/>
    <x v="47"/>
    <s v="10/12/2017"/>
    <s v="Standard Class"/>
    <s v="Irene Maddox"/>
    <x v="304"/>
    <s v="Yes"/>
    <x v="2"/>
    <s v="Seattle"/>
    <x v="15"/>
    <x v="3"/>
    <x v="321"/>
    <x v="0"/>
    <x v="7"/>
    <n v="407.976"/>
  </r>
  <r>
    <x v="3"/>
    <n v="154956"/>
    <x v="23"/>
    <s v="09/07/2016"/>
    <s v="Standard Class"/>
    <s v="Irene Maddox"/>
    <x v="304"/>
    <s v="Yes"/>
    <x v="2"/>
    <s v="Milwaukee"/>
    <x v="29"/>
    <x v="1"/>
    <x v="694"/>
    <x v="1"/>
    <x v="9"/>
    <n v="1099.96"/>
  </r>
  <r>
    <x v="1"/>
    <n v="120768"/>
    <x v="144"/>
    <s v="21/12/2015"/>
    <s v="Second Class"/>
    <s v="Irene Maddox"/>
    <x v="304"/>
    <s v="Yes"/>
    <x v="2"/>
    <s v="Florence"/>
    <x v="30"/>
    <x v="2"/>
    <x v="695"/>
    <x v="0"/>
    <x v="7"/>
    <n v="152.76"/>
  </r>
  <r>
    <x v="0"/>
    <n v="158743"/>
    <x v="423"/>
    <s v="27/10/2018"/>
    <s v="Standard Class"/>
    <s v="Ivan Gibson"/>
    <x v="305"/>
    <s v="Yes"/>
    <x v="2"/>
    <s v="Little Rock"/>
    <x v="37"/>
    <x v="2"/>
    <x v="696"/>
    <x v="0"/>
    <x v="0"/>
    <n v="13.36"/>
  </r>
  <r>
    <x v="2"/>
    <n v="159345"/>
    <x v="531"/>
    <s v="22/06/2017"/>
    <s v="Standard Class"/>
    <s v="Ivan Gibson"/>
    <x v="305"/>
    <s v="Yes"/>
    <x v="2"/>
    <s v="San Diego"/>
    <x v="5"/>
    <x v="3"/>
    <x v="697"/>
    <x v="0"/>
    <x v="2"/>
    <n v="111.96"/>
  </r>
  <r>
    <x v="3"/>
    <n v="114741"/>
    <x v="121"/>
    <s v="10/12/2016"/>
    <s v="Standard Class"/>
    <s v="Ivan Liston"/>
    <x v="306"/>
    <s v="Yes"/>
    <x v="2"/>
    <s v="North Las Vegas"/>
    <x v="8"/>
    <x v="3"/>
    <x v="698"/>
    <x v="0"/>
    <x v="2"/>
    <n v="6.48"/>
  </r>
  <r>
    <x v="3"/>
    <n v="156482"/>
    <x v="532"/>
    <s v="13/02/2016"/>
    <s v="Standard Class"/>
    <s v="Ivan Liston"/>
    <x v="306"/>
    <s v="Yes"/>
    <x v="2"/>
    <s v="Wilmington"/>
    <x v="39"/>
    <x v="0"/>
    <x v="699"/>
    <x v="2"/>
    <x v="10"/>
    <n v="1268.82"/>
  </r>
  <r>
    <x v="1"/>
    <n v="152296"/>
    <x v="85"/>
    <s v="03/08/2015"/>
    <s v="First Class"/>
    <s v="Ivan Liston"/>
    <x v="306"/>
    <s v="Yes"/>
    <x v="2"/>
    <s v="San Francisco"/>
    <x v="5"/>
    <x v="3"/>
    <x v="700"/>
    <x v="0"/>
    <x v="7"/>
    <n v="19.751999999999999"/>
  </r>
  <r>
    <x v="1"/>
    <n v="135972"/>
    <x v="533"/>
    <s v="23/09/2015"/>
    <s v="Second Class"/>
    <s v="Jack Garza"/>
    <x v="307"/>
    <s v="No"/>
    <x v="2"/>
    <s v="Des Moines"/>
    <x v="15"/>
    <x v="3"/>
    <x v="701"/>
    <x v="1"/>
    <x v="9"/>
    <n v="246.38399999999999"/>
  </r>
  <r>
    <x v="1"/>
    <n v="167486"/>
    <x v="534"/>
    <s v="01/12/2015"/>
    <s v="Standard Class"/>
    <s v="Jack O'Briant"/>
    <x v="308"/>
    <s v="No"/>
    <x v="0"/>
    <s v="Buffalo"/>
    <x v="3"/>
    <x v="0"/>
    <x v="702"/>
    <x v="2"/>
    <x v="6"/>
    <n v="199.9"/>
  </r>
  <r>
    <x v="2"/>
    <n v="124772"/>
    <x v="47"/>
    <s v="06/12/2017"/>
    <s v="First Class"/>
    <s v="James Galang"/>
    <x v="309"/>
    <s v="Yes"/>
    <x v="2"/>
    <s v="Murray"/>
    <x v="12"/>
    <x v="2"/>
    <x v="703"/>
    <x v="2"/>
    <x v="6"/>
    <n v="191.82"/>
  </r>
  <r>
    <x v="0"/>
    <n v="138548"/>
    <x v="179"/>
    <s v="21/08/2018"/>
    <s v="Standard Class"/>
    <s v="James Galang"/>
    <x v="309"/>
    <s v="Yes"/>
    <x v="2"/>
    <s v="Plainfield"/>
    <x v="35"/>
    <x v="0"/>
    <x v="704"/>
    <x v="0"/>
    <x v="12"/>
    <n v="97.84"/>
  </r>
  <r>
    <x v="2"/>
    <n v="140977"/>
    <x v="535"/>
    <s v="19/06/2017"/>
    <s v="Second Class"/>
    <s v="James Lanier"/>
    <x v="310"/>
    <s v="Yes"/>
    <x v="1"/>
    <s v="Chattanooga"/>
    <x v="18"/>
    <x v="2"/>
    <x v="705"/>
    <x v="1"/>
    <x v="1"/>
    <n v="91.474999999999994"/>
  </r>
  <r>
    <x v="0"/>
    <n v="128734"/>
    <x v="79"/>
    <s v="31/12/2018"/>
    <s v="Standard Class"/>
    <s v="James Lanier"/>
    <x v="310"/>
    <s v="Yes"/>
    <x v="1"/>
    <s v="Chandler"/>
    <x v="13"/>
    <x v="3"/>
    <x v="706"/>
    <x v="2"/>
    <x v="6"/>
    <n v="8.5440000000000005"/>
  </r>
  <r>
    <x v="0"/>
    <n v="156083"/>
    <x v="274"/>
    <s v="11/11/2018"/>
    <s v="Standard Class"/>
    <s v="James Lanier"/>
    <x v="310"/>
    <s v="Yes"/>
    <x v="1"/>
    <s v="Columbia"/>
    <x v="18"/>
    <x v="2"/>
    <x v="707"/>
    <x v="0"/>
    <x v="2"/>
    <n v="9.6639999999999997"/>
  </r>
  <r>
    <x v="0"/>
    <n v="123281"/>
    <x v="536"/>
    <s v="07/04/2018"/>
    <s v="Standard Class"/>
    <s v="Jamie Frazer"/>
    <x v="311"/>
    <s v="No"/>
    <x v="2"/>
    <s v="Los Angeles"/>
    <x v="5"/>
    <x v="3"/>
    <x v="456"/>
    <x v="2"/>
    <x v="6"/>
    <n v="25.11"/>
  </r>
  <r>
    <x v="0"/>
    <n v="123491"/>
    <x v="537"/>
    <s v="05/11/2018"/>
    <s v="Standard Class"/>
    <s v="Jamie Kunitz"/>
    <x v="312"/>
    <s v="Yes"/>
    <x v="2"/>
    <s v="San Francisco"/>
    <x v="5"/>
    <x v="3"/>
    <x v="708"/>
    <x v="0"/>
    <x v="8"/>
    <n v="43.86"/>
  </r>
  <r>
    <x v="3"/>
    <n v="116484"/>
    <x v="202"/>
    <s v="26/11/2016"/>
    <s v="Standard Class"/>
    <s v="Jamie Kunitz"/>
    <x v="312"/>
    <s v="Yes"/>
    <x v="2"/>
    <s v="Marion"/>
    <x v="21"/>
    <x v="0"/>
    <x v="709"/>
    <x v="2"/>
    <x v="6"/>
    <n v="63.823999999999998"/>
  </r>
  <r>
    <x v="0"/>
    <n v="139661"/>
    <x v="537"/>
    <s v="03/11/2018"/>
    <s v="Standard Class"/>
    <s v="Jane Waco"/>
    <x v="313"/>
    <s v="Yes"/>
    <x v="0"/>
    <s v="Vancouver"/>
    <x v="15"/>
    <x v="3"/>
    <x v="233"/>
    <x v="2"/>
    <x v="6"/>
    <n v="9.64"/>
  </r>
  <r>
    <x v="0"/>
    <n v="116113"/>
    <x v="152"/>
    <s v="06/10/2018"/>
    <s v="Second Class"/>
    <s v="Jane Waco"/>
    <x v="313"/>
    <s v="Yes"/>
    <x v="0"/>
    <s v="Montgomery"/>
    <x v="30"/>
    <x v="2"/>
    <x v="710"/>
    <x v="2"/>
    <x v="6"/>
    <n v="10.16"/>
  </r>
  <r>
    <x v="0"/>
    <n v="135909"/>
    <x v="73"/>
    <s v="20/10/2018"/>
    <s v="Standard Class"/>
    <s v="Jane Waco"/>
    <x v="313"/>
    <s v="Yes"/>
    <x v="0"/>
    <s v="Sacramento"/>
    <x v="5"/>
    <x v="3"/>
    <x v="423"/>
    <x v="1"/>
    <x v="4"/>
    <n v="209.94"/>
  </r>
  <r>
    <x v="0"/>
    <n v="158946"/>
    <x v="122"/>
    <s v="23/11/2018"/>
    <s v="Standard Class"/>
    <s v="Jane Waco"/>
    <x v="313"/>
    <s v="Yes"/>
    <x v="0"/>
    <s v="Lakewood"/>
    <x v="21"/>
    <x v="0"/>
    <x v="711"/>
    <x v="0"/>
    <x v="0"/>
    <n v="38.863999999999997"/>
  </r>
  <r>
    <x v="2"/>
    <n v="165169"/>
    <x v="538"/>
    <s v="11/06/2017"/>
    <s v="Standard Class"/>
    <s v="Janet Lee"/>
    <x v="314"/>
    <s v="Yes"/>
    <x v="2"/>
    <s v="Newark"/>
    <x v="39"/>
    <x v="0"/>
    <x v="712"/>
    <x v="0"/>
    <x v="3"/>
    <n v="360.38"/>
  </r>
  <r>
    <x v="1"/>
    <n v="130379"/>
    <x v="539"/>
    <s v="29/05/2015"/>
    <s v="Standard Class"/>
    <s v="Janet Lee"/>
    <x v="314"/>
    <s v="Yes"/>
    <x v="2"/>
    <s v="Chicago"/>
    <x v="10"/>
    <x v="1"/>
    <x v="158"/>
    <x v="0"/>
    <x v="12"/>
    <n v="75.599999999999994"/>
  </r>
  <r>
    <x v="2"/>
    <n v="167556"/>
    <x v="540"/>
    <s v="02/04/2017"/>
    <s v="Standard Class"/>
    <s v="Janet Martin"/>
    <x v="315"/>
    <s v="Yes"/>
    <x v="2"/>
    <s v="New York City"/>
    <x v="3"/>
    <x v="0"/>
    <x v="713"/>
    <x v="0"/>
    <x v="2"/>
    <n v="13.48"/>
  </r>
  <r>
    <x v="0"/>
    <n v="119004"/>
    <x v="541"/>
    <s v="28/11/2018"/>
    <s v="Standard Class"/>
    <s v="Janet Martin"/>
    <x v="315"/>
    <s v="Yes"/>
    <x v="2"/>
    <s v="Charlotte"/>
    <x v="2"/>
    <x v="2"/>
    <x v="714"/>
    <x v="1"/>
    <x v="4"/>
    <n v="74.111999999999995"/>
  </r>
  <r>
    <x v="2"/>
    <n v="105816"/>
    <x v="114"/>
    <s v="17/12/2017"/>
    <s v="Standard Class"/>
    <s v="Janet Molinari"/>
    <x v="316"/>
    <s v="Yes"/>
    <x v="0"/>
    <s v="New York City"/>
    <x v="3"/>
    <x v="0"/>
    <x v="369"/>
    <x v="0"/>
    <x v="15"/>
    <n v="15.26"/>
  </r>
  <r>
    <x v="0"/>
    <n v="149160"/>
    <x v="541"/>
    <s v="26/11/2018"/>
    <s v="Second Class"/>
    <s v="Janet Molinari"/>
    <x v="316"/>
    <s v="Yes"/>
    <x v="0"/>
    <s v="Canton"/>
    <x v="34"/>
    <x v="1"/>
    <x v="715"/>
    <x v="2"/>
    <x v="6"/>
    <n v="28.4"/>
  </r>
  <r>
    <x v="0"/>
    <n v="118402"/>
    <x v="542"/>
    <s v="04/10/2018"/>
    <s v="Standard Class"/>
    <s v="Jas O'Carroll"/>
    <x v="317"/>
    <s v="Yes"/>
    <x v="2"/>
    <s v="Memphis"/>
    <x v="18"/>
    <x v="2"/>
    <x v="716"/>
    <x v="0"/>
    <x v="3"/>
    <n v="243.92"/>
  </r>
  <r>
    <x v="3"/>
    <n v="109197"/>
    <x v="543"/>
    <s v="04/01/2017"/>
    <s v="Standard Class"/>
    <s v="Jas O'Carroll"/>
    <x v="317"/>
    <s v="Yes"/>
    <x v="2"/>
    <s v="Missoula"/>
    <x v="16"/>
    <x v="3"/>
    <x v="717"/>
    <x v="0"/>
    <x v="7"/>
    <n v="487.98399999999998"/>
  </r>
  <r>
    <x v="3"/>
    <n v="130890"/>
    <x v="441"/>
    <s v="06/11/2016"/>
    <s v="Standard Class"/>
    <s v="Jas O'Carroll"/>
    <x v="317"/>
    <s v="Yes"/>
    <x v="2"/>
    <s v="Los Angeles"/>
    <x v="5"/>
    <x v="3"/>
    <x v="718"/>
    <x v="2"/>
    <x v="14"/>
    <n v="1038.8399999999999"/>
  </r>
  <r>
    <x v="1"/>
    <n v="112403"/>
    <x v="50"/>
    <s v="31/03/2015"/>
    <s v="Same Day"/>
    <s v="Jas O'Carroll"/>
    <x v="317"/>
    <s v="Yes"/>
    <x v="2"/>
    <s v="Philadelphia"/>
    <x v="0"/>
    <x v="0"/>
    <x v="719"/>
    <x v="0"/>
    <x v="7"/>
    <n v="0.85199999999999998"/>
  </r>
  <r>
    <x v="2"/>
    <n v="163594"/>
    <x v="170"/>
    <s v="14/04/2017"/>
    <s v="First Class"/>
    <s v="Jason Fortune-"/>
    <x v="318"/>
    <s v="No"/>
    <x v="2"/>
    <s v="Los Angeles"/>
    <x v="5"/>
    <x v="3"/>
    <x v="720"/>
    <x v="0"/>
    <x v="2"/>
    <n v="19.440000000000001"/>
  </r>
  <r>
    <x v="0"/>
    <n v="119578"/>
    <x v="544"/>
    <s v="27/12/2018"/>
    <s v="Second Class"/>
    <s v="Jason Gross"/>
    <x v="319"/>
    <s v="Yes"/>
    <x v="0"/>
    <s v="Providence"/>
    <x v="33"/>
    <x v="0"/>
    <x v="721"/>
    <x v="0"/>
    <x v="5"/>
    <n v="695.16"/>
  </r>
  <r>
    <x v="2"/>
    <n v="141957"/>
    <x v="545"/>
    <s v="21/07/2017"/>
    <s v="Same Day"/>
    <s v="Jason Gross"/>
    <x v="319"/>
    <s v="Yes"/>
    <x v="0"/>
    <s v="Newark"/>
    <x v="21"/>
    <x v="0"/>
    <x v="722"/>
    <x v="0"/>
    <x v="0"/>
    <n v="18.655999999999999"/>
  </r>
  <r>
    <x v="0"/>
    <n v="129441"/>
    <x v="90"/>
    <s v="11/09/2018"/>
    <s v="Standard Class"/>
    <s v="Jasper Cacioppo"/>
    <x v="320"/>
    <s v="No"/>
    <x v="2"/>
    <s v="Los Angeles"/>
    <x v="5"/>
    <x v="3"/>
    <x v="723"/>
    <x v="2"/>
    <x v="6"/>
    <n v="47.94"/>
  </r>
  <r>
    <x v="0"/>
    <n v="144113"/>
    <x v="138"/>
    <s v="20/09/2018"/>
    <s v="Standard Class"/>
    <s v="Jay Fein"/>
    <x v="321"/>
    <s v="Yes"/>
    <x v="2"/>
    <s v="Austin"/>
    <x v="1"/>
    <x v="1"/>
    <x v="724"/>
    <x v="0"/>
    <x v="16"/>
    <n v="17.568000000000001"/>
  </r>
  <r>
    <x v="0"/>
    <n v="141103"/>
    <x v="546"/>
    <s v="06/08/2018"/>
    <s v="Standard Class"/>
    <s v="Jay Fein"/>
    <x v="321"/>
    <s v="Yes"/>
    <x v="2"/>
    <s v="Baltimore"/>
    <x v="31"/>
    <x v="0"/>
    <x v="725"/>
    <x v="1"/>
    <x v="9"/>
    <n v="89.95"/>
  </r>
  <r>
    <x v="2"/>
    <n v="152163"/>
    <x v="547"/>
    <s v="01/07/2017"/>
    <s v="Same Day"/>
    <s v="Jay Fein"/>
    <x v="321"/>
    <s v="Yes"/>
    <x v="2"/>
    <s v="Columbia"/>
    <x v="40"/>
    <x v="2"/>
    <x v="726"/>
    <x v="0"/>
    <x v="7"/>
    <n v="14.2"/>
  </r>
  <r>
    <x v="3"/>
    <n v="142027"/>
    <x v="548"/>
    <s v="14/04/2016"/>
    <s v="Standard Class"/>
    <s v="Jay Kimmel"/>
    <x v="322"/>
    <s v="Yes"/>
    <x v="2"/>
    <s v="Long Beach"/>
    <x v="5"/>
    <x v="3"/>
    <x v="727"/>
    <x v="2"/>
    <x v="14"/>
    <n v="369.91199999999998"/>
  </r>
  <r>
    <x v="3"/>
    <n v="127453"/>
    <x v="549"/>
    <s v="20/12/2016"/>
    <s v="First Class"/>
    <s v="Jay Kimmel"/>
    <x v="322"/>
    <s v="Yes"/>
    <x v="2"/>
    <s v="Philadelphia"/>
    <x v="0"/>
    <x v="0"/>
    <x v="728"/>
    <x v="0"/>
    <x v="12"/>
    <n v="434.35199999999998"/>
  </r>
  <r>
    <x v="1"/>
    <n v="102715"/>
    <x v="550"/>
    <s v="13/04/2015"/>
    <s v="Second Class"/>
    <s v="Jay Kimmel"/>
    <x v="322"/>
    <s v="Yes"/>
    <x v="2"/>
    <s v="Miami"/>
    <x v="17"/>
    <x v="2"/>
    <x v="729"/>
    <x v="0"/>
    <x v="15"/>
    <n v="6.9119999999999999"/>
  </r>
  <r>
    <x v="0"/>
    <n v="108560"/>
    <x v="551"/>
    <s v="15/07/2018"/>
    <s v="Standard Class"/>
    <s v="Jenna Caffey"/>
    <x v="323"/>
    <s v="No"/>
    <x v="2"/>
    <s v="Kent"/>
    <x v="15"/>
    <x v="3"/>
    <x v="730"/>
    <x v="2"/>
    <x v="6"/>
    <n v="198.46"/>
  </r>
  <r>
    <x v="1"/>
    <n v="100853"/>
    <x v="133"/>
    <s v="19/09/2015"/>
    <s v="Standard Class"/>
    <s v="Jennifer Braxton"/>
    <x v="324"/>
    <s v="Yes"/>
    <x v="0"/>
    <s v="Chicago"/>
    <x v="10"/>
    <x v="1"/>
    <x v="731"/>
    <x v="0"/>
    <x v="12"/>
    <n v="52.448"/>
  </r>
  <r>
    <x v="3"/>
    <n v="104185"/>
    <x v="552"/>
    <s v="08/09/2016"/>
    <s v="Second Class"/>
    <s v="Jennifer Braxton"/>
    <x v="324"/>
    <s v="Yes"/>
    <x v="0"/>
    <s v="New York City"/>
    <x v="3"/>
    <x v="0"/>
    <x v="104"/>
    <x v="0"/>
    <x v="3"/>
    <n v="120.33"/>
  </r>
  <r>
    <x v="3"/>
    <n v="145821"/>
    <x v="553"/>
    <s v="07/05/2016"/>
    <s v="Standard Class"/>
    <s v="Jennifer Braxton"/>
    <x v="324"/>
    <s v="Yes"/>
    <x v="0"/>
    <s v="Los Angeles"/>
    <x v="5"/>
    <x v="3"/>
    <x v="732"/>
    <x v="1"/>
    <x v="9"/>
    <n v="88.751999999999995"/>
  </r>
  <r>
    <x v="0"/>
    <n v="158246"/>
    <x v="203"/>
    <s v="11/11/2018"/>
    <s v="First Class"/>
    <s v="Jennifer Braxton"/>
    <x v="324"/>
    <s v="Yes"/>
    <x v="0"/>
    <s v="Sunnyvale"/>
    <x v="5"/>
    <x v="3"/>
    <x v="733"/>
    <x v="2"/>
    <x v="10"/>
    <n v="215.976"/>
  </r>
  <r>
    <x v="2"/>
    <n v="165316"/>
    <x v="554"/>
    <s v="27/07/2017"/>
    <s v="Standard Class"/>
    <s v="Jennifer Braxton"/>
    <x v="324"/>
    <s v="Yes"/>
    <x v="0"/>
    <s v="Tampa"/>
    <x v="17"/>
    <x v="2"/>
    <x v="734"/>
    <x v="0"/>
    <x v="0"/>
    <n v="35.216000000000001"/>
  </r>
  <r>
    <x v="1"/>
    <n v="166828"/>
    <x v="555"/>
    <s v="25/08/2015"/>
    <s v="First Class"/>
    <s v="Jennifer Ferguson"/>
    <x v="325"/>
    <s v="Yes"/>
    <x v="2"/>
    <s v="Saint Charles"/>
    <x v="9"/>
    <x v="1"/>
    <x v="735"/>
    <x v="0"/>
    <x v="2"/>
    <n v="11.56"/>
  </r>
  <r>
    <x v="3"/>
    <n v="105844"/>
    <x v="514"/>
    <s v="27/10/2016"/>
    <s v="Second Class"/>
    <s v="Jennifer Ferguson"/>
    <x v="325"/>
    <s v="Yes"/>
    <x v="2"/>
    <s v="Sparks"/>
    <x v="8"/>
    <x v="3"/>
    <x v="736"/>
    <x v="0"/>
    <x v="0"/>
    <n v="79.36"/>
  </r>
  <r>
    <x v="0"/>
    <n v="121818"/>
    <x v="205"/>
    <s v="21/11/2018"/>
    <s v="First Class"/>
    <s v="Jennifer Halladay"/>
    <x v="326"/>
    <s v="No"/>
    <x v="2"/>
    <s v="Burlington"/>
    <x v="2"/>
    <x v="2"/>
    <x v="737"/>
    <x v="0"/>
    <x v="0"/>
    <n v="23.968"/>
  </r>
  <r>
    <x v="2"/>
    <n v="163986"/>
    <x v="556"/>
    <s v="10/09/2017"/>
    <s v="Standard Class"/>
    <s v="Jennifer Jackson"/>
    <x v="327"/>
    <s v="Yes"/>
    <x v="2"/>
    <s v="Waukesha"/>
    <x v="29"/>
    <x v="1"/>
    <x v="738"/>
    <x v="0"/>
    <x v="3"/>
    <n v="54.5"/>
  </r>
  <r>
    <x v="3"/>
    <n v="127418"/>
    <x v="361"/>
    <s v="14/06/2016"/>
    <s v="First Class"/>
    <s v="Jennifer Jackson"/>
    <x v="327"/>
    <s v="Yes"/>
    <x v="2"/>
    <s v="Los Angeles"/>
    <x v="5"/>
    <x v="3"/>
    <x v="739"/>
    <x v="0"/>
    <x v="7"/>
    <n v="36.624000000000002"/>
  </r>
  <r>
    <x v="2"/>
    <n v="161676"/>
    <x v="557"/>
    <s v="23/07/2017"/>
    <s v="Standard Class"/>
    <s v="Jennifer Patt"/>
    <x v="328"/>
    <s v="Yes"/>
    <x v="0"/>
    <s v="Glendale"/>
    <x v="13"/>
    <x v="3"/>
    <x v="740"/>
    <x v="0"/>
    <x v="5"/>
    <n v="33.799999999999997"/>
  </r>
  <r>
    <x v="1"/>
    <n v="107916"/>
    <x v="408"/>
    <s v="26/08/2015"/>
    <s v="First Class"/>
    <s v="Jennifer Patt"/>
    <x v="328"/>
    <s v="Yes"/>
    <x v="0"/>
    <s v="Oceanside"/>
    <x v="3"/>
    <x v="0"/>
    <x v="741"/>
    <x v="2"/>
    <x v="6"/>
    <n v="13.28"/>
  </r>
  <r>
    <x v="0"/>
    <n v="104906"/>
    <x v="558"/>
    <s v="17/02/2018"/>
    <s v="Standard Class"/>
    <s v="Jennifer Patt"/>
    <x v="328"/>
    <s v="Yes"/>
    <x v="0"/>
    <s v="New York City"/>
    <x v="3"/>
    <x v="0"/>
    <x v="742"/>
    <x v="0"/>
    <x v="2"/>
    <n v="17.940000000000001"/>
  </r>
  <r>
    <x v="3"/>
    <n v="112116"/>
    <x v="282"/>
    <s v="18/03/2016"/>
    <s v="Second Class"/>
    <s v="Jeremy Ellison"/>
    <x v="329"/>
    <s v="Yes"/>
    <x v="2"/>
    <s v="Seattle"/>
    <x v="15"/>
    <x v="3"/>
    <x v="743"/>
    <x v="2"/>
    <x v="14"/>
    <n v="171.96"/>
  </r>
  <r>
    <x v="0"/>
    <n v="132934"/>
    <x v="559"/>
    <s v="26/06/2018"/>
    <s v="Standard Class"/>
    <s v="Jeremy Ellison"/>
    <x v="329"/>
    <s v="Yes"/>
    <x v="2"/>
    <s v="New Rochelle"/>
    <x v="3"/>
    <x v="0"/>
    <x v="744"/>
    <x v="1"/>
    <x v="4"/>
    <n v="149.94999999999999"/>
  </r>
  <r>
    <x v="1"/>
    <n v="117317"/>
    <x v="560"/>
    <s v="19/10/2015"/>
    <s v="Same Day"/>
    <s v="Jeremy Farry"/>
    <x v="330"/>
    <s v="Yes"/>
    <x v="2"/>
    <s v="Los Angeles"/>
    <x v="5"/>
    <x v="3"/>
    <x v="745"/>
    <x v="0"/>
    <x v="2"/>
    <n v="13.44"/>
  </r>
  <r>
    <x v="3"/>
    <n v="130736"/>
    <x v="349"/>
    <s v="09/12/2016"/>
    <s v="First Class"/>
    <s v="Jeremy Farry"/>
    <x v="330"/>
    <s v="Yes"/>
    <x v="2"/>
    <s v="Seattle"/>
    <x v="15"/>
    <x v="3"/>
    <x v="746"/>
    <x v="0"/>
    <x v="15"/>
    <n v="3.96"/>
  </r>
  <r>
    <x v="0"/>
    <n v="159884"/>
    <x v="561"/>
    <s v="05/09/2018"/>
    <s v="Standard Class"/>
    <s v="Jeremy Farry"/>
    <x v="330"/>
    <s v="Yes"/>
    <x v="2"/>
    <s v="Tempe"/>
    <x v="13"/>
    <x v="3"/>
    <x v="747"/>
    <x v="0"/>
    <x v="3"/>
    <n v="10.744"/>
  </r>
  <r>
    <x v="3"/>
    <n v="133445"/>
    <x v="562"/>
    <s v="09/10/2016"/>
    <s v="Standard Class"/>
    <s v="Jeremy Farry"/>
    <x v="330"/>
    <s v="Yes"/>
    <x v="2"/>
    <s v="Portland"/>
    <x v="25"/>
    <x v="3"/>
    <x v="748"/>
    <x v="2"/>
    <x v="13"/>
    <n v="66.293999999999997"/>
  </r>
  <r>
    <x v="1"/>
    <n v="162362"/>
    <x v="219"/>
    <s v="18/11/2015"/>
    <s v="Standard Class"/>
    <s v="Jeremy Lonsdale"/>
    <x v="331"/>
    <s v="Yes"/>
    <x v="2"/>
    <s v="Midland"/>
    <x v="34"/>
    <x v="1"/>
    <x v="749"/>
    <x v="0"/>
    <x v="7"/>
    <n v="12.72"/>
  </r>
  <r>
    <x v="2"/>
    <n v="138520"/>
    <x v="459"/>
    <s v="13/04/2017"/>
    <s v="Standard Class"/>
    <s v="Jeremy Lonsdale"/>
    <x v="331"/>
    <s v="Yes"/>
    <x v="2"/>
    <s v="New York City"/>
    <x v="3"/>
    <x v="0"/>
    <x v="750"/>
    <x v="2"/>
    <x v="13"/>
    <n v="388.70400000000001"/>
  </r>
  <r>
    <x v="1"/>
    <n v="103590"/>
    <x v="563"/>
    <s v="04/12/2015"/>
    <s v="Standard Class"/>
    <s v="Jeremy Lonsdale"/>
    <x v="331"/>
    <s v="Yes"/>
    <x v="2"/>
    <s v="Mount Vernon"/>
    <x v="3"/>
    <x v="0"/>
    <x v="751"/>
    <x v="0"/>
    <x v="16"/>
    <n v="62.28"/>
  </r>
  <r>
    <x v="1"/>
    <n v="144666"/>
    <x v="564"/>
    <s v="11/11/2015"/>
    <s v="Second Class"/>
    <s v="Jeremy Pistek"/>
    <x v="332"/>
    <s v="Yes"/>
    <x v="2"/>
    <s v="San Francisco"/>
    <x v="5"/>
    <x v="3"/>
    <x v="752"/>
    <x v="0"/>
    <x v="3"/>
    <n v="340.92"/>
  </r>
  <r>
    <x v="1"/>
    <n v="130918"/>
    <x v="555"/>
    <s v="24/08/2015"/>
    <s v="Second Class"/>
    <s v="Jeremy Pistek"/>
    <x v="332"/>
    <s v="Yes"/>
    <x v="2"/>
    <s v="North Miami"/>
    <x v="17"/>
    <x v="2"/>
    <x v="753"/>
    <x v="0"/>
    <x v="5"/>
    <n v="7.6319999999999997"/>
  </r>
  <r>
    <x v="3"/>
    <n v="145401"/>
    <x v="258"/>
    <s v="04/02/2016"/>
    <s v="Standard Class"/>
    <s v="Jeremy Pistek"/>
    <x v="332"/>
    <s v="Yes"/>
    <x v="2"/>
    <s v="Houston"/>
    <x v="1"/>
    <x v="1"/>
    <x v="754"/>
    <x v="0"/>
    <x v="2"/>
    <n v="14.304"/>
  </r>
  <r>
    <x v="0"/>
    <n v="117324"/>
    <x v="34"/>
    <s v="13/12/2018"/>
    <s v="Standard Class"/>
    <s v="Jeremy Pistek"/>
    <x v="332"/>
    <s v="Yes"/>
    <x v="2"/>
    <s v="Madison"/>
    <x v="29"/>
    <x v="1"/>
    <x v="755"/>
    <x v="1"/>
    <x v="4"/>
    <n v="178.11"/>
  </r>
  <r>
    <x v="1"/>
    <n v="132962"/>
    <x v="337"/>
    <s v="16/09/2015"/>
    <s v="First Class"/>
    <s v="Jessica Myrick"/>
    <x v="333"/>
    <s v="Yes"/>
    <x v="2"/>
    <s v="Philadelphia"/>
    <x v="0"/>
    <x v="0"/>
    <x v="756"/>
    <x v="0"/>
    <x v="2"/>
    <n v="15.552"/>
  </r>
  <r>
    <x v="3"/>
    <n v="138534"/>
    <x v="565"/>
    <s v="19/07/2016"/>
    <s v="Second Class"/>
    <s v="Jessica Myrick"/>
    <x v="333"/>
    <s v="Yes"/>
    <x v="2"/>
    <s v="Bakersfield"/>
    <x v="5"/>
    <x v="3"/>
    <x v="757"/>
    <x v="2"/>
    <x v="13"/>
    <n v="195.46600000000001"/>
  </r>
  <r>
    <x v="0"/>
    <n v="148866"/>
    <x v="364"/>
    <s v="24/09/2018"/>
    <s v="Standard Class"/>
    <s v="Jessica Myrick"/>
    <x v="333"/>
    <s v="Yes"/>
    <x v="2"/>
    <s v="New York City"/>
    <x v="3"/>
    <x v="0"/>
    <x v="740"/>
    <x v="0"/>
    <x v="2"/>
    <n v="32.4"/>
  </r>
  <r>
    <x v="0"/>
    <n v="138086"/>
    <x v="427"/>
    <s v="20/04/2018"/>
    <s v="Standard Class"/>
    <s v="Jesus Ocampo"/>
    <x v="334"/>
    <s v="No"/>
    <x v="1"/>
    <s v="San Francisco"/>
    <x v="5"/>
    <x v="3"/>
    <x v="758"/>
    <x v="0"/>
    <x v="12"/>
    <n v="40.74"/>
  </r>
  <r>
    <x v="3"/>
    <n v="137750"/>
    <x v="22"/>
    <s v="30/06/2016"/>
    <s v="Standard Class"/>
    <s v="Jill Fjeld"/>
    <x v="335"/>
    <s v="Yes"/>
    <x v="2"/>
    <s v="San Francisco"/>
    <x v="5"/>
    <x v="3"/>
    <x v="759"/>
    <x v="2"/>
    <x v="6"/>
    <n v="204.85"/>
  </r>
  <r>
    <x v="1"/>
    <n v="126571"/>
    <x v="566"/>
    <s v="15/10/2015"/>
    <s v="Standard Class"/>
    <s v="Jill Fjeld"/>
    <x v="335"/>
    <s v="Yes"/>
    <x v="2"/>
    <s v="Philadelphia"/>
    <x v="0"/>
    <x v="0"/>
    <x v="760"/>
    <x v="0"/>
    <x v="3"/>
    <n v="281.904"/>
  </r>
  <r>
    <x v="2"/>
    <n v="102162"/>
    <x v="12"/>
    <s v="16/09/2017"/>
    <s v="Standard Class"/>
    <s v="Jill Fjeld"/>
    <x v="335"/>
    <s v="Yes"/>
    <x v="2"/>
    <s v="Newport News"/>
    <x v="4"/>
    <x v="2"/>
    <x v="761"/>
    <x v="1"/>
    <x v="11"/>
    <n v="1599.92"/>
  </r>
  <r>
    <x v="2"/>
    <n v="136021"/>
    <x v="567"/>
    <s v="18/08/2017"/>
    <s v="Standard Class"/>
    <s v="Jill Matthias"/>
    <x v="336"/>
    <s v="No"/>
    <x v="2"/>
    <s v="Los Angeles"/>
    <x v="5"/>
    <x v="3"/>
    <x v="762"/>
    <x v="0"/>
    <x v="2"/>
    <n v="15.54"/>
  </r>
  <r>
    <x v="3"/>
    <n v="143602"/>
    <x v="568"/>
    <s v="28/04/2016"/>
    <s v="Second Class"/>
    <s v="Jill Stevenson"/>
    <x v="337"/>
    <s v="No"/>
    <x v="0"/>
    <s v="Los Angeles"/>
    <x v="5"/>
    <x v="3"/>
    <x v="763"/>
    <x v="0"/>
    <x v="7"/>
    <n v="13.944000000000001"/>
  </r>
  <r>
    <x v="1"/>
    <n v="146353"/>
    <x v="527"/>
    <s v="16/10/2015"/>
    <s v="Second Class"/>
    <s v="Jim Epp"/>
    <x v="338"/>
    <s v="Yes"/>
    <x v="0"/>
    <s v="Concord"/>
    <x v="6"/>
    <x v="0"/>
    <x v="764"/>
    <x v="0"/>
    <x v="7"/>
    <n v="22.92"/>
  </r>
  <r>
    <x v="0"/>
    <n v="133263"/>
    <x v="253"/>
    <s v="02/04/2018"/>
    <s v="Second Class"/>
    <s v="Jim Epp"/>
    <x v="338"/>
    <s v="Yes"/>
    <x v="0"/>
    <s v="Atlanta"/>
    <x v="7"/>
    <x v="2"/>
    <x v="765"/>
    <x v="0"/>
    <x v="7"/>
    <n v="34.54"/>
  </r>
  <r>
    <x v="1"/>
    <n v="166051"/>
    <x v="569"/>
    <s v="05/06/2015"/>
    <s v="Standard Class"/>
    <s v="Jim Karlsson"/>
    <x v="339"/>
    <s v="Yes"/>
    <x v="2"/>
    <s v="Jackson"/>
    <x v="41"/>
    <x v="2"/>
    <x v="766"/>
    <x v="1"/>
    <x v="9"/>
    <n v="659.97"/>
  </r>
  <r>
    <x v="0"/>
    <n v="142622"/>
    <x v="537"/>
    <s v="02/11/2018"/>
    <s v="First Class"/>
    <s v="Jim Karlsson"/>
    <x v="339"/>
    <s v="Yes"/>
    <x v="2"/>
    <s v="Seattle"/>
    <x v="15"/>
    <x v="3"/>
    <x v="767"/>
    <x v="2"/>
    <x v="10"/>
    <n v="97.567999999999998"/>
  </r>
  <r>
    <x v="1"/>
    <n v="111773"/>
    <x v="338"/>
    <s v="03/07/2015"/>
    <s v="Standard Class"/>
    <s v="Jim Karlsson"/>
    <x v="339"/>
    <s v="Yes"/>
    <x v="2"/>
    <s v="New York City"/>
    <x v="3"/>
    <x v="0"/>
    <x v="768"/>
    <x v="0"/>
    <x v="7"/>
    <n v="13.92"/>
  </r>
  <r>
    <x v="3"/>
    <n v="137225"/>
    <x v="570"/>
    <s v="19/12/2016"/>
    <s v="Standard Class"/>
    <s v="Jim Kriz"/>
    <x v="340"/>
    <s v="Yes"/>
    <x v="1"/>
    <s v="New York City"/>
    <x v="3"/>
    <x v="0"/>
    <x v="769"/>
    <x v="0"/>
    <x v="0"/>
    <n v="3.28"/>
  </r>
  <r>
    <x v="1"/>
    <n v="147900"/>
    <x v="201"/>
    <s v="28/09/2015"/>
    <s v="Standard Class"/>
    <s v="Jim Kriz"/>
    <x v="340"/>
    <s v="Yes"/>
    <x v="1"/>
    <s v="Lakewood"/>
    <x v="21"/>
    <x v="0"/>
    <x v="309"/>
    <x v="0"/>
    <x v="2"/>
    <n v="28.8"/>
  </r>
  <r>
    <x v="2"/>
    <n v="112389"/>
    <x v="571"/>
    <s v="02/11/2017"/>
    <s v="Standard Class"/>
    <s v="Jim Mitchum"/>
    <x v="341"/>
    <s v="Yes"/>
    <x v="0"/>
    <s v="Bridgeton"/>
    <x v="35"/>
    <x v="0"/>
    <x v="770"/>
    <x v="0"/>
    <x v="3"/>
    <n v="40.74"/>
  </r>
  <r>
    <x v="1"/>
    <n v="100363"/>
    <x v="572"/>
    <s v="15/04/2015"/>
    <s v="Standard Class"/>
    <s v="Jim Mitchum"/>
    <x v="341"/>
    <s v="Yes"/>
    <x v="0"/>
    <s v="Glendale"/>
    <x v="13"/>
    <x v="3"/>
    <x v="771"/>
    <x v="0"/>
    <x v="15"/>
    <n v="2.3679999999999999"/>
  </r>
  <r>
    <x v="2"/>
    <n v="122133"/>
    <x v="394"/>
    <s v="23/05/2017"/>
    <s v="Standard Class"/>
    <s v="Jim Radford"/>
    <x v="342"/>
    <s v="No"/>
    <x v="2"/>
    <s v="Middletown"/>
    <x v="28"/>
    <x v="0"/>
    <x v="772"/>
    <x v="0"/>
    <x v="3"/>
    <n v="552.55999999999995"/>
  </r>
  <r>
    <x v="2"/>
    <n v="109806"/>
    <x v="296"/>
    <s v="22/09/2017"/>
    <s v="Standard Class"/>
    <s v="Jim Sink"/>
    <x v="343"/>
    <s v="No"/>
    <x v="0"/>
    <s v="Los Angeles"/>
    <x v="5"/>
    <x v="3"/>
    <x v="773"/>
    <x v="0"/>
    <x v="0"/>
    <n v="20.100000000000001"/>
  </r>
  <r>
    <x v="0"/>
    <n v="117079"/>
    <x v="573"/>
    <s v="27/10/2018"/>
    <s v="Standard Class"/>
    <s v="Jocasta Rupert"/>
    <x v="344"/>
    <s v="No"/>
    <x v="2"/>
    <s v="Jacksonville"/>
    <x v="17"/>
    <x v="2"/>
    <x v="741"/>
    <x v="1"/>
    <x v="9"/>
    <n v="863.88"/>
  </r>
  <r>
    <x v="2"/>
    <n v="112109"/>
    <x v="269"/>
    <s v="12/07/2017"/>
    <s v="Standard Class"/>
    <s v="Joe Elijah"/>
    <x v="345"/>
    <s v="Yes"/>
    <x v="2"/>
    <s v="Broomfield"/>
    <x v="20"/>
    <x v="3"/>
    <x v="94"/>
    <x v="0"/>
    <x v="7"/>
    <n v="19.968"/>
  </r>
  <r>
    <x v="0"/>
    <n v="105697"/>
    <x v="500"/>
    <s v="27/08/2018"/>
    <s v="First Class"/>
    <s v="Joe Elijah"/>
    <x v="345"/>
    <s v="Yes"/>
    <x v="2"/>
    <s v="Cleveland"/>
    <x v="21"/>
    <x v="0"/>
    <x v="774"/>
    <x v="0"/>
    <x v="3"/>
    <n v="25.696000000000002"/>
  </r>
  <r>
    <x v="1"/>
    <n v="150798"/>
    <x v="87"/>
    <s v="03/12/2015"/>
    <s v="Second Class"/>
    <s v="Joe Kamberova"/>
    <x v="346"/>
    <s v="Yes"/>
    <x v="2"/>
    <s v="Columbus"/>
    <x v="21"/>
    <x v="0"/>
    <x v="775"/>
    <x v="1"/>
    <x v="11"/>
    <n v="659.98800000000006"/>
  </r>
  <r>
    <x v="2"/>
    <n v="105256"/>
    <x v="574"/>
    <s v="20/05/2017"/>
    <s v="Same Day"/>
    <s v="Joe Kamberova"/>
    <x v="346"/>
    <s v="Yes"/>
    <x v="2"/>
    <s v="Asheville"/>
    <x v="2"/>
    <x v="2"/>
    <x v="776"/>
    <x v="1"/>
    <x v="9"/>
    <n v="1363.96"/>
  </r>
  <r>
    <x v="0"/>
    <n v="161053"/>
    <x v="450"/>
    <s v="23/09/2018"/>
    <s v="First Class"/>
    <s v="Joel Eaton"/>
    <x v="347"/>
    <s v="Yes"/>
    <x v="2"/>
    <s v="Fayetteville"/>
    <x v="37"/>
    <x v="2"/>
    <x v="777"/>
    <x v="0"/>
    <x v="7"/>
    <n v="691.96"/>
  </r>
  <r>
    <x v="1"/>
    <n v="147606"/>
    <x v="575"/>
    <s v="01/12/2015"/>
    <s v="Second Class"/>
    <s v="Joel Eaton"/>
    <x v="347"/>
    <s v="Yes"/>
    <x v="2"/>
    <s v="Houston"/>
    <x v="1"/>
    <x v="1"/>
    <x v="778"/>
    <x v="2"/>
    <x v="6"/>
    <n v="19.3"/>
  </r>
  <r>
    <x v="3"/>
    <n v="134026"/>
    <x v="576"/>
    <s v="02/05/2016"/>
    <s v="Standard Class"/>
    <s v="Joel Eaton"/>
    <x v="347"/>
    <s v="Yes"/>
    <x v="2"/>
    <s v="Memphis"/>
    <x v="18"/>
    <x v="2"/>
    <x v="779"/>
    <x v="2"/>
    <x v="10"/>
    <n v="831.93600000000004"/>
  </r>
  <r>
    <x v="2"/>
    <n v="162026"/>
    <x v="147"/>
    <s v="08/10/2017"/>
    <s v="Same Day"/>
    <s v="Joel Eaton"/>
    <x v="347"/>
    <s v="Yes"/>
    <x v="2"/>
    <s v="Los Angeles"/>
    <x v="5"/>
    <x v="3"/>
    <x v="780"/>
    <x v="0"/>
    <x v="2"/>
    <n v="61.96"/>
  </r>
  <r>
    <x v="3"/>
    <n v="101511"/>
    <x v="458"/>
    <s v="23/11/2016"/>
    <s v="Second Class"/>
    <s v="Joel Eaton"/>
    <x v="347"/>
    <s v="Yes"/>
    <x v="2"/>
    <s v="Newark"/>
    <x v="21"/>
    <x v="0"/>
    <x v="781"/>
    <x v="2"/>
    <x v="10"/>
    <n v="396.80200000000002"/>
  </r>
  <r>
    <x v="1"/>
    <n v="142048"/>
    <x v="396"/>
    <s v="25/06/2015"/>
    <s v="First Class"/>
    <s v="Joel Eaton"/>
    <x v="347"/>
    <s v="Yes"/>
    <x v="2"/>
    <s v="Louisville"/>
    <x v="20"/>
    <x v="3"/>
    <x v="782"/>
    <x v="1"/>
    <x v="4"/>
    <n v="196.75200000000001"/>
  </r>
  <r>
    <x v="0"/>
    <n v="129462"/>
    <x v="40"/>
    <s v="21/06/2018"/>
    <s v="Second Class"/>
    <s v="Joel Eaton"/>
    <x v="347"/>
    <s v="Yes"/>
    <x v="2"/>
    <s v="Florence"/>
    <x v="12"/>
    <x v="2"/>
    <x v="783"/>
    <x v="2"/>
    <x v="10"/>
    <n v="301.95999999999998"/>
  </r>
  <r>
    <x v="3"/>
    <n v="139731"/>
    <x v="502"/>
    <s v="15/10/2016"/>
    <s v="Same Day"/>
    <s v="Joel Eaton"/>
    <x v="347"/>
    <s v="Yes"/>
    <x v="2"/>
    <s v="Amarillo"/>
    <x v="1"/>
    <x v="1"/>
    <x v="784"/>
    <x v="1"/>
    <x v="4"/>
    <n v="263.88"/>
  </r>
  <r>
    <x v="2"/>
    <n v="113621"/>
    <x v="481"/>
    <s v="05/12/2017"/>
    <s v="Standard Class"/>
    <s v="Joel Eaton"/>
    <x v="347"/>
    <s v="Yes"/>
    <x v="2"/>
    <s v="Rockville"/>
    <x v="31"/>
    <x v="0"/>
    <x v="785"/>
    <x v="2"/>
    <x v="10"/>
    <n v="172.5"/>
  </r>
  <r>
    <x v="3"/>
    <n v="115091"/>
    <x v="562"/>
    <s v="09/10/2016"/>
    <s v="Standard Class"/>
    <s v="Joel Jenkins"/>
    <x v="348"/>
    <s v="No"/>
    <x v="1"/>
    <s v="Springfield"/>
    <x v="4"/>
    <x v="2"/>
    <x v="786"/>
    <x v="0"/>
    <x v="0"/>
    <n v="46.2"/>
  </r>
  <r>
    <x v="1"/>
    <n v="109127"/>
    <x v="577"/>
    <s v="25/12/2015"/>
    <s v="Standard Class"/>
    <s v="John Castell"/>
    <x v="349"/>
    <s v="Yes"/>
    <x v="2"/>
    <s v="Newark"/>
    <x v="39"/>
    <x v="0"/>
    <x v="787"/>
    <x v="0"/>
    <x v="8"/>
    <n v="17.28"/>
  </r>
  <r>
    <x v="2"/>
    <n v="118626"/>
    <x v="320"/>
    <s v="20/08/2017"/>
    <s v="Standard Class"/>
    <s v="John Castell"/>
    <x v="349"/>
    <s v="Yes"/>
    <x v="2"/>
    <s v="Tallahassee"/>
    <x v="17"/>
    <x v="2"/>
    <x v="788"/>
    <x v="1"/>
    <x v="9"/>
    <n v="705.54399999999998"/>
  </r>
  <r>
    <x v="1"/>
    <n v="159184"/>
    <x v="133"/>
    <s v="19/09/2015"/>
    <s v="Standard Class"/>
    <s v="John Castell"/>
    <x v="349"/>
    <s v="Yes"/>
    <x v="2"/>
    <s v="Macon"/>
    <x v="7"/>
    <x v="2"/>
    <x v="789"/>
    <x v="2"/>
    <x v="6"/>
    <n v="142.4"/>
  </r>
  <r>
    <x v="3"/>
    <n v="159513"/>
    <x v="578"/>
    <s v="09/04/2016"/>
    <s v="Standard Class"/>
    <s v="John Dryer"/>
    <x v="350"/>
    <s v="No"/>
    <x v="2"/>
    <s v="Los Angeles"/>
    <x v="5"/>
    <x v="3"/>
    <x v="790"/>
    <x v="1"/>
    <x v="1"/>
    <n v="71.975999999999999"/>
  </r>
  <r>
    <x v="2"/>
    <n v="100790"/>
    <x v="41"/>
    <s v="02/07/2017"/>
    <s v="Standard Class"/>
    <s v="John Grady"/>
    <x v="351"/>
    <s v="No"/>
    <x v="0"/>
    <s v="New York City"/>
    <x v="3"/>
    <x v="0"/>
    <x v="791"/>
    <x v="0"/>
    <x v="0"/>
    <n v="14.7"/>
  </r>
  <r>
    <x v="0"/>
    <n v="132122"/>
    <x v="579"/>
    <s v="14/07/2018"/>
    <s v="Standard Class"/>
    <s v="John Huston"/>
    <x v="352"/>
    <s v="Yes"/>
    <x v="2"/>
    <s v="Chicago"/>
    <x v="10"/>
    <x v="1"/>
    <x v="792"/>
    <x v="0"/>
    <x v="3"/>
    <n v="228.92"/>
  </r>
  <r>
    <x v="3"/>
    <n v="133536"/>
    <x v="20"/>
    <s v="30/03/2016"/>
    <s v="Second Class"/>
    <s v="John Huston"/>
    <x v="352"/>
    <s v="Yes"/>
    <x v="2"/>
    <s v="New York City"/>
    <x v="3"/>
    <x v="0"/>
    <x v="481"/>
    <x v="0"/>
    <x v="16"/>
    <n v="22.92"/>
  </r>
  <r>
    <x v="1"/>
    <n v="110849"/>
    <x v="580"/>
    <s v="23/04/2015"/>
    <s v="Standard Class"/>
    <s v="John Lee"/>
    <x v="353"/>
    <s v="Yes"/>
    <x v="2"/>
    <s v="Los Angeles"/>
    <x v="5"/>
    <x v="3"/>
    <x v="793"/>
    <x v="1"/>
    <x v="1"/>
    <n v="287.96800000000002"/>
  </r>
  <r>
    <x v="0"/>
    <n v="167913"/>
    <x v="546"/>
    <s v="03/08/2018"/>
    <s v="Second Class"/>
    <s v="John Lee"/>
    <x v="353"/>
    <s v="Yes"/>
    <x v="2"/>
    <s v="Mission Viejo"/>
    <x v="5"/>
    <x v="3"/>
    <x v="794"/>
    <x v="0"/>
    <x v="3"/>
    <n v="330.4"/>
  </r>
  <r>
    <x v="1"/>
    <n v="127299"/>
    <x v="466"/>
    <s v="24/09/2015"/>
    <s v="Standard Class"/>
    <s v="John Lee"/>
    <x v="353"/>
    <s v="Yes"/>
    <x v="2"/>
    <s v="Charlotte"/>
    <x v="2"/>
    <x v="2"/>
    <x v="795"/>
    <x v="0"/>
    <x v="3"/>
    <n v="67.343999999999994"/>
  </r>
  <r>
    <x v="3"/>
    <n v="142944"/>
    <x v="581"/>
    <s v="11/03/2016"/>
    <s v="Standard Class"/>
    <s v="John Lucas"/>
    <x v="354"/>
    <s v="Yes"/>
    <x v="2"/>
    <s v="San Francisco"/>
    <x v="5"/>
    <x v="3"/>
    <x v="19"/>
    <x v="2"/>
    <x v="6"/>
    <n v="435.26"/>
  </r>
  <r>
    <x v="2"/>
    <n v="150147"/>
    <x v="582"/>
    <s v="29/04/2017"/>
    <s v="Second Class"/>
    <s v="John Lucas"/>
    <x v="354"/>
    <s v="Yes"/>
    <x v="2"/>
    <s v="Philadelphia"/>
    <x v="0"/>
    <x v="0"/>
    <x v="796"/>
    <x v="1"/>
    <x v="9"/>
    <n v="82.8"/>
  </r>
  <r>
    <x v="3"/>
    <n v="120880"/>
    <x v="583"/>
    <s v="03/06/2016"/>
    <s v="Standard Class"/>
    <s v="John Lucas"/>
    <x v="354"/>
    <s v="Yes"/>
    <x v="2"/>
    <s v="Seattle"/>
    <x v="15"/>
    <x v="3"/>
    <x v="797"/>
    <x v="0"/>
    <x v="2"/>
    <n v="32.4"/>
  </r>
  <r>
    <x v="3"/>
    <n v="158148"/>
    <x v="120"/>
    <s v="26/12/2016"/>
    <s v="Standard Class"/>
    <s v="John Murray"/>
    <x v="355"/>
    <s v="Yes"/>
    <x v="2"/>
    <s v="Arlington"/>
    <x v="4"/>
    <x v="2"/>
    <x v="798"/>
    <x v="0"/>
    <x v="12"/>
    <n v="36.270000000000003"/>
  </r>
  <r>
    <x v="3"/>
    <n v="107685"/>
    <x v="584"/>
    <s v="02/12/2016"/>
    <s v="Second Class"/>
    <s v="John Murray"/>
    <x v="355"/>
    <s v="Yes"/>
    <x v="2"/>
    <s v="Las Vegas"/>
    <x v="8"/>
    <x v="3"/>
    <x v="799"/>
    <x v="2"/>
    <x v="6"/>
    <n v="80.959999999999994"/>
  </r>
  <r>
    <x v="3"/>
    <n v="128090"/>
    <x v="585"/>
    <s v="22/08/2016"/>
    <s v="Standard Class"/>
    <s v="John Murray"/>
    <x v="355"/>
    <s v="Yes"/>
    <x v="2"/>
    <s v="Phoenix"/>
    <x v="13"/>
    <x v="3"/>
    <x v="800"/>
    <x v="0"/>
    <x v="0"/>
    <n v="2.3039999999999998"/>
  </r>
  <r>
    <x v="3"/>
    <n v="126214"/>
    <x v="436"/>
    <s v="24/12/2016"/>
    <s v="Second Class"/>
    <s v="John Stevenson"/>
    <x v="356"/>
    <s v="Yes"/>
    <x v="2"/>
    <s v="Seattle"/>
    <x v="15"/>
    <x v="3"/>
    <x v="801"/>
    <x v="2"/>
    <x v="14"/>
    <n v="1618.37"/>
  </r>
  <r>
    <x v="1"/>
    <n v="121769"/>
    <x v="572"/>
    <s v="12/04/2015"/>
    <s v="Standard Class"/>
    <s v="John Stevenson"/>
    <x v="356"/>
    <s v="Yes"/>
    <x v="2"/>
    <s v="Toledo"/>
    <x v="21"/>
    <x v="0"/>
    <x v="802"/>
    <x v="2"/>
    <x v="14"/>
    <n v="172.11"/>
  </r>
  <r>
    <x v="2"/>
    <n v="110366"/>
    <x v="402"/>
    <s v="07/09/2017"/>
    <s v="Second Class"/>
    <s v="Jonathan Doherty"/>
    <x v="357"/>
    <s v="Yes"/>
    <x v="0"/>
    <s v="Philadelphia"/>
    <x v="0"/>
    <x v="0"/>
    <x v="803"/>
    <x v="2"/>
    <x v="6"/>
    <n v="82.8"/>
  </r>
  <r>
    <x v="1"/>
    <n v="122336"/>
    <x v="156"/>
    <s v="17/04/2015"/>
    <s v="Second Class"/>
    <s v="Jonathan Doherty"/>
    <x v="357"/>
    <s v="Yes"/>
    <x v="0"/>
    <s v="Philadelphia"/>
    <x v="0"/>
    <x v="0"/>
    <x v="804"/>
    <x v="0"/>
    <x v="0"/>
    <n v="17.856000000000002"/>
  </r>
  <r>
    <x v="2"/>
    <n v="142545"/>
    <x v="45"/>
    <s v="03/11/2017"/>
    <s v="Standard Class"/>
    <s v="Jonathan Doherty"/>
    <x v="357"/>
    <s v="Yes"/>
    <x v="0"/>
    <s v="Belleville"/>
    <x v="35"/>
    <x v="0"/>
    <x v="805"/>
    <x v="0"/>
    <x v="2"/>
    <n v="32.4"/>
  </r>
  <r>
    <x v="3"/>
    <n v="104115"/>
    <x v="488"/>
    <s v="16/06/2016"/>
    <s v="Standard Class"/>
    <s v="Jonathan Howell"/>
    <x v="358"/>
    <s v="Yes"/>
    <x v="2"/>
    <s v="West Palm Beach"/>
    <x v="17"/>
    <x v="2"/>
    <x v="806"/>
    <x v="1"/>
    <x v="9"/>
    <n v="55.984000000000002"/>
  </r>
  <r>
    <x v="0"/>
    <n v="152380"/>
    <x v="15"/>
    <s v="23/11/2018"/>
    <s v="Standard Class"/>
    <s v="Jonathan Howell"/>
    <x v="358"/>
    <s v="Yes"/>
    <x v="2"/>
    <s v="Chicago"/>
    <x v="10"/>
    <x v="1"/>
    <x v="807"/>
    <x v="2"/>
    <x v="14"/>
    <n v="219.07499999999999"/>
  </r>
  <r>
    <x v="3"/>
    <n v="169397"/>
    <x v="368"/>
    <s v="27/12/2016"/>
    <s v="First Class"/>
    <s v="Joni Blumstein"/>
    <x v="359"/>
    <s v="Yes"/>
    <x v="2"/>
    <s v="Dublin"/>
    <x v="21"/>
    <x v="0"/>
    <x v="794"/>
    <x v="0"/>
    <x v="15"/>
    <n v="5.5839999999999996"/>
  </r>
  <r>
    <x v="3"/>
    <n v="167220"/>
    <x v="391"/>
    <s v="16/12/2016"/>
    <s v="Standard Class"/>
    <s v="Joni Blumstein"/>
    <x v="359"/>
    <s v="Yes"/>
    <x v="2"/>
    <s v="Austin"/>
    <x v="1"/>
    <x v="1"/>
    <x v="808"/>
    <x v="1"/>
    <x v="4"/>
    <n v="22.367999999999999"/>
  </r>
  <r>
    <x v="1"/>
    <n v="150203"/>
    <x v="197"/>
    <s v="07/12/2015"/>
    <s v="First Class"/>
    <s v="Joni Blumstein"/>
    <x v="359"/>
    <s v="Yes"/>
    <x v="2"/>
    <s v="Los Angeles"/>
    <x v="5"/>
    <x v="3"/>
    <x v="809"/>
    <x v="0"/>
    <x v="12"/>
    <n v="250.26"/>
  </r>
  <r>
    <x v="3"/>
    <n v="101399"/>
    <x v="586"/>
    <s v="24/01/2016"/>
    <s v="Standard Class"/>
    <s v="Joni Sundaresam"/>
    <x v="360"/>
    <s v="Yes"/>
    <x v="1"/>
    <s v="Park Ridge"/>
    <x v="10"/>
    <x v="1"/>
    <x v="810"/>
    <x v="2"/>
    <x v="6"/>
    <n v="254.744"/>
  </r>
  <r>
    <x v="1"/>
    <n v="130274"/>
    <x v="587"/>
    <s v="05/05/2015"/>
    <s v="First Class"/>
    <s v="Joni Sundaresam"/>
    <x v="360"/>
    <s v="Yes"/>
    <x v="1"/>
    <s v="Appleton"/>
    <x v="29"/>
    <x v="1"/>
    <x v="811"/>
    <x v="0"/>
    <x v="8"/>
    <n v="21.56"/>
  </r>
  <r>
    <x v="0"/>
    <n v="166198"/>
    <x v="588"/>
    <s v="24/04/2018"/>
    <s v="First Class"/>
    <s v="Joni Wasserman"/>
    <x v="361"/>
    <s v="No"/>
    <x v="2"/>
    <s v="Seattle"/>
    <x v="15"/>
    <x v="3"/>
    <x v="812"/>
    <x v="1"/>
    <x v="4"/>
    <n v="11.54"/>
  </r>
  <r>
    <x v="0"/>
    <n v="102414"/>
    <x v="589"/>
    <s v="18/05/2018"/>
    <s v="Second Class"/>
    <s v="Joseph Airdo"/>
    <x v="362"/>
    <s v="No"/>
    <x v="2"/>
    <s v="Phoenix"/>
    <x v="13"/>
    <x v="3"/>
    <x v="813"/>
    <x v="1"/>
    <x v="9"/>
    <n v="29.591999999999999"/>
  </r>
  <r>
    <x v="0"/>
    <n v="135860"/>
    <x v="302"/>
    <s v="07/12/2018"/>
    <s v="Standard Class"/>
    <s v="Joseph Holt"/>
    <x v="363"/>
    <s v="Yes"/>
    <x v="2"/>
    <s v="Saginaw"/>
    <x v="34"/>
    <x v="1"/>
    <x v="814"/>
    <x v="0"/>
    <x v="3"/>
    <n v="83.92"/>
  </r>
  <r>
    <x v="3"/>
    <n v="109638"/>
    <x v="570"/>
    <s v="22/12/2016"/>
    <s v="Standard Class"/>
    <s v="Joseph Holt"/>
    <x v="363"/>
    <s v="Yes"/>
    <x v="2"/>
    <s v="Seattle"/>
    <x v="15"/>
    <x v="3"/>
    <x v="815"/>
    <x v="0"/>
    <x v="12"/>
    <n v="103.92"/>
  </r>
  <r>
    <x v="1"/>
    <n v="148950"/>
    <x v="590"/>
    <s v="19/12/2015"/>
    <s v="Standard Class"/>
    <s v="Joy Daniels"/>
    <x v="364"/>
    <s v="No"/>
    <x v="2"/>
    <s v="Chicago"/>
    <x v="10"/>
    <x v="1"/>
    <x v="816"/>
    <x v="0"/>
    <x v="7"/>
    <n v="5.1040000000000001"/>
  </r>
  <r>
    <x v="2"/>
    <n v="163776"/>
    <x v="591"/>
    <s v="25/07/2017"/>
    <s v="Standard Class"/>
    <s v="Joy Smith"/>
    <x v="365"/>
    <s v="Yes"/>
    <x v="2"/>
    <s v="Hattiesburg"/>
    <x v="41"/>
    <x v="2"/>
    <x v="817"/>
    <x v="2"/>
    <x v="6"/>
    <n v="185.58"/>
  </r>
  <r>
    <x v="0"/>
    <n v="125990"/>
    <x v="525"/>
    <s v="23/10/2018"/>
    <s v="Standard Class"/>
    <s v="Joy Smith"/>
    <x v="365"/>
    <s v="Yes"/>
    <x v="2"/>
    <s v="San Francisco"/>
    <x v="5"/>
    <x v="3"/>
    <x v="818"/>
    <x v="0"/>
    <x v="7"/>
    <n v="39.624000000000002"/>
  </r>
  <r>
    <x v="0"/>
    <n v="147221"/>
    <x v="11"/>
    <s v="04/12/2018"/>
    <s v="Second Class"/>
    <s v="Joy Smith"/>
    <x v="365"/>
    <s v="Yes"/>
    <x v="2"/>
    <s v="Houston"/>
    <x v="1"/>
    <x v="1"/>
    <x v="819"/>
    <x v="0"/>
    <x v="12"/>
    <n v="294.62"/>
  </r>
  <r>
    <x v="2"/>
    <n v="139269"/>
    <x v="592"/>
    <s v="30/05/2017"/>
    <s v="Standard Class"/>
    <s v="Julia Barnett"/>
    <x v="366"/>
    <s v="No"/>
    <x v="1"/>
    <s v="Columbus"/>
    <x v="7"/>
    <x v="2"/>
    <x v="820"/>
    <x v="2"/>
    <x v="6"/>
    <n v="24.96"/>
  </r>
  <r>
    <x v="3"/>
    <n v="120621"/>
    <x v="593"/>
    <s v="26/03/2016"/>
    <s v="Standard Class"/>
    <s v="Julia West"/>
    <x v="367"/>
    <s v="Yes"/>
    <x v="2"/>
    <s v="Jacksonville"/>
    <x v="2"/>
    <x v="2"/>
    <x v="282"/>
    <x v="0"/>
    <x v="12"/>
    <n v="962.08"/>
  </r>
  <r>
    <x v="2"/>
    <n v="109176"/>
    <x v="594"/>
    <s v="15/05/2017"/>
    <s v="Standard Class"/>
    <s v="Julia West"/>
    <x v="367"/>
    <s v="Yes"/>
    <x v="2"/>
    <s v="Philadelphia"/>
    <x v="0"/>
    <x v="0"/>
    <x v="201"/>
    <x v="0"/>
    <x v="16"/>
    <n v="9.3439999999999994"/>
  </r>
  <r>
    <x v="3"/>
    <n v="107678"/>
    <x v="595"/>
    <s v="28/04/2016"/>
    <s v="Standard Class"/>
    <s v="Juliana Krohn"/>
    <x v="368"/>
    <s v="No"/>
    <x v="2"/>
    <s v="Louisville"/>
    <x v="12"/>
    <x v="2"/>
    <x v="821"/>
    <x v="2"/>
    <x v="10"/>
    <n v="191.96"/>
  </r>
  <r>
    <x v="0"/>
    <n v="126046"/>
    <x v="346"/>
    <s v="07/11/2018"/>
    <s v="Standard Class"/>
    <s v="Julie Creighton"/>
    <x v="369"/>
    <s v="Yes"/>
    <x v="0"/>
    <s v="Atlanta"/>
    <x v="7"/>
    <x v="2"/>
    <x v="822"/>
    <x v="0"/>
    <x v="8"/>
    <n v="12.39"/>
  </r>
  <r>
    <x v="0"/>
    <n v="139913"/>
    <x v="573"/>
    <s v="29/10/2018"/>
    <s v="Standard Class"/>
    <s v="Julie Creighton"/>
    <x v="369"/>
    <s v="Yes"/>
    <x v="0"/>
    <s v="Rochester"/>
    <x v="3"/>
    <x v="0"/>
    <x v="823"/>
    <x v="0"/>
    <x v="2"/>
    <n v="11.56"/>
  </r>
  <r>
    <x v="3"/>
    <n v="149734"/>
    <x v="552"/>
    <s v="08/09/2016"/>
    <s v="Standard Class"/>
    <s v="Julie Creighton"/>
    <x v="369"/>
    <s v="Yes"/>
    <x v="0"/>
    <s v="Durham"/>
    <x v="2"/>
    <x v="2"/>
    <x v="744"/>
    <x v="0"/>
    <x v="16"/>
    <n v="200.98400000000001"/>
  </r>
  <r>
    <x v="2"/>
    <n v="150945"/>
    <x v="28"/>
    <s v="20/12/2017"/>
    <s v="Second Class"/>
    <s v="Julie Kriz"/>
    <x v="370"/>
    <s v="Yes"/>
    <x v="1"/>
    <s v="New York City"/>
    <x v="3"/>
    <x v="0"/>
    <x v="824"/>
    <x v="0"/>
    <x v="3"/>
    <n v="900.08"/>
  </r>
  <r>
    <x v="2"/>
    <n v="117849"/>
    <x v="175"/>
    <s v="17/04/2017"/>
    <s v="Second Class"/>
    <s v="Julie Kriz"/>
    <x v="370"/>
    <s v="Yes"/>
    <x v="1"/>
    <s v="San Diego"/>
    <x v="5"/>
    <x v="3"/>
    <x v="825"/>
    <x v="0"/>
    <x v="2"/>
    <n v="143.69999999999999"/>
  </r>
  <r>
    <x v="3"/>
    <n v="130022"/>
    <x v="596"/>
    <s v="16/08/2016"/>
    <s v="Standard Class"/>
    <s v="Julie Kriz"/>
    <x v="370"/>
    <s v="Yes"/>
    <x v="1"/>
    <s v="Eagan"/>
    <x v="26"/>
    <x v="1"/>
    <x v="437"/>
    <x v="0"/>
    <x v="8"/>
    <n v="3.75"/>
  </r>
  <r>
    <x v="3"/>
    <n v="134859"/>
    <x v="49"/>
    <s v="09/10/2016"/>
    <s v="Standard Class"/>
    <s v="Julie Kriz"/>
    <x v="370"/>
    <s v="Yes"/>
    <x v="1"/>
    <s v="Philadelphia"/>
    <x v="0"/>
    <x v="0"/>
    <x v="826"/>
    <x v="2"/>
    <x v="6"/>
    <n v="64.944000000000003"/>
  </r>
  <r>
    <x v="2"/>
    <n v="124562"/>
    <x v="482"/>
    <s v="12/12/2017"/>
    <s v="Standard Class"/>
    <s v="Julie Prescott"/>
    <x v="371"/>
    <s v="No"/>
    <x v="1"/>
    <s v="Columbus"/>
    <x v="21"/>
    <x v="0"/>
    <x v="827"/>
    <x v="0"/>
    <x v="7"/>
    <n v="12.957000000000001"/>
  </r>
  <r>
    <x v="2"/>
    <n v="147067"/>
    <x v="28"/>
    <s v="22/12/2017"/>
    <s v="Standard Class"/>
    <s v="Justin Deggeller"/>
    <x v="372"/>
    <s v="Yes"/>
    <x v="0"/>
    <s v="Minneapolis"/>
    <x v="26"/>
    <x v="1"/>
    <x v="828"/>
    <x v="2"/>
    <x v="6"/>
    <n v="18.84"/>
  </r>
  <r>
    <x v="1"/>
    <n v="119144"/>
    <x v="19"/>
    <s v="18/11/2015"/>
    <s v="First Class"/>
    <s v="Justin Deggeller"/>
    <x v="372"/>
    <s v="Yes"/>
    <x v="0"/>
    <s v="Los Angeles"/>
    <x v="5"/>
    <x v="3"/>
    <x v="400"/>
    <x v="1"/>
    <x v="9"/>
    <n v="79.968000000000004"/>
  </r>
  <r>
    <x v="0"/>
    <n v="155880"/>
    <x v="275"/>
    <s v="31/03/2018"/>
    <s v="Standard Class"/>
    <s v="Justin Deggeller"/>
    <x v="372"/>
    <s v="Yes"/>
    <x v="0"/>
    <s v="Milwaukee"/>
    <x v="29"/>
    <x v="1"/>
    <x v="829"/>
    <x v="2"/>
    <x v="10"/>
    <n v="90.99"/>
  </r>
  <r>
    <x v="3"/>
    <n v="147739"/>
    <x v="597"/>
    <s v="29/12/2016"/>
    <s v="Standard Class"/>
    <s v="Justin Deggeller"/>
    <x v="372"/>
    <s v="Yes"/>
    <x v="0"/>
    <s v="Philadelphia"/>
    <x v="0"/>
    <x v="0"/>
    <x v="830"/>
    <x v="2"/>
    <x v="6"/>
    <n v="547.13599999999997"/>
  </r>
  <r>
    <x v="3"/>
    <n v="145184"/>
    <x v="227"/>
    <s v="29/11/2016"/>
    <s v="First Class"/>
    <s v="Justin Deggeller"/>
    <x v="372"/>
    <s v="Yes"/>
    <x v="0"/>
    <s v="Newark"/>
    <x v="39"/>
    <x v="0"/>
    <x v="831"/>
    <x v="1"/>
    <x v="9"/>
    <n v="83.97"/>
  </r>
  <r>
    <x v="2"/>
    <n v="114489"/>
    <x v="47"/>
    <s v="09/12/2017"/>
    <s v="Standard Class"/>
    <s v="Justin Ellison"/>
    <x v="373"/>
    <s v="No"/>
    <x v="0"/>
    <s v="Franklin"/>
    <x v="29"/>
    <x v="1"/>
    <x v="832"/>
    <x v="1"/>
    <x v="9"/>
    <n v="384.45"/>
  </r>
  <r>
    <x v="3"/>
    <n v="138898"/>
    <x v="598"/>
    <s v="29/05/2016"/>
    <s v="Standard Class"/>
    <s v="Justin Hirsh"/>
    <x v="374"/>
    <s v="Yes"/>
    <x v="2"/>
    <s v="Pueblo"/>
    <x v="20"/>
    <x v="3"/>
    <x v="833"/>
    <x v="0"/>
    <x v="12"/>
    <n v="845.72799999999995"/>
  </r>
  <r>
    <x v="2"/>
    <n v="161907"/>
    <x v="479"/>
    <s v="09/04/2017"/>
    <s v="Standard Class"/>
    <s v="Justin Hirsh"/>
    <x v="374"/>
    <s v="Yes"/>
    <x v="2"/>
    <s v="Philadelphia"/>
    <x v="0"/>
    <x v="0"/>
    <x v="105"/>
    <x v="1"/>
    <x v="9"/>
    <n v="118.782"/>
  </r>
  <r>
    <x v="1"/>
    <n v="157721"/>
    <x v="77"/>
    <s v="05/09/2015"/>
    <s v="First Class"/>
    <s v="Justin MacKendrick"/>
    <x v="375"/>
    <s v="Yes"/>
    <x v="2"/>
    <s v="Watertown"/>
    <x v="3"/>
    <x v="0"/>
    <x v="834"/>
    <x v="0"/>
    <x v="12"/>
    <n v="19.899999999999999"/>
  </r>
  <r>
    <x v="0"/>
    <n v="151008"/>
    <x v="90"/>
    <s v="08/09/2018"/>
    <s v="First Class"/>
    <s v="Justin MacKendrick"/>
    <x v="375"/>
    <s v="Yes"/>
    <x v="2"/>
    <s v="Draper"/>
    <x v="19"/>
    <x v="3"/>
    <x v="835"/>
    <x v="2"/>
    <x v="6"/>
    <n v="25.16"/>
  </r>
  <r>
    <x v="3"/>
    <n v="116092"/>
    <x v="599"/>
    <s v="18/02/2016"/>
    <s v="Second Class"/>
    <s v="Justin MacKendrick"/>
    <x v="375"/>
    <s v="Yes"/>
    <x v="2"/>
    <s v="Los Angeles"/>
    <x v="5"/>
    <x v="3"/>
    <x v="836"/>
    <x v="0"/>
    <x v="2"/>
    <n v="13.36"/>
  </r>
  <r>
    <x v="2"/>
    <n v="114622"/>
    <x v="206"/>
    <s v="12/04/2017"/>
    <s v="First Class"/>
    <s v="Justin Ritter"/>
    <x v="376"/>
    <s v="Yes"/>
    <x v="0"/>
    <s v="Springfield"/>
    <x v="21"/>
    <x v="0"/>
    <x v="837"/>
    <x v="0"/>
    <x v="7"/>
    <n v="8.9039999999999999"/>
  </r>
  <r>
    <x v="3"/>
    <n v="142202"/>
    <x v="600"/>
    <s v="23/09/2016"/>
    <s v="Second Class"/>
    <s v="Justin Ritter"/>
    <x v="376"/>
    <s v="Yes"/>
    <x v="0"/>
    <s v="Jacksonville"/>
    <x v="17"/>
    <x v="2"/>
    <x v="838"/>
    <x v="1"/>
    <x v="4"/>
    <n v="717.12"/>
  </r>
  <r>
    <x v="2"/>
    <n v="119935"/>
    <x v="292"/>
    <s v="14/11/2017"/>
    <s v="Standard Class"/>
    <s v="Kalyca Meade"/>
    <x v="377"/>
    <s v="Yes"/>
    <x v="0"/>
    <s v="Springfield"/>
    <x v="9"/>
    <x v="1"/>
    <x v="839"/>
    <x v="2"/>
    <x v="6"/>
    <n v="37.299999999999997"/>
  </r>
  <r>
    <x v="3"/>
    <n v="108665"/>
    <x v="601"/>
    <s v="10/07/2016"/>
    <s v="Standard Class"/>
    <s v="Kalyca Meade"/>
    <x v="377"/>
    <s v="Yes"/>
    <x v="0"/>
    <s v="New York City"/>
    <x v="3"/>
    <x v="0"/>
    <x v="488"/>
    <x v="2"/>
    <x v="6"/>
    <n v="13.96"/>
  </r>
  <r>
    <x v="3"/>
    <n v="138093"/>
    <x v="602"/>
    <s v="16/12/2016"/>
    <s v="Standard Class"/>
    <s v="Kalyca Meade"/>
    <x v="377"/>
    <s v="Yes"/>
    <x v="0"/>
    <s v="Baltimore"/>
    <x v="31"/>
    <x v="0"/>
    <x v="840"/>
    <x v="0"/>
    <x v="0"/>
    <n v="27.36"/>
  </r>
  <r>
    <x v="3"/>
    <n v="102848"/>
    <x v="416"/>
    <s v="09/11/2016"/>
    <s v="Second Class"/>
    <s v="Karen Bern"/>
    <x v="378"/>
    <s v="Yes"/>
    <x v="0"/>
    <s v="Los Angeles"/>
    <x v="5"/>
    <x v="3"/>
    <x v="485"/>
    <x v="2"/>
    <x v="10"/>
    <n v="190.72"/>
  </r>
  <r>
    <x v="0"/>
    <n v="142034"/>
    <x v="89"/>
    <s v="28/09/2018"/>
    <s v="Standard Class"/>
    <s v="Karen Bern"/>
    <x v="378"/>
    <s v="Yes"/>
    <x v="0"/>
    <s v="Saint Cloud"/>
    <x v="26"/>
    <x v="1"/>
    <x v="841"/>
    <x v="1"/>
    <x v="4"/>
    <n v="72"/>
  </r>
  <r>
    <x v="3"/>
    <n v="134922"/>
    <x v="416"/>
    <s v="11/11/2016"/>
    <s v="Standard Class"/>
    <s v="Karen Bern"/>
    <x v="378"/>
    <s v="Yes"/>
    <x v="0"/>
    <s v="Philadelphia"/>
    <x v="0"/>
    <x v="0"/>
    <x v="842"/>
    <x v="0"/>
    <x v="16"/>
    <n v="24.4"/>
  </r>
  <r>
    <x v="2"/>
    <n v="125017"/>
    <x v="603"/>
    <s v="11/02/2017"/>
    <s v="Standard Class"/>
    <s v="Karen Bern"/>
    <x v="378"/>
    <s v="Yes"/>
    <x v="0"/>
    <s v="Chattanooga"/>
    <x v="18"/>
    <x v="2"/>
    <x v="843"/>
    <x v="2"/>
    <x v="6"/>
    <n v="132.22399999999999"/>
  </r>
  <r>
    <x v="2"/>
    <n v="105760"/>
    <x v="604"/>
    <s v="20/06/2017"/>
    <s v="First Class"/>
    <s v="Karen Carlisle"/>
    <x v="379"/>
    <s v="Yes"/>
    <x v="0"/>
    <s v="San Francisco"/>
    <x v="5"/>
    <x v="3"/>
    <x v="844"/>
    <x v="0"/>
    <x v="2"/>
    <n v="17.12"/>
  </r>
  <r>
    <x v="1"/>
    <n v="163293"/>
    <x v="150"/>
    <s v="11/09/2015"/>
    <s v="First Class"/>
    <s v="Karen Carlisle"/>
    <x v="379"/>
    <s v="Yes"/>
    <x v="0"/>
    <s v="Macon"/>
    <x v="7"/>
    <x v="2"/>
    <x v="661"/>
    <x v="1"/>
    <x v="4"/>
    <n v="32.97"/>
  </r>
  <r>
    <x v="2"/>
    <n v="119823"/>
    <x v="605"/>
    <s v="06/06/2017"/>
    <s v="First Class"/>
    <s v="Karen Daniels"/>
    <x v="380"/>
    <s v="Yes"/>
    <x v="2"/>
    <s v="Springfield"/>
    <x v="4"/>
    <x v="2"/>
    <x v="845"/>
    <x v="0"/>
    <x v="2"/>
    <n v="75.88"/>
  </r>
  <r>
    <x v="2"/>
    <n v="130407"/>
    <x v="606"/>
    <s v="06/09/2017"/>
    <s v="Standard Class"/>
    <s v="Karen Daniels"/>
    <x v="380"/>
    <s v="Yes"/>
    <x v="2"/>
    <s v="New York City"/>
    <x v="3"/>
    <x v="0"/>
    <x v="846"/>
    <x v="0"/>
    <x v="0"/>
    <n v="75.48"/>
  </r>
  <r>
    <x v="3"/>
    <n v="110870"/>
    <x v="391"/>
    <s v="15/12/2016"/>
    <s v="First Class"/>
    <s v="Karen Daniels"/>
    <x v="380"/>
    <s v="Yes"/>
    <x v="2"/>
    <s v="Los Angeles"/>
    <x v="5"/>
    <x v="3"/>
    <x v="847"/>
    <x v="1"/>
    <x v="4"/>
    <n v="299.94"/>
  </r>
  <r>
    <x v="0"/>
    <n v="149559"/>
    <x v="241"/>
    <s v="12/09/2018"/>
    <s v="Same Day"/>
    <s v="Karen Ferguson"/>
    <x v="381"/>
    <s v="Yes"/>
    <x v="1"/>
    <s v="Long Beach"/>
    <x v="5"/>
    <x v="3"/>
    <x v="848"/>
    <x v="0"/>
    <x v="2"/>
    <n v="12.96"/>
  </r>
  <r>
    <x v="0"/>
    <n v="166296"/>
    <x v="161"/>
    <s v="19/03/2018"/>
    <s v="Standard Class"/>
    <s v="Karen Ferguson"/>
    <x v="381"/>
    <s v="Yes"/>
    <x v="1"/>
    <s v="Manteca"/>
    <x v="5"/>
    <x v="3"/>
    <x v="849"/>
    <x v="0"/>
    <x v="2"/>
    <n v="314.55"/>
  </r>
  <r>
    <x v="0"/>
    <n v="155824"/>
    <x v="221"/>
    <s v="15/03/2018"/>
    <s v="Standard Class"/>
    <s v="Karen Seio"/>
    <x v="382"/>
    <s v="Yes"/>
    <x v="0"/>
    <s v="Raleigh"/>
    <x v="2"/>
    <x v="2"/>
    <x v="850"/>
    <x v="0"/>
    <x v="12"/>
    <n v="48.783999999999999"/>
  </r>
  <r>
    <x v="3"/>
    <n v="155124"/>
    <x v="607"/>
    <s v="21/03/2016"/>
    <s v="Standard Class"/>
    <s v="Karen Seio"/>
    <x v="382"/>
    <s v="Yes"/>
    <x v="0"/>
    <s v="Lehi"/>
    <x v="19"/>
    <x v="3"/>
    <x v="851"/>
    <x v="1"/>
    <x v="9"/>
    <n v="16.776"/>
  </r>
  <r>
    <x v="3"/>
    <n v="149587"/>
    <x v="608"/>
    <s v="05/02/2016"/>
    <s v="Second Class"/>
    <s v="Karl Braun"/>
    <x v="383"/>
    <s v="Yes"/>
    <x v="2"/>
    <s v="Minneapolis"/>
    <x v="26"/>
    <x v="1"/>
    <x v="852"/>
    <x v="0"/>
    <x v="2"/>
    <n v="12.96"/>
  </r>
  <r>
    <x v="2"/>
    <n v="133123"/>
    <x v="435"/>
    <s v="11/09/2017"/>
    <s v="Standard Class"/>
    <s v="Karl Braun"/>
    <x v="383"/>
    <s v="Yes"/>
    <x v="2"/>
    <s v="Thomasville"/>
    <x v="2"/>
    <x v="2"/>
    <x v="853"/>
    <x v="0"/>
    <x v="16"/>
    <n v="95.951999999999998"/>
  </r>
  <r>
    <x v="3"/>
    <n v="131758"/>
    <x v="609"/>
    <s v="01/06/2016"/>
    <s v="Standard Class"/>
    <s v="Karl Braun"/>
    <x v="383"/>
    <s v="Yes"/>
    <x v="2"/>
    <s v="Freeport"/>
    <x v="3"/>
    <x v="0"/>
    <x v="854"/>
    <x v="0"/>
    <x v="0"/>
    <n v="47.82"/>
  </r>
  <r>
    <x v="2"/>
    <n v="157763"/>
    <x v="557"/>
    <s v="23/07/2017"/>
    <s v="Standard Class"/>
    <s v="Katharine Harms"/>
    <x v="384"/>
    <s v="Yes"/>
    <x v="0"/>
    <s v="Bowling Green"/>
    <x v="12"/>
    <x v="2"/>
    <x v="855"/>
    <x v="2"/>
    <x v="10"/>
    <n v="140.81"/>
  </r>
  <r>
    <x v="0"/>
    <n v="120404"/>
    <x v="205"/>
    <s v="24/11/2018"/>
    <s v="Second Class"/>
    <s v="Katharine Harms"/>
    <x v="384"/>
    <s v="Yes"/>
    <x v="0"/>
    <s v="New York City"/>
    <x v="3"/>
    <x v="0"/>
    <x v="856"/>
    <x v="1"/>
    <x v="4"/>
    <n v="2.97"/>
  </r>
  <r>
    <x v="0"/>
    <n v="157833"/>
    <x v="610"/>
    <s v="20/06/2018"/>
    <s v="First Class"/>
    <s v="Katherine Ducich"/>
    <x v="385"/>
    <s v="No"/>
    <x v="2"/>
    <s v="San Francisco"/>
    <x v="5"/>
    <x v="3"/>
    <x v="857"/>
    <x v="0"/>
    <x v="7"/>
    <n v="51.311999999999998"/>
  </r>
  <r>
    <x v="2"/>
    <n v="101469"/>
    <x v="485"/>
    <s v="08/07/2017"/>
    <s v="Standard Class"/>
    <s v="Katherine Hughes"/>
    <x v="386"/>
    <s v="Yes"/>
    <x v="2"/>
    <s v="Arlington"/>
    <x v="4"/>
    <x v="2"/>
    <x v="858"/>
    <x v="0"/>
    <x v="0"/>
    <n v="7.7"/>
  </r>
  <r>
    <x v="0"/>
    <n v="131156"/>
    <x v="611"/>
    <s v="07/04/2018"/>
    <s v="Standard Class"/>
    <s v="Katherine Hughes"/>
    <x v="386"/>
    <s v="Yes"/>
    <x v="2"/>
    <s v="Philadelphia"/>
    <x v="0"/>
    <x v="0"/>
    <x v="769"/>
    <x v="2"/>
    <x v="6"/>
    <n v="25.472000000000001"/>
  </r>
  <r>
    <x v="2"/>
    <n v="159212"/>
    <x v="295"/>
    <s v="05/11/2017"/>
    <s v="Standard Class"/>
    <s v="Katherine Murray"/>
    <x v="387"/>
    <s v="No"/>
    <x v="1"/>
    <s v="Salem"/>
    <x v="4"/>
    <x v="2"/>
    <x v="859"/>
    <x v="1"/>
    <x v="9"/>
    <n v="21.8"/>
  </r>
  <r>
    <x v="1"/>
    <n v="132864"/>
    <x v="612"/>
    <s v="07/12/2015"/>
    <s v="Standard Class"/>
    <s v="Katherine Nockton"/>
    <x v="388"/>
    <s v="Yes"/>
    <x v="0"/>
    <s v="Columbus"/>
    <x v="21"/>
    <x v="0"/>
    <x v="827"/>
    <x v="1"/>
    <x v="4"/>
    <n v="119.8"/>
  </r>
  <r>
    <x v="3"/>
    <n v="109001"/>
    <x v="613"/>
    <s v="09/03/2016"/>
    <s v="Standard Class"/>
    <s v="Katherine Nockton"/>
    <x v="388"/>
    <s v="Yes"/>
    <x v="0"/>
    <s v="Philadelphia"/>
    <x v="0"/>
    <x v="0"/>
    <x v="860"/>
    <x v="1"/>
    <x v="9"/>
    <n v="466.15800000000002"/>
  </r>
  <r>
    <x v="0"/>
    <n v="161067"/>
    <x v="126"/>
    <s v="06/09/2018"/>
    <s v="Second Class"/>
    <s v="Katrina Bavinger"/>
    <x v="389"/>
    <s v="No"/>
    <x v="1"/>
    <s v="New York City"/>
    <x v="3"/>
    <x v="0"/>
    <x v="861"/>
    <x v="0"/>
    <x v="2"/>
    <n v="419.4"/>
  </r>
  <r>
    <x v="0"/>
    <n v="144904"/>
    <x v="614"/>
    <s v="01/10/2018"/>
    <s v="Standard Class"/>
    <s v="Katrina Willman"/>
    <x v="390"/>
    <s v="Yes"/>
    <x v="2"/>
    <s v="New York City"/>
    <x v="3"/>
    <x v="0"/>
    <x v="862"/>
    <x v="0"/>
    <x v="8"/>
    <n v="20.7"/>
  </r>
  <r>
    <x v="3"/>
    <n v="102491"/>
    <x v="615"/>
    <s v="28/08/2016"/>
    <s v="Standard Class"/>
    <s v="Katrina Willman"/>
    <x v="390"/>
    <s v="Yes"/>
    <x v="2"/>
    <s v="Florence"/>
    <x v="12"/>
    <x v="2"/>
    <x v="863"/>
    <x v="1"/>
    <x v="1"/>
    <n v="3080"/>
  </r>
  <r>
    <x v="3"/>
    <n v="149692"/>
    <x v="121"/>
    <s v="12/12/2016"/>
    <s v="Standard Class"/>
    <s v="Katrina Willman"/>
    <x v="390"/>
    <s v="Yes"/>
    <x v="2"/>
    <s v="Austin"/>
    <x v="1"/>
    <x v="1"/>
    <x v="799"/>
    <x v="0"/>
    <x v="7"/>
    <n v="2.7719999999999998"/>
  </r>
  <r>
    <x v="1"/>
    <n v="112718"/>
    <x v="616"/>
    <s v="21/12/2015"/>
    <s v="Standard Class"/>
    <s v="Kean Nguyen"/>
    <x v="391"/>
    <s v="No"/>
    <x v="0"/>
    <s v="Jacksonville"/>
    <x v="17"/>
    <x v="2"/>
    <x v="864"/>
    <x v="0"/>
    <x v="7"/>
    <n v="1.167"/>
  </r>
  <r>
    <x v="2"/>
    <n v="133879"/>
    <x v="617"/>
    <s v="28/03/2017"/>
    <s v="Standard Class"/>
    <s v="Kean Takahito"/>
    <x v="392"/>
    <s v="Yes"/>
    <x v="2"/>
    <s v="Chicago"/>
    <x v="10"/>
    <x v="1"/>
    <x v="865"/>
    <x v="0"/>
    <x v="7"/>
    <n v="3.1680000000000001"/>
  </r>
  <r>
    <x v="1"/>
    <n v="151925"/>
    <x v="285"/>
    <s v="01/10/2015"/>
    <s v="Second Class"/>
    <s v="Kean Takahito"/>
    <x v="392"/>
    <s v="Yes"/>
    <x v="2"/>
    <s v="Los Angeles"/>
    <x v="5"/>
    <x v="3"/>
    <x v="866"/>
    <x v="2"/>
    <x v="10"/>
    <n v="145.56800000000001"/>
  </r>
  <r>
    <x v="1"/>
    <n v="155887"/>
    <x v="618"/>
    <s v="17/05/2015"/>
    <s v="Standard Class"/>
    <s v="Kean Thornton"/>
    <x v="393"/>
    <s v="Yes"/>
    <x v="2"/>
    <s v="Franklin"/>
    <x v="23"/>
    <x v="0"/>
    <x v="867"/>
    <x v="2"/>
    <x v="14"/>
    <n v="700.05600000000004"/>
  </r>
  <r>
    <x v="1"/>
    <n v="140116"/>
    <x v="619"/>
    <s v="17/03/2015"/>
    <s v="Standard Class"/>
    <s v="Kean Thornton"/>
    <x v="393"/>
    <s v="Yes"/>
    <x v="2"/>
    <s v="Denver"/>
    <x v="20"/>
    <x v="3"/>
    <x v="868"/>
    <x v="0"/>
    <x v="3"/>
    <n v="636.40800000000002"/>
  </r>
  <r>
    <x v="1"/>
    <n v="125136"/>
    <x v="620"/>
    <s v="03/10/2015"/>
    <s v="Standard Class"/>
    <s v="Keith Dawkins"/>
    <x v="394"/>
    <s v="Yes"/>
    <x v="0"/>
    <s v="Fayetteville"/>
    <x v="2"/>
    <x v="2"/>
    <x v="869"/>
    <x v="0"/>
    <x v="2"/>
    <n v="96.256"/>
  </r>
  <r>
    <x v="3"/>
    <n v="121650"/>
    <x v="602"/>
    <s v="16/12/2016"/>
    <s v="Standard Class"/>
    <s v="Keith Dawkins"/>
    <x v="394"/>
    <s v="Yes"/>
    <x v="0"/>
    <s v="Jackson"/>
    <x v="34"/>
    <x v="1"/>
    <x v="870"/>
    <x v="0"/>
    <x v="0"/>
    <n v="3.9"/>
  </r>
  <r>
    <x v="0"/>
    <n v="117457"/>
    <x v="34"/>
    <s v="12/12/2018"/>
    <s v="Standard Class"/>
    <s v="Keith Herrera"/>
    <x v="395"/>
    <s v="Yes"/>
    <x v="2"/>
    <s v="San Francisco"/>
    <x v="5"/>
    <x v="3"/>
    <x v="871"/>
    <x v="1"/>
    <x v="4"/>
    <n v="179.95"/>
  </r>
  <r>
    <x v="3"/>
    <n v="133242"/>
    <x v="621"/>
    <s v="24/06/2016"/>
    <s v="Standard Class"/>
    <s v="Keith Herrera"/>
    <x v="395"/>
    <s v="Yes"/>
    <x v="2"/>
    <s v="Arlington"/>
    <x v="4"/>
    <x v="2"/>
    <x v="872"/>
    <x v="2"/>
    <x v="6"/>
    <n v="60.84"/>
  </r>
  <r>
    <x v="1"/>
    <n v="109036"/>
    <x v="14"/>
    <s v="25/12/2015"/>
    <s v="Standard Class"/>
    <s v="Keith Herrera"/>
    <x v="395"/>
    <s v="Yes"/>
    <x v="2"/>
    <s v="Seattle"/>
    <x v="15"/>
    <x v="3"/>
    <x v="873"/>
    <x v="0"/>
    <x v="8"/>
    <n v="31.05"/>
  </r>
  <r>
    <x v="1"/>
    <n v="158337"/>
    <x v="265"/>
    <s v="14/03/2015"/>
    <s v="Second Class"/>
    <s v="Kelly Andreada"/>
    <x v="396"/>
    <s v="Yes"/>
    <x v="2"/>
    <s v="New York City"/>
    <x v="3"/>
    <x v="0"/>
    <x v="874"/>
    <x v="0"/>
    <x v="2"/>
    <n v="108.92"/>
  </r>
  <r>
    <x v="3"/>
    <n v="152611"/>
    <x v="622"/>
    <s v="23/02/2016"/>
    <s v="Second Class"/>
    <s v="Kelly Andreada"/>
    <x v="396"/>
    <s v="Yes"/>
    <x v="2"/>
    <s v="Perth Amboy"/>
    <x v="35"/>
    <x v="0"/>
    <x v="875"/>
    <x v="0"/>
    <x v="0"/>
    <n v="286.79000000000002"/>
  </r>
  <r>
    <x v="2"/>
    <n v="145625"/>
    <x v="12"/>
    <s v="17/09/2017"/>
    <s v="Standard Class"/>
    <s v="Kelly Collister"/>
    <x v="397"/>
    <s v="Yes"/>
    <x v="2"/>
    <s v="San Diego"/>
    <x v="5"/>
    <x v="3"/>
    <x v="876"/>
    <x v="0"/>
    <x v="2"/>
    <n v="7.61"/>
  </r>
  <r>
    <x v="0"/>
    <n v="108910"/>
    <x v="89"/>
    <s v="29/09/2018"/>
    <s v="Standard Class"/>
    <s v="Kelly Collister"/>
    <x v="397"/>
    <s v="Yes"/>
    <x v="2"/>
    <s v="Newark"/>
    <x v="21"/>
    <x v="0"/>
    <x v="22"/>
    <x v="2"/>
    <x v="6"/>
    <n v="103.056"/>
  </r>
  <r>
    <x v="1"/>
    <n v="111451"/>
    <x v="26"/>
    <s v="28/12/2015"/>
    <s v="First Class"/>
    <s v="Kelly Lampkin"/>
    <x v="398"/>
    <s v="Yes"/>
    <x v="0"/>
    <s v="Colorado Springs"/>
    <x v="20"/>
    <x v="3"/>
    <x v="877"/>
    <x v="2"/>
    <x v="6"/>
    <n v="300.416"/>
  </r>
  <r>
    <x v="2"/>
    <n v="160395"/>
    <x v="155"/>
    <s v="06/01/2018"/>
    <s v="Standard Class"/>
    <s v="Kelly Lampkin"/>
    <x v="398"/>
    <s v="Yes"/>
    <x v="0"/>
    <s v="Reno"/>
    <x v="8"/>
    <x v="3"/>
    <x v="878"/>
    <x v="0"/>
    <x v="0"/>
    <n v="3.64"/>
  </r>
  <r>
    <x v="1"/>
    <n v="141215"/>
    <x v="623"/>
    <s v="21/06/2015"/>
    <s v="Standard Class"/>
    <s v="Kelly Lampkin"/>
    <x v="398"/>
    <s v="Yes"/>
    <x v="0"/>
    <s v="San Antonio"/>
    <x v="1"/>
    <x v="1"/>
    <x v="879"/>
    <x v="2"/>
    <x v="14"/>
    <n v="99.918000000000006"/>
  </r>
  <r>
    <x v="2"/>
    <n v="129469"/>
    <x v="220"/>
    <s v="27/09/2017"/>
    <s v="Standard Class"/>
    <s v="Kelly Lampkin"/>
    <x v="398"/>
    <s v="Yes"/>
    <x v="0"/>
    <s v="Fairfield"/>
    <x v="21"/>
    <x v="0"/>
    <x v="880"/>
    <x v="2"/>
    <x v="6"/>
    <n v="532.70399999999995"/>
  </r>
  <r>
    <x v="0"/>
    <n v="129357"/>
    <x v="353"/>
    <s v="19/05/2018"/>
    <s v="Standard Class"/>
    <s v="Ken Black"/>
    <x v="399"/>
    <s v="Yes"/>
    <x v="0"/>
    <s v="Seattle"/>
    <x v="15"/>
    <x v="3"/>
    <x v="881"/>
    <x v="0"/>
    <x v="2"/>
    <n v="440.19"/>
  </r>
  <r>
    <x v="2"/>
    <n v="137330"/>
    <x v="333"/>
    <s v="13/12/2017"/>
    <s v="Standard Class"/>
    <s v="Ken Black"/>
    <x v="399"/>
    <s v="Yes"/>
    <x v="0"/>
    <s v="Fremont"/>
    <x v="24"/>
    <x v="1"/>
    <x v="516"/>
    <x v="0"/>
    <x v="0"/>
    <n v="19.46"/>
  </r>
  <r>
    <x v="1"/>
    <n v="130960"/>
    <x v="131"/>
    <s v="04/01/2016"/>
    <s v="Standard Class"/>
    <s v="Ken Brennan"/>
    <x v="400"/>
    <s v="Yes"/>
    <x v="0"/>
    <s v="Taylor"/>
    <x v="34"/>
    <x v="1"/>
    <x v="433"/>
    <x v="0"/>
    <x v="0"/>
    <n v="9.84"/>
  </r>
  <r>
    <x v="0"/>
    <n v="118038"/>
    <x v="81"/>
    <s v="11/12/2018"/>
    <s v="First Class"/>
    <s v="Ken Brennan"/>
    <x v="400"/>
    <s v="Yes"/>
    <x v="0"/>
    <s v="Houston"/>
    <x v="1"/>
    <x v="1"/>
    <x v="882"/>
    <x v="0"/>
    <x v="7"/>
    <n v="1.248"/>
  </r>
  <r>
    <x v="3"/>
    <n v="157035"/>
    <x v="624"/>
    <s v="12/12/2016"/>
    <s v="First Class"/>
    <s v="Ken Brennan"/>
    <x v="400"/>
    <s v="Yes"/>
    <x v="0"/>
    <s v="Columbus"/>
    <x v="11"/>
    <x v="1"/>
    <x v="883"/>
    <x v="0"/>
    <x v="2"/>
    <n v="34.020000000000003"/>
  </r>
  <r>
    <x v="0"/>
    <n v="159156"/>
    <x v="284"/>
    <s v="16/11/2018"/>
    <s v="First Class"/>
    <s v="Ken Brennan"/>
    <x v="400"/>
    <s v="Yes"/>
    <x v="0"/>
    <s v="New York City"/>
    <x v="3"/>
    <x v="0"/>
    <x v="884"/>
    <x v="1"/>
    <x v="9"/>
    <n v="629.95000000000005"/>
  </r>
  <r>
    <x v="0"/>
    <n v="164049"/>
    <x v="115"/>
    <s v="06/11/2018"/>
    <s v="Standard Class"/>
    <s v="Ken Heidel"/>
    <x v="401"/>
    <s v="Yes"/>
    <x v="0"/>
    <s v="Seattle"/>
    <x v="15"/>
    <x v="3"/>
    <x v="885"/>
    <x v="0"/>
    <x v="2"/>
    <n v="23.85"/>
  </r>
  <r>
    <x v="0"/>
    <n v="152275"/>
    <x v="313"/>
    <s v="08/10/2018"/>
    <s v="Standard Class"/>
    <s v="Ken Heidel"/>
    <x v="401"/>
    <s v="Yes"/>
    <x v="0"/>
    <s v="San Antonio"/>
    <x v="1"/>
    <x v="1"/>
    <x v="788"/>
    <x v="0"/>
    <x v="0"/>
    <n v="6.6719999999999997"/>
  </r>
  <r>
    <x v="2"/>
    <n v="100153"/>
    <x v="625"/>
    <s v="17/12/2017"/>
    <s v="Standard Class"/>
    <s v="Ken Heidel"/>
    <x v="401"/>
    <s v="Yes"/>
    <x v="0"/>
    <s v="Norman"/>
    <x v="14"/>
    <x v="1"/>
    <x v="886"/>
    <x v="1"/>
    <x v="4"/>
    <n v="63.88"/>
  </r>
  <r>
    <x v="2"/>
    <n v="103037"/>
    <x v="287"/>
    <s v="29/07/2017"/>
    <s v="Standard Class"/>
    <s v="Ken Heidel"/>
    <x v="401"/>
    <s v="Yes"/>
    <x v="0"/>
    <s v="Houston"/>
    <x v="1"/>
    <x v="1"/>
    <x v="887"/>
    <x v="0"/>
    <x v="8"/>
    <n v="15.712"/>
  </r>
  <r>
    <x v="0"/>
    <n v="147403"/>
    <x v="626"/>
    <s v="13/09/2018"/>
    <s v="First Class"/>
    <s v="Ken Heidel"/>
    <x v="401"/>
    <s v="Yes"/>
    <x v="0"/>
    <s v="Akron"/>
    <x v="21"/>
    <x v="0"/>
    <x v="888"/>
    <x v="0"/>
    <x v="2"/>
    <n v="85.055999999999997"/>
  </r>
  <r>
    <x v="3"/>
    <n v="115798"/>
    <x v="517"/>
    <s v="19/11/2016"/>
    <s v="Standard Class"/>
    <s v="Ken Lonsdale"/>
    <x v="402"/>
    <s v="Yes"/>
    <x v="2"/>
    <s v="Newark"/>
    <x v="39"/>
    <x v="0"/>
    <x v="637"/>
    <x v="1"/>
    <x v="9"/>
    <n v="377.97"/>
  </r>
  <r>
    <x v="2"/>
    <n v="157749"/>
    <x v="605"/>
    <s v="09/06/2017"/>
    <s v="Second Class"/>
    <s v="Ken Lonsdale"/>
    <x v="402"/>
    <s v="Yes"/>
    <x v="2"/>
    <s v="Chicago"/>
    <x v="10"/>
    <x v="1"/>
    <x v="889"/>
    <x v="0"/>
    <x v="2"/>
    <n v="25.92"/>
  </r>
  <r>
    <x v="2"/>
    <n v="133550"/>
    <x v="627"/>
    <s v="06/08/2017"/>
    <s v="Standard Class"/>
    <s v="Ken Lonsdale"/>
    <x v="402"/>
    <s v="Yes"/>
    <x v="2"/>
    <s v="Detroit"/>
    <x v="34"/>
    <x v="1"/>
    <x v="890"/>
    <x v="0"/>
    <x v="12"/>
    <n v="283.14"/>
  </r>
  <r>
    <x v="2"/>
    <n v="157742"/>
    <x v="226"/>
    <s v="31/12/2017"/>
    <s v="Second Class"/>
    <s v="Ken Lonsdale"/>
    <x v="402"/>
    <s v="Yes"/>
    <x v="2"/>
    <s v="Springfield"/>
    <x v="25"/>
    <x v="3"/>
    <x v="891"/>
    <x v="0"/>
    <x v="16"/>
    <n v="27.792000000000002"/>
  </r>
  <r>
    <x v="0"/>
    <n v="164042"/>
    <x v="628"/>
    <s v="27/05/2018"/>
    <s v="Standard Class"/>
    <s v="Ken Lonsdale"/>
    <x v="402"/>
    <s v="Yes"/>
    <x v="2"/>
    <s v="Houston"/>
    <x v="1"/>
    <x v="1"/>
    <x v="892"/>
    <x v="0"/>
    <x v="15"/>
    <n v="1.8240000000000001"/>
  </r>
  <r>
    <x v="3"/>
    <n v="128167"/>
    <x v="629"/>
    <s v="26/06/2016"/>
    <s v="Second Class"/>
    <s v="Ken Lonsdale"/>
    <x v="402"/>
    <s v="Yes"/>
    <x v="2"/>
    <s v="Layton"/>
    <x v="19"/>
    <x v="3"/>
    <x v="893"/>
    <x v="0"/>
    <x v="15"/>
    <n v="4.96"/>
  </r>
  <r>
    <x v="3"/>
    <n v="131072"/>
    <x v="630"/>
    <s v="05/11/2016"/>
    <s v="Same Day"/>
    <s v="Ken Lonsdale"/>
    <x v="402"/>
    <s v="Yes"/>
    <x v="2"/>
    <s v="Seattle"/>
    <x v="15"/>
    <x v="3"/>
    <x v="894"/>
    <x v="0"/>
    <x v="7"/>
    <n v="98.352000000000004"/>
  </r>
  <r>
    <x v="3"/>
    <n v="168732"/>
    <x v="602"/>
    <s v="16/12/2016"/>
    <s v="Standard Class"/>
    <s v="Khloe Miller"/>
    <x v="403"/>
    <s v="No"/>
    <x v="2"/>
    <s v="Roswell"/>
    <x v="7"/>
    <x v="2"/>
    <x v="895"/>
    <x v="0"/>
    <x v="0"/>
    <n v="1.78"/>
  </r>
  <r>
    <x v="0"/>
    <n v="142636"/>
    <x v="346"/>
    <s v="07/11/2018"/>
    <s v="Standard Class"/>
    <s v="Kimberly Carter"/>
    <x v="404"/>
    <s v="No"/>
    <x v="0"/>
    <s v="Seattle"/>
    <x v="15"/>
    <x v="3"/>
    <x v="515"/>
    <x v="0"/>
    <x v="2"/>
    <n v="139.86000000000001"/>
  </r>
  <r>
    <x v="2"/>
    <n v="103891"/>
    <x v="631"/>
    <s v="19/07/2017"/>
    <s v="Standard Class"/>
    <s v="Kristen Hastings"/>
    <x v="405"/>
    <s v="Yes"/>
    <x v="0"/>
    <s v="Los Angeles"/>
    <x v="5"/>
    <x v="3"/>
    <x v="896"/>
    <x v="1"/>
    <x v="9"/>
    <n v="95.76"/>
  </r>
  <r>
    <x v="1"/>
    <n v="163223"/>
    <x v="240"/>
    <s v="25/03/2015"/>
    <s v="Standard Class"/>
    <s v="Kristen Hastings"/>
    <x v="405"/>
    <s v="Yes"/>
    <x v="0"/>
    <s v="Springfield"/>
    <x v="4"/>
    <x v="2"/>
    <x v="897"/>
    <x v="1"/>
    <x v="9"/>
    <n v="3499.93"/>
  </r>
  <r>
    <x v="3"/>
    <n v="119102"/>
    <x v="452"/>
    <s v="27/05/2016"/>
    <s v="Standard Class"/>
    <s v="Kristen Hastings"/>
    <x v="405"/>
    <s v="Yes"/>
    <x v="0"/>
    <s v="Woonsocket"/>
    <x v="33"/>
    <x v="0"/>
    <x v="898"/>
    <x v="0"/>
    <x v="3"/>
    <n v="51.45"/>
  </r>
  <r>
    <x v="0"/>
    <n v="163979"/>
    <x v="283"/>
    <s v="02/01/2019"/>
    <s v="Second Class"/>
    <s v="Kristen Hastings"/>
    <x v="405"/>
    <s v="Yes"/>
    <x v="0"/>
    <s v="San Francisco"/>
    <x v="5"/>
    <x v="3"/>
    <x v="899"/>
    <x v="0"/>
    <x v="3"/>
    <n v="725.84"/>
  </r>
  <r>
    <x v="3"/>
    <n v="150714"/>
    <x v="72"/>
    <s v="01/11/2016"/>
    <s v="Standard Class"/>
    <s v="Kristen Hastings"/>
    <x v="405"/>
    <s v="Yes"/>
    <x v="0"/>
    <s v="Springfield"/>
    <x v="25"/>
    <x v="3"/>
    <x v="900"/>
    <x v="0"/>
    <x v="8"/>
    <n v="146.54400000000001"/>
  </r>
  <r>
    <x v="0"/>
    <n v="138422"/>
    <x v="129"/>
    <s v="26/09/2018"/>
    <s v="First Class"/>
    <s v="Kristina Nunn"/>
    <x v="406"/>
    <s v="Yes"/>
    <x v="1"/>
    <s v="Fort Collins"/>
    <x v="20"/>
    <x v="3"/>
    <x v="901"/>
    <x v="0"/>
    <x v="16"/>
    <n v="14.352"/>
  </r>
  <r>
    <x v="0"/>
    <n v="126067"/>
    <x v="632"/>
    <s v="03/09/2018"/>
    <s v="Standard Class"/>
    <s v="Kristina Nunn"/>
    <x v="406"/>
    <s v="Yes"/>
    <x v="1"/>
    <s v="Seattle"/>
    <x v="15"/>
    <x v="3"/>
    <x v="902"/>
    <x v="1"/>
    <x v="9"/>
    <n v="35.167999999999999"/>
  </r>
  <r>
    <x v="1"/>
    <n v="157609"/>
    <x v="633"/>
    <s v="21/03/2015"/>
    <s v="Second Class"/>
    <s v="Kristina Nunn"/>
    <x v="406"/>
    <s v="Yes"/>
    <x v="1"/>
    <s v="Raleigh"/>
    <x v="2"/>
    <x v="2"/>
    <x v="903"/>
    <x v="1"/>
    <x v="9"/>
    <n v="471.92"/>
  </r>
  <r>
    <x v="2"/>
    <n v="140613"/>
    <x v="235"/>
    <s v="29/07/2017"/>
    <s v="Standard Class"/>
    <s v="Kristina Nunn"/>
    <x v="406"/>
    <s v="Yes"/>
    <x v="1"/>
    <s v="Sparks"/>
    <x v="8"/>
    <x v="3"/>
    <x v="904"/>
    <x v="0"/>
    <x v="5"/>
    <n v="86.2"/>
  </r>
  <r>
    <x v="3"/>
    <n v="135545"/>
    <x v="351"/>
    <s v="30/11/2016"/>
    <s v="Standard Class"/>
    <s v="Kunst Miller"/>
    <x v="407"/>
    <s v="Yes"/>
    <x v="2"/>
    <s v="Los Angeles"/>
    <x v="5"/>
    <x v="3"/>
    <x v="905"/>
    <x v="1"/>
    <x v="4"/>
    <n v="13.98"/>
  </r>
  <r>
    <x v="1"/>
    <n v="157021"/>
    <x v="634"/>
    <s v="06/04/2015"/>
    <s v="Second Class"/>
    <s v="Kunst Miller"/>
    <x v="407"/>
    <s v="Yes"/>
    <x v="2"/>
    <s v="Vallejo"/>
    <x v="5"/>
    <x v="3"/>
    <x v="567"/>
    <x v="0"/>
    <x v="8"/>
    <n v="29.6"/>
  </r>
  <r>
    <x v="1"/>
    <n v="169033"/>
    <x v="635"/>
    <s v="03/04/2015"/>
    <s v="Standard Class"/>
    <s v="Kunst Miller"/>
    <x v="407"/>
    <s v="Yes"/>
    <x v="2"/>
    <s v="Long Beach"/>
    <x v="3"/>
    <x v="0"/>
    <x v="906"/>
    <x v="0"/>
    <x v="0"/>
    <n v="49.65"/>
  </r>
  <r>
    <x v="0"/>
    <n v="133235"/>
    <x v="1"/>
    <s v="04/08/2018"/>
    <s v="First Class"/>
    <s v="Larry Hughes"/>
    <x v="408"/>
    <s v="No"/>
    <x v="2"/>
    <s v="Charlotte"/>
    <x v="2"/>
    <x v="2"/>
    <x v="907"/>
    <x v="1"/>
    <x v="9"/>
    <n v="271.95999999999998"/>
  </r>
  <r>
    <x v="3"/>
    <n v="122910"/>
    <x v="103"/>
    <s v="16/05/2016"/>
    <s v="Standard Class"/>
    <s v="Larry Tron"/>
    <x v="409"/>
    <s v="Yes"/>
    <x v="2"/>
    <s v="Louisville"/>
    <x v="20"/>
    <x v="3"/>
    <x v="908"/>
    <x v="1"/>
    <x v="9"/>
    <n v="201.584"/>
  </r>
  <r>
    <x v="1"/>
    <n v="126522"/>
    <x v="636"/>
    <s v="05/09/2015"/>
    <s v="Second Class"/>
    <s v="Larry Tron"/>
    <x v="409"/>
    <s v="Yes"/>
    <x v="2"/>
    <s v="Escondido"/>
    <x v="5"/>
    <x v="3"/>
    <x v="666"/>
    <x v="0"/>
    <x v="0"/>
    <n v="53.94"/>
  </r>
  <r>
    <x v="2"/>
    <n v="108882"/>
    <x v="637"/>
    <s v="15/01/2017"/>
    <s v="Standard Class"/>
    <s v="Laura Armstrong"/>
    <x v="410"/>
    <s v="Yes"/>
    <x v="0"/>
    <s v="Fresno"/>
    <x v="5"/>
    <x v="3"/>
    <x v="909"/>
    <x v="1"/>
    <x v="4"/>
    <n v="349.95"/>
  </r>
  <r>
    <x v="2"/>
    <n v="123806"/>
    <x v="65"/>
    <s v="27/11/2017"/>
    <s v="Second Class"/>
    <s v="Laura Armstrong"/>
    <x v="410"/>
    <s v="Yes"/>
    <x v="0"/>
    <s v="Baltimore"/>
    <x v="31"/>
    <x v="0"/>
    <x v="910"/>
    <x v="2"/>
    <x v="6"/>
    <n v="207.76"/>
  </r>
  <r>
    <x v="0"/>
    <n v="130771"/>
    <x v="91"/>
    <s v="03/08/2018"/>
    <s v="Standard Class"/>
    <s v="Laura Armstrong"/>
    <x v="410"/>
    <s v="Yes"/>
    <x v="0"/>
    <s v="Austin"/>
    <x v="1"/>
    <x v="1"/>
    <x v="911"/>
    <x v="0"/>
    <x v="15"/>
    <n v="2.8959999999999999"/>
  </r>
  <r>
    <x v="2"/>
    <n v="164091"/>
    <x v="296"/>
    <s v="22/09/2017"/>
    <s v="Standard Class"/>
    <s v="Laura Armstrong"/>
    <x v="410"/>
    <s v="Yes"/>
    <x v="0"/>
    <s v="Bangor"/>
    <x v="44"/>
    <x v="0"/>
    <x v="912"/>
    <x v="1"/>
    <x v="9"/>
    <n v="437.85"/>
  </r>
  <r>
    <x v="3"/>
    <n v="125395"/>
    <x v="638"/>
    <s v="29/06/2016"/>
    <s v="Second Class"/>
    <s v="Laura Armstrong"/>
    <x v="410"/>
    <s v="Yes"/>
    <x v="0"/>
    <s v="Taylor"/>
    <x v="34"/>
    <x v="1"/>
    <x v="913"/>
    <x v="1"/>
    <x v="4"/>
    <n v="41.9"/>
  </r>
  <r>
    <x v="2"/>
    <n v="162103"/>
    <x v="288"/>
    <s v="17/11/2017"/>
    <s v="Standard Class"/>
    <s v="Laurel Beltran"/>
    <x v="411"/>
    <s v="Yes"/>
    <x v="1"/>
    <s v="Highland Park"/>
    <x v="10"/>
    <x v="1"/>
    <x v="914"/>
    <x v="0"/>
    <x v="7"/>
    <n v="3.1360000000000001"/>
  </r>
  <r>
    <x v="2"/>
    <n v="157490"/>
    <x v="639"/>
    <s v="07/10/2017"/>
    <s v="First Class"/>
    <s v="Laurel Beltran"/>
    <x v="411"/>
    <s v="Yes"/>
    <x v="1"/>
    <s v="Pueblo"/>
    <x v="20"/>
    <x v="3"/>
    <x v="915"/>
    <x v="1"/>
    <x v="1"/>
    <n v="703.71"/>
  </r>
  <r>
    <x v="2"/>
    <n v="124583"/>
    <x v="329"/>
    <s v="03/09/2017"/>
    <s v="Second Class"/>
    <s v="Laurel Beltran"/>
    <x v="411"/>
    <s v="Yes"/>
    <x v="1"/>
    <s v="Huntington Beach"/>
    <x v="5"/>
    <x v="3"/>
    <x v="916"/>
    <x v="0"/>
    <x v="16"/>
    <n v="12.78"/>
  </r>
  <r>
    <x v="1"/>
    <n v="117058"/>
    <x v="640"/>
    <s v="30/05/2015"/>
    <s v="First Class"/>
    <s v="Laurel Elliston"/>
    <x v="412"/>
    <s v="Yes"/>
    <x v="2"/>
    <s v="Chicago"/>
    <x v="10"/>
    <x v="1"/>
    <x v="917"/>
    <x v="0"/>
    <x v="7"/>
    <n v="17.46"/>
  </r>
  <r>
    <x v="0"/>
    <n v="108329"/>
    <x v="81"/>
    <s v="14/12/2018"/>
    <s v="Standard Class"/>
    <s v="Laurel Elliston"/>
    <x v="412"/>
    <s v="Yes"/>
    <x v="2"/>
    <s v="Whittier"/>
    <x v="5"/>
    <x v="3"/>
    <x v="168"/>
    <x v="1"/>
    <x v="9"/>
    <n v="444.76799999999997"/>
  </r>
  <r>
    <x v="2"/>
    <n v="157245"/>
    <x v="641"/>
    <s v="24/05/2017"/>
    <s v="Standard Class"/>
    <s v="Laurel Elliston"/>
    <x v="412"/>
    <s v="Yes"/>
    <x v="2"/>
    <s v="Arlington"/>
    <x v="4"/>
    <x v="2"/>
    <x v="918"/>
    <x v="2"/>
    <x v="10"/>
    <n v="641.96"/>
  </r>
  <r>
    <x v="3"/>
    <n v="137974"/>
    <x v="642"/>
    <s v="18/04/2016"/>
    <s v="First Class"/>
    <s v="Lauren Leatherbury"/>
    <x v="413"/>
    <s v="Yes"/>
    <x v="2"/>
    <s v="Waynesboro"/>
    <x v="4"/>
    <x v="2"/>
    <x v="919"/>
    <x v="1"/>
    <x v="9"/>
    <n v="569.64"/>
  </r>
  <r>
    <x v="0"/>
    <n v="163195"/>
    <x v="330"/>
    <s v="21/02/2018"/>
    <s v="Second Class"/>
    <s v="Lauren Leatherbury"/>
    <x v="413"/>
    <s v="Yes"/>
    <x v="2"/>
    <s v="Lafayette"/>
    <x v="27"/>
    <x v="2"/>
    <x v="920"/>
    <x v="1"/>
    <x v="9"/>
    <n v="29.16"/>
  </r>
  <r>
    <x v="1"/>
    <n v="134061"/>
    <x v="643"/>
    <s v="04/05/2015"/>
    <s v="Standard Class"/>
    <s v="Lauren Leatherbury"/>
    <x v="413"/>
    <s v="Yes"/>
    <x v="2"/>
    <s v="Rochester"/>
    <x v="3"/>
    <x v="0"/>
    <x v="921"/>
    <x v="2"/>
    <x v="6"/>
    <n v="17.46"/>
  </r>
  <r>
    <x v="3"/>
    <n v="164833"/>
    <x v="153"/>
    <s v="04/06/2016"/>
    <s v="Same Day"/>
    <s v="Lauren Leatherbury"/>
    <x v="413"/>
    <s v="Yes"/>
    <x v="2"/>
    <s v="Seattle"/>
    <x v="15"/>
    <x v="3"/>
    <x v="922"/>
    <x v="0"/>
    <x v="8"/>
    <n v="7.38"/>
  </r>
  <r>
    <x v="3"/>
    <n v="156867"/>
    <x v="517"/>
    <s v="17/11/2016"/>
    <s v="Standard Class"/>
    <s v="Lena Cacioppo"/>
    <x v="414"/>
    <s v="Yes"/>
    <x v="2"/>
    <s v="Aurora"/>
    <x v="20"/>
    <x v="3"/>
    <x v="130"/>
    <x v="1"/>
    <x v="4"/>
    <n v="238.89599999999999"/>
  </r>
  <r>
    <x v="0"/>
    <n v="113705"/>
    <x v="644"/>
    <s v="29/03/2018"/>
    <s v="Second Class"/>
    <s v="Lena Cacioppo"/>
    <x v="414"/>
    <s v="Yes"/>
    <x v="2"/>
    <s v="Richmond"/>
    <x v="4"/>
    <x v="2"/>
    <x v="923"/>
    <x v="0"/>
    <x v="8"/>
    <n v="8.26"/>
  </r>
  <r>
    <x v="0"/>
    <n v="118017"/>
    <x v="301"/>
    <s v="06/12/2018"/>
    <s v="Second Class"/>
    <s v="Lena Cacioppo"/>
    <x v="414"/>
    <s v="Yes"/>
    <x v="2"/>
    <s v="Thornton"/>
    <x v="20"/>
    <x v="3"/>
    <x v="924"/>
    <x v="0"/>
    <x v="0"/>
    <n v="13.343999999999999"/>
  </r>
  <r>
    <x v="2"/>
    <n v="167584"/>
    <x v="645"/>
    <s v="12/08/2017"/>
    <s v="Same Day"/>
    <s v="Lena Cacioppo"/>
    <x v="414"/>
    <s v="Yes"/>
    <x v="2"/>
    <s v="Des Moines"/>
    <x v="32"/>
    <x v="1"/>
    <x v="925"/>
    <x v="0"/>
    <x v="2"/>
    <n v="6.48"/>
  </r>
  <r>
    <x v="2"/>
    <n v="111283"/>
    <x v="646"/>
    <s v="04/03/2017"/>
    <s v="Standard Class"/>
    <s v="Lena Cacioppo"/>
    <x v="414"/>
    <s v="Yes"/>
    <x v="2"/>
    <s v="Newark"/>
    <x v="21"/>
    <x v="0"/>
    <x v="926"/>
    <x v="0"/>
    <x v="0"/>
    <n v="111.104"/>
  </r>
  <r>
    <x v="3"/>
    <n v="124058"/>
    <x v="202"/>
    <s v="24/11/2016"/>
    <s v="Standard Class"/>
    <s v="Lena Creighton"/>
    <x v="415"/>
    <s v="Yes"/>
    <x v="2"/>
    <s v="Oakland"/>
    <x v="5"/>
    <x v="3"/>
    <x v="927"/>
    <x v="1"/>
    <x v="9"/>
    <n v="72.744"/>
  </r>
  <r>
    <x v="0"/>
    <n v="143861"/>
    <x v="647"/>
    <s v="19/06/2018"/>
    <s v="Standard Class"/>
    <s v="Lena Creighton"/>
    <x v="415"/>
    <s v="Yes"/>
    <x v="2"/>
    <s v="Saint Petersburg"/>
    <x v="17"/>
    <x v="2"/>
    <x v="928"/>
    <x v="2"/>
    <x v="6"/>
    <n v="17.088000000000001"/>
  </r>
  <r>
    <x v="1"/>
    <n v="139192"/>
    <x v="640"/>
    <s v="01/06/2015"/>
    <s v="Second Class"/>
    <s v="Lena Creighton"/>
    <x v="415"/>
    <s v="Yes"/>
    <x v="2"/>
    <s v="San Francisco"/>
    <x v="5"/>
    <x v="3"/>
    <x v="929"/>
    <x v="1"/>
    <x v="9"/>
    <n v="1113.5039999999999"/>
  </r>
  <r>
    <x v="1"/>
    <n v="110100"/>
    <x v="648"/>
    <s v="29/04/2015"/>
    <s v="Standard Class"/>
    <s v="Lena Creighton"/>
    <x v="415"/>
    <s v="Yes"/>
    <x v="2"/>
    <s v="Wilmington"/>
    <x v="2"/>
    <x v="2"/>
    <x v="930"/>
    <x v="1"/>
    <x v="9"/>
    <n v="302.37599999999998"/>
  </r>
  <r>
    <x v="3"/>
    <n v="157133"/>
    <x v="342"/>
    <s v="03/12/2016"/>
    <s v="Standard Class"/>
    <s v="Lena Creighton"/>
    <x v="415"/>
    <s v="Yes"/>
    <x v="2"/>
    <s v="Champaign"/>
    <x v="10"/>
    <x v="1"/>
    <x v="931"/>
    <x v="2"/>
    <x v="6"/>
    <n v="151.96"/>
  </r>
  <r>
    <x v="2"/>
    <n v="145583"/>
    <x v="649"/>
    <s v="19/10/2017"/>
    <s v="Standard Class"/>
    <s v="Lena Creighton"/>
    <x v="415"/>
    <s v="Yes"/>
    <x v="2"/>
    <s v="Roseville"/>
    <x v="5"/>
    <x v="3"/>
    <x v="932"/>
    <x v="0"/>
    <x v="2"/>
    <n v="20.04"/>
  </r>
  <r>
    <x v="1"/>
    <n v="156559"/>
    <x v="180"/>
    <s v="26/08/2015"/>
    <s v="Standard Class"/>
    <s v="Lena Hernandez"/>
    <x v="416"/>
    <s v="Yes"/>
    <x v="2"/>
    <s v="Jonesboro"/>
    <x v="37"/>
    <x v="2"/>
    <x v="933"/>
    <x v="2"/>
    <x v="13"/>
    <n v="638.82000000000005"/>
  </r>
  <r>
    <x v="2"/>
    <n v="169194"/>
    <x v="244"/>
    <s v="25/06/2017"/>
    <s v="Standard Class"/>
    <s v="Lena Hernandez"/>
    <x v="416"/>
    <s v="Yes"/>
    <x v="2"/>
    <s v="Dover"/>
    <x v="39"/>
    <x v="0"/>
    <x v="934"/>
    <x v="1"/>
    <x v="4"/>
    <n v="45"/>
  </r>
  <r>
    <x v="0"/>
    <n v="109183"/>
    <x v="357"/>
    <s v="09/12/2018"/>
    <s v="Standard Class"/>
    <s v="Lena Radford"/>
    <x v="417"/>
    <s v="Yes"/>
    <x v="2"/>
    <s v="Nashville"/>
    <x v="18"/>
    <x v="2"/>
    <x v="935"/>
    <x v="1"/>
    <x v="1"/>
    <n v="649"/>
  </r>
  <r>
    <x v="1"/>
    <n v="131450"/>
    <x v="650"/>
    <s v="15/08/2015"/>
    <s v="Standard Class"/>
    <s v="Lena Radford"/>
    <x v="417"/>
    <s v="Yes"/>
    <x v="2"/>
    <s v="San Diego"/>
    <x v="5"/>
    <x v="3"/>
    <x v="913"/>
    <x v="0"/>
    <x v="12"/>
    <n v="76.12"/>
  </r>
  <r>
    <x v="2"/>
    <n v="148803"/>
    <x v="114"/>
    <s v="11/12/2017"/>
    <s v="Same Day"/>
    <s v="Lena Radford"/>
    <x v="417"/>
    <s v="Yes"/>
    <x v="2"/>
    <s v="Homestead"/>
    <x v="17"/>
    <x v="2"/>
    <x v="936"/>
    <x v="0"/>
    <x v="3"/>
    <n v="85.224000000000004"/>
  </r>
  <r>
    <x v="2"/>
    <n v="152289"/>
    <x v="651"/>
    <s v="28/08/2017"/>
    <s v="First Class"/>
    <s v="Linda Cazamias"/>
    <x v="418"/>
    <s v="Yes"/>
    <x v="0"/>
    <s v="Pasadena"/>
    <x v="1"/>
    <x v="1"/>
    <x v="937"/>
    <x v="1"/>
    <x v="4"/>
    <n v="159.98400000000001"/>
  </r>
  <r>
    <x v="1"/>
    <n v="109491"/>
    <x v="652"/>
    <s v="26/02/2015"/>
    <s v="Standard Class"/>
    <s v="Linda Cazamias"/>
    <x v="418"/>
    <s v="Yes"/>
    <x v="0"/>
    <s v="Richmond"/>
    <x v="11"/>
    <x v="1"/>
    <x v="938"/>
    <x v="1"/>
    <x v="4"/>
    <n v="62.31"/>
  </r>
  <r>
    <x v="0"/>
    <n v="120999"/>
    <x v="626"/>
    <s v="15/09/2018"/>
    <s v="Standard Class"/>
    <s v="Linda Cazamias"/>
    <x v="418"/>
    <s v="Yes"/>
    <x v="0"/>
    <s v="Naperville"/>
    <x v="10"/>
    <x v="1"/>
    <x v="522"/>
    <x v="1"/>
    <x v="9"/>
    <n v="147.16800000000001"/>
  </r>
  <r>
    <x v="2"/>
    <n v="111913"/>
    <x v="653"/>
    <s v="06/08/2017"/>
    <s v="Second Class"/>
    <s v="Linda Cazamias"/>
    <x v="418"/>
    <s v="Yes"/>
    <x v="0"/>
    <s v="Sacramento"/>
    <x v="5"/>
    <x v="3"/>
    <x v="939"/>
    <x v="1"/>
    <x v="9"/>
    <n v="302.38400000000001"/>
  </r>
  <r>
    <x v="2"/>
    <n v="107202"/>
    <x v="277"/>
    <s v="28/05/2017"/>
    <s v="Standard Class"/>
    <s v="Linda Cazamias"/>
    <x v="418"/>
    <s v="Yes"/>
    <x v="0"/>
    <s v="Sparks"/>
    <x v="8"/>
    <x v="3"/>
    <x v="676"/>
    <x v="1"/>
    <x v="1"/>
    <n v="2396.4"/>
  </r>
  <r>
    <x v="2"/>
    <n v="134362"/>
    <x v="252"/>
    <s v="02/10/2017"/>
    <s v="First Class"/>
    <s v="Linda Southworth"/>
    <x v="419"/>
    <s v="No"/>
    <x v="0"/>
    <s v="Philadelphia"/>
    <x v="0"/>
    <x v="0"/>
    <x v="940"/>
    <x v="0"/>
    <x v="8"/>
    <n v="15.936"/>
  </r>
  <r>
    <x v="1"/>
    <n v="147648"/>
    <x v="575"/>
    <s v="01/12/2015"/>
    <s v="Standard Class"/>
    <s v="Lindsay Shagiari"/>
    <x v="420"/>
    <s v="Yes"/>
    <x v="1"/>
    <s v="San Francisco"/>
    <x v="5"/>
    <x v="3"/>
    <x v="941"/>
    <x v="0"/>
    <x v="2"/>
    <n v="81.98"/>
  </r>
  <r>
    <x v="3"/>
    <n v="138919"/>
    <x v="654"/>
    <s v="21/09/2016"/>
    <s v="Standard Class"/>
    <s v="Lindsay Shagiari"/>
    <x v="420"/>
    <s v="Yes"/>
    <x v="1"/>
    <s v="New York City"/>
    <x v="3"/>
    <x v="0"/>
    <x v="942"/>
    <x v="2"/>
    <x v="14"/>
    <n v="344.22"/>
  </r>
  <r>
    <x v="0"/>
    <n v="108294"/>
    <x v="51"/>
    <s v="10/12/2018"/>
    <s v="Same Day"/>
    <s v="Lindsay Shagiari"/>
    <x v="420"/>
    <s v="Yes"/>
    <x v="1"/>
    <s v="Omaha"/>
    <x v="24"/>
    <x v="1"/>
    <x v="84"/>
    <x v="0"/>
    <x v="7"/>
    <n v="34.5"/>
  </r>
  <r>
    <x v="2"/>
    <n v="112025"/>
    <x v="655"/>
    <s v="04/08/2017"/>
    <s v="Standard Class"/>
    <s v="Lindsay Shagiari"/>
    <x v="420"/>
    <s v="Yes"/>
    <x v="1"/>
    <s v="Houston"/>
    <x v="1"/>
    <x v="1"/>
    <x v="943"/>
    <x v="0"/>
    <x v="7"/>
    <n v="9.2639999999999993"/>
  </r>
  <r>
    <x v="0"/>
    <n v="162978"/>
    <x v="656"/>
    <s v="09/05/2018"/>
    <s v="Standard Class"/>
    <s v="Lindsay Williams"/>
    <x v="421"/>
    <s v="Yes"/>
    <x v="0"/>
    <s v="San Francisco"/>
    <x v="5"/>
    <x v="3"/>
    <x v="944"/>
    <x v="1"/>
    <x v="9"/>
    <n v="183.96"/>
  </r>
  <r>
    <x v="0"/>
    <n v="102834"/>
    <x v="657"/>
    <s v="13/03/2018"/>
    <s v="Standard Class"/>
    <s v="Lindsay Williams"/>
    <x v="421"/>
    <s v="Yes"/>
    <x v="0"/>
    <s v="San Francisco"/>
    <x v="5"/>
    <x v="3"/>
    <x v="945"/>
    <x v="1"/>
    <x v="4"/>
    <n v="199.98"/>
  </r>
  <r>
    <x v="0"/>
    <n v="101245"/>
    <x v="415"/>
    <s v="03/12/2018"/>
    <s v="Standard Class"/>
    <s v="Lindsay Williams"/>
    <x v="421"/>
    <s v="Yes"/>
    <x v="0"/>
    <s v="San Francisco"/>
    <x v="5"/>
    <x v="3"/>
    <x v="946"/>
    <x v="0"/>
    <x v="2"/>
    <n v="244.55"/>
  </r>
  <r>
    <x v="2"/>
    <n v="102239"/>
    <x v="139"/>
    <s v="06/05/2017"/>
    <s v="First Class"/>
    <s v="Lindsay Williams"/>
    <x v="421"/>
    <s v="Yes"/>
    <x v="0"/>
    <s v="Henderson"/>
    <x v="8"/>
    <x v="3"/>
    <x v="947"/>
    <x v="2"/>
    <x v="14"/>
    <n v="1685.88"/>
  </r>
  <r>
    <x v="2"/>
    <n v="139878"/>
    <x v="194"/>
    <s v="16/11/2017"/>
    <s v="Standard Class"/>
    <s v="Lisa DeCherney"/>
    <x v="422"/>
    <s v="No"/>
    <x v="2"/>
    <s v="Detroit"/>
    <x v="34"/>
    <x v="1"/>
    <x v="948"/>
    <x v="1"/>
    <x v="9"/>
    <n v="257.98"/>
  </r>
  <r>
    <x v="1"/>
    <n v="115987"/>
    <x v="150"/>
    <s v="13/09/2015"/>
    <s v="Second Class"/>
    <s v="Lisa Hazard"/>
    <x v="423"/>
    <s v="Yes"/>
    <x v="2"/>
    <s v="Tyler"/>
    <x v="1"/>
    <x v="1"/>
    <x v="949"/>
    <x v="0"/>
    <x v="7"/>
    <n v="51.183999999999997"/>
  </r>
  <r>
    <x v="3"/>
    <n v="114923"/>
    <x v="658"/>
    <s v="13/02/2016"/>
    <s v="Standard Class"/>
    <s v="Lisa Hazard"/>
    <x v="423"/>
    <s v="Yes"/>
    <x v="2"/>
    <s v="Columbus"/>
    <x v="21"/>
    <x v="0"/>
    <x v="950"/>
    <x v="1"/>
    <x v="9"/>
    <n v="107.982"/>
  </r>
  <r>
    <x v="2"/>
    <n v="143406"/>
    <x v="261"/>
    <s v="30/09/2017"/>
    <s v="Standard Class"/>
    <s v="Lisa Ryan"/>
    <x v="424"/>
    <s v="Yes"/>
    <x v="0"/>
    <s v="Houston"/>
    <x v="1"/>
    <x v="1"/>
    <x v="951"/>
    <x v="0"/>
    <x v="12"/>
    <n v="93.031999999999996"/>
  </r>
  <r>
    <x v="0"/>
    <n v="119011"/>
    <x v="659"/>
    <s v="25/08/2018"/>
    <s v="Standard Class"/>
    <s v="Lisa Ryan"/>
    <x v="424"/>
    <s v="Yes"/>
    <x v="0"/>
    <s v="San Francisco"/>
    <x v="5"/>
    <x v="3"/>
    <x v="952"/>
    <x v="0"/>
    <x v="5"/>
    <n v="17.22"/>
  </r>
  <r>
    <x v="1"/>
    <n v="109918"/>
    <x v="392"/>
    <s v="12/09/2015"/>
    <s v="Second Class"/>
    <s v="Lisa Ryan"/>
    <x v="424"/>
    <s v="Yes"/>
    <x v="0"/>
    <s v="Santa Clara"/>
    <x v="5"/>
    <x v="3"/>
    <x v="953"/>
    <x v="0"/>
    <x v="5"/>
    <n v="27.36"/>
  </r>
  <r>
    <x v="1"/>
    <n v="115161"/>
    <x v="660"/>
    <s v="02/02/2015"/>
    <s v="First Class"/>
    <s v="Liz Carlisle"/>
    <x v="425"/>
    <s v="Yes"/>
    <x v="2"/>
    <s v="Mission Viejo"/>
    <x v="5"/>
    <x v="3"/>
    <x v="954"/>
    <x v="2"/>
    <x v="13"/>
    <n v="290.666"/>
  </r>
  <r>
    <x v="0"/>
    <n v="137498"/>
    <x v="118"/>
    <s v="14/09/2018"/>
    <s v="Second Class"/>
    <s v="Liz Carlisle"/>
    <x v="425"/>
    <s v="Yes"/>
    <x v="2"/>
    <s v="Los Angeles"/>
    <x v="5"/>
    <x v="3"/>
    <x v="143"/>
    <x v="0"/>
    <x v="0"/>
    <n v="6.56"/>
  </r>
  <r>
    <x v="0"/>
    <n v="121804"/>
    <x v="425"/>
    <s v="08/03/2018"/>
    <s v="Standard Class"/>
    <s v="Liz Preis"/>
    <x v="426"/>
    <s v="No"/>
    <x v="2"/>
    <s v="Murray"/>
    <x v="12"/>
    <x v="2"/>
    <x v="435"/>
    <x v="0"/>
    <x v="12"/>
    <n v="72.8"/>
  </r>
  <r>
    <x v="3"/>
    <n v="104430"/>
    <x v="661"/>
    <s v="26/10/2016"/>
    <s v="Standard Class"/>
    <s v="Liz Thompson"/>
    <x v="427"/>
    <s v="Yes"/>
    <x v="2"/>
    <s v="Bloomington"/>
    <x v="10"/>
    <x v="1"/>
    <x v="955"/>
    <x v="0"/>
    <x v="7"/>
    <n v="5.1760000000000002"/>
  </r>
  <r>
    <x v="0"/>
    <n v="147725"/>
    <x v="662"/>
    <s v="14/09/2018"/>
    <s v="Same Day"/>
    <s v="Liz Thompson"/>
    <x v="427"/>
    <s v="Yes"/>
    <x v="2"/>
    <s v="Orange"/>
    <x v="35"/>
    <x v="0"/>
    <x v="956"/>
    <x v="0"/>
    <x v="0"/>
    <n v="70.95"/>
  </r>
  <r>
    <x v="2"/>
    <n v="157364"/>
    <x v="414"/>
    <s v="21/11/2017"/>
    <s v="First Class"/>
    <s v="Liz Thompson"/>
    <x v="427"/>
    <s v="Yes"/>
    <x v="2"/>
    <s v="Jacksonville"/>
    <x v="2"/>
    <x v="2"/>
    <x v="957"/>
    <x v="0"/>
    <x v="0"/>
    <n v="18.48"/>
  </r>
  <r>
    <x v="3"/>
    <n v="154620"/>
    <x v="391"/>
    <s v="16/12/2016"/>
    <s v="Standard Class"/>
    <s v="Liz Thompson"/>
    <x v="427"/>
    <s v="Yes"/>
    <x v="2"/>
    <s v="Lancaster"/>
    <x v="5"/>
    <x v="3"/>
    <x v="958"/>
    <x v="2"/>
    <x v="10"/>
    <n v="348.928"/>
  </r>
  <r>
    <x v="2"/>
    <n v="130477"/>
    <x v="459"/>
    <s v="12/04/2017"/>
    <s v="Standard Class"/>
    <s v="Logan Currie"/>
    <x v="428"/>
    <s v="Yes"/>
    <x v="2"/>
    <s v="Los Angeles"/>
    <x v="5"/>
    <x v="3"/>
    <x v="959"/>
    <x v="0"/>
    <x v="2"/>
    <n v="20.04"/>
  </r>
  <r>
    <x v="0"/>
    <n v="116701"/>
    <x v="119"/>
    <s v="21/12/2018"/>
    <s v="Second Class"/>
    <s v="Logan Currie"/>
    <x v="428"/>
    <s v="Yes"/>
    <x v="2"/>
    <s v="Dallas"/>
    <x v="1"/>
    <x v="1"/>
    <x v="600"/>
    <x v="0"/>
    <x v="12"/>
    <n v="66.284000000000006"/>
  </r>
  <r>
    <x v="2"/>
    <n v="137043"/>
    <x v="663"/>
    <s v="25/12/2017"/>
    <s v="Second Class"/>
    <s v="Logan Currie"/>
    <x v="428"/>
    <s v="Yes"/>
    <x v="2"/>
    <s v="Springfield"/>
    <x v="4"/>
    <x v="2"/>
    <x v="960"/>
    <x v="2"/>
    <x v="6"/>
    <n v="572.76"/>
  </r>
  <r>
    <x v="3"/>
    <n v="119907"/>
    <x v="664"/>
    <s v="08/12/2016"/>
    <s v="Standard Class"/>
    <s v="Logan Currie"/>
    <x v="428"/>
    <s v="Yes"/>
    <x v="2"/>
    <s v="Seattle"/>
    <x v="15"/>
    <x v="3"/>
    <x v="961"/>
    <x v="0"/>
    <x v="7"/>
    <n v="55.423999999999999"/>
  </r>
  <r>
    <x v="0"/>
    <n v="133431"/>
    <x v="119"/>
    <s v="21/12/2018"/>
    <s v="Standard Class"/>
    <s v="Logan Currie"/>
    <x v="428"/>
    <s v="Yes"/>
    <x v="2"/>
    <s v="San Francisco"/>
    <x v="5"/>
    <x v="3"/>
    <x v="205"/>
    <x v="0"/>
    <x v="7"/>
    <n v="15.24"/>
  </r>
  <r>
    <x v="2"/>
    <n v="131149"/>
    <x v="57"/>
    <s v="14/07/2017"/>
    <s v="Standard Class"/>
    <s v="Logan Haushalter"/>
    <x v="429"/>
    <s v="Yes"/>
    <x v="2"/>
    <s v="Dallas"/>
    <x v="1"/>
    <x v="1"/>
    <x v="962"/>
    <x v="0"/>
    <x v="3"/>
    <n v="338.04"/>
  </r>
  <r>
    <x v="2"/>
    <n v="139486"/>
    <x v="277"/>
    <s v="23/05/2017"/>
    <s v="First Class"/>
    <s v="Logan Haushalter"/>
    <x v="429"/>
    <s v="Yes"/>
    <x v="2"/>
    <s v="Los Angeles"/>
    <x v="5"/>
    <x v="3"/>
    <x v="963"/>
    <x v="1"/>
    <x v="9"/>
    <n v="55.176000000000002"/>
  </r>
  <r>
    <x v="2"/>
    <n v="154739"/>
    <x v="384"/>
    <s v="15/12/2017"/>
    <s v="Second Class"/>
    <s v="Logan Haushalter"/>
    <x v="429"/>
    <s v="Yes"/>
    <x v="2"/>
    <s v="San Francisco"/>
    <x v="5"/>
    <x v="3"/>
    <x v="964"/>
    <x v="2"/>
    <x v="10"/>
    <n v="321.56799999999998"/>
  </r>
  <r>
    <x v="0"/>
    <n v="118367"/>
    <x v="665"/>
    <s v="02/11/2018"/>
    <s v="Second Class"/>
    <s v="Lori Olson"/>
    <x v="430"/>
    <s v="No"/>
    <x v="0"/>
    <s v="New York City"/>
    <x v="3"/>
    <x v="0"/>
    <x v="965"/>
    <x v="0"/>
    <x v="16"/>
    <n v="47.98"/>
  </r>
  <r>
    <x v="1"/>
    <n v="113166"/>
    <x v="158"/>
    <s v="26/12/2015"/>
    <s v="First Class"/>
    <s v="Luke Foster"/>
    <x v="431"/>
    <s v="Yes"/>
    <x v="2"/>
    <s v="Miami"/>
    <x v="17"/>
    <x v="2"/>
    <x v="470"/>
    <x v="0"/>
    <x v="2"/>
    <n v="9.5679999999999996"/>
  </r>
  <r>
    <x v="0"/>
    <n v="148264"/>
    <x v="34"/>
    <s v="09/12/2018"/>
    <s v="First Class"/>
    <s v="Luke Foster"/>
    <x v="431"/>
    <s v="Yes"/>
    <x v="2"/>
    <s v="Inglewood"/>
    <x v="5"/>
    <x v="3"/>
    <x v="966"/>
    <x v="0"/>
    <x v="3"/>
    <n v="29.79"/>
  </r>
  <r>
    <x v="3"/>
    <n v="109512"/>
    <x v="613"/>
    <s v="05/03/2016"/>
    <s v="Same Day"/>
    <s v="Luke Foster"/>
    <x v="431"/>
    <s v="Yes"/>
    <x v="2"/>
    <s v="New York City"/>
    <x v="3"/>
    <x v="0"/>
    <x v="967"/>
    <x v="0"/>
    <x v="16"/>
    <n v="29.34"/>
  </r>
  <r>
    <x v="2"/>
    <n v="160129"/>
    <x v="666"/>
    <s v="23/11/2017"/>
    <s v="Same Day"/>
    <s v="Luke Schmidt"/>
    <x v="432"/>
    <s v="Yes"/>
    <x v="0"/>
    <s v="Philadelphia"/>
    <x v="0"/>
    <x v="0"/>
    <x v="968"/>
    <x v="0"/>
    <x v="15"/>
    <n v="15.8"/>
  </r>
  <r>
    <x v="1"/>
    <n v="115084"/>
    <x v="667"/>
    <s v="22/10/2015"/>
    <s v="Standard Class"/>
    <s v="Luke Schmidt"/>
    <x v="432"/>
    <s v="Yes"/>
    <x v="0"/>
    <s v="Texarkana"/>
    <x v="37"/>
    <x v="2"/>
    <x v="614"/>
    <x v="2"/>
    <x v="10"/>
    <n v="605.34"/>
  </r>
  <r>
    <x v="2"/>
    <n v="111416"/>
    <x v="296"/>
    <s v="22/09/2017"/>
    <s v="Standard Class"/>
    <s v="Luke Weiss"/>
    <x v="433"/>
    <s v="Yes"/>
    <x v="2"/>
    <s v="New York City"/>
    <x v="3"/>
    <x v="0"/>
    <x v="969"/>
    <x v="0"/>
    <x v="7"/>
    <n v="232.4"/>
  </r>
  <r>
    <x v="0"/>
    <n v="166128"/>
    <x v="668"/>
    <s v="18/04/2018"/>
    <s v="Standard Class"/>
    <s v="Luke Weiss"/>
    <x v="433"/>
    <s v="Yes"/>
    <x v="2"/>
    <s v="Pasadena"/>
    <x v="5"/>
    <x v="3"/>
    <x v="970"/>
    <x v="1"/>
    <x v="4"/>
    <n v="199.95"/>
  </r>
  <r>
    <x v="2"/>
    <n v="117037"/>
    <x v="669"/>
    <s v="20/05/2017"/>
    <s v="First Class"/>
    <s v="Luke Weiss"/>
    <x v="433"/>
    <s v="Yes"/>
    <x v="2"/>
    <s v="Chicago"/>
    <x v="10"/>
    <x v="1"/>
    <x v="971"/>
    <x v="0"/>
    <x v="7"/>
    <n v="2.89"/>
  </r>
  <r>
    <x v="2"/>
    <n v="132997"/>
    <x v="298"/>
    <s v="09/11/2017"/>
    <s v="First Class"/>
    <s v="Luke Weiss"/>
    <x v="433"/>
    <s v="Yes"/>
    <x v="2"/>
    <s v="Rochester"/>
    <x v="3"/>
    <x v="0"/>
    <x v="972"/>
    <x v="1"/>
    <x v="9"/>
    <n v="263.95999999999998"/>
  </r>
  <r>
    <x v="3"/>
    <n v="118955"/>
    <x v="670"/>
    <s v="20/06/2016"/>
    <s v="Standard Class"/>
    <s v="Lycoris Saunders"/>
    <x v="434"/>
    <s v="No"/>
    <x v="2"/>
    <s v="Grand Prairie"/>
    <x v="1"/>
    <x v="1"/>
    <x v="973"/>
    <x v="0"/>
    <x v="16"/>
    <n v="28.751999999999999"/>
  </r>
  <r>
    <x v="1"/>
    <n v="109456"/>
    <x v="671"/>
    <s v="17/10/2015"/>
    <s v="Same Day"/>
    <s v="Lynn Smith"/>
    <x v="435"/>
    <s v="Yes"/>
    <x v="2"/>
    <s v="San Francisco"/>
    <x v="5"/>
    <x v="3"/>
    <x v="974"/>
    <x v="0"/>
    <x v="7"/>
    <n v="14.352"/>
  </r>
  <r>
    <x v="2"/>
    <n v="152765"/>
    <x v="672"/>
    <s v="18/06/2017"/>
    <s v="First Class"/>
    <s v="Lynn Smith"/>
    <x v="435"/>
    <s v="Yes"/>
    <x v="2"/>
    <s v="Houston"/>
    <x v="1"/>
    <x v="1"/>
    <x v="842"/>
    <x v="0"/>
    <x v="2"/>
    <n v="173.488"/>
  </r>
  <r>
    <x v="0"/>
    <n v="135307"/>
    <x v="8"/>
    <s v="27/11/2018"/>
    <s v="First Class"/>
    <s v="Lynn Smith"/>
    <x v="435"/>
    <s v="Yes"/>
    <x v="2"/>
    <s v="Gladstone"/>
    <x v="9"/>
    <x v="1"/>
    <x v="975"/>
    <x v="2"/>
    <x v="6"/>
    <n v="126.3"/>
  </r>
  <r>
    <x v="1"/>
    <n v="124730"/>
    <x v="575"/>
    <s v="26/11/2015"/>
    <s v="Same Day"/>
    <s v="Lynn Smith"/>
    <x v="435"/>
    <s v="Yes"/>
    <x v="2"/>
    <s v="Utica"/>
    <x v="3"/>
    <x v="0"/>
    <x v="976"/>
    <x v="1"/>
    <x v="9"/>
    <n v="279.95999999999998"/>
  </r>
  <r>
    <x v="0"/>
    <n v="166142"/>
    <x v="673"/>
    <s v="19/07/2018"/>
    <s v="Standard Class"/>
    <s v="Magdelene Morse"/>
    <x v="436"/>
    <s v="No"/>
    <x v="2"/>
    <s v="Wilmington"/>
    <x v="39"/>
    <x v="0"/>
    <x v="977"/>
    <x v="0"/>
    <x v="7"/>
    <n v="26.55"/>
  </r>
  <r>
    <x v="2"/>
    <n v="118899"/>
    <x v="674"/>
    <s v="22/03/2017"/>
    <s v="Same Day"/>
    <s v="Marc Crier"/>
    <x v="437"/>
    <s v="Yes"/>
    <x v="2"/>
    <s v="Seattle"/>
    <x v="15"/>
    <x v="3"/>
    <x v="978"/>
    <x v="2"/>
    <x v="10"/>
    <n v="167.88800000000001"/>
  </r>
  <r>
    <x v="3"/>
    <n v="114237"/>
    <x v="675"/>
    <s v="15/03/2016"/>
    <s v="First Class"/>
    <s v="Marc Crier"/>
    <x v="437"/>
    <s v="Yes"/>
    <x v="2"/>
    <s v="Seattle"/>
    <x v="15"/>
    <x v="3"/>
    <x v="787"/>
    <x v="2"/>
    <x v="13"/>
    <n v="141.96"/>
  </r>
  <r>
    <x v="2"/>
    <n v="108497"/>
    <x v="420"/>
    <s v="14/06/2017"/>
    <s v="Same Day"/>
    <s v="Marc Harrigan"/>
    <x v="438"/>
    <s v="No"/>
    <x v="1"/>
    <s v="Los Angeles"/>
    <x v="5"/>
    <x v="3"/>
    <x v="445"/>
    <x v="2"/>
    <x v="13"/>
    <n v="599.16499999999996"/>
  </r>
  <r>
    <x v="0"/>
    <n v="105074"/>
    <x v="236"/>
    <s v="29/06/2018"/>
    <s v="Standard Class"/>
    <s v="Maria Bertelson"/>
    <x v="439"/>
    <s v="No"/>
    <x v="2"/>
    <s v="Akron"/>
    <x v="21"/>
    <x v="0"/>
    <x v="979"/>
    <x v="0"/>
    <x v="2"/>
    <n v="21.744"/>
  </r>
  <r>
    <x v="2"/>
    <n v="159142"/>
    <x v="676"/>
    <s v="05/04/2017"/>
    <s v="First Class"/>
    <s v="Maria Etezadi"/>
    <x v="440"/>
    <s v="Yes"/>
    <x v="1"/>
    <s v="Springfield"/>
    <x v="4"/>
    <x v="2"/>
    <x v="980"/>
    <x v="1"/>
    <x v="9"/>
    <n v="149.97"/>
  </r>
  <r>
    <x v="0"/>
    <n v="124926"/>
    <x v="284"/>
    <s v="18/11/2018"/>
    <s v="Second Class"/>
    <s v="Maria Etezadi"/>
    <x v="440"/>
    <s v="Yes"/>
    <x v="1"/>
    <s v="Houston"/>
    <x v="1"/>
    <x v="1"/>
    <x v="981"/>
    <x v="0"/>
    <x v="12"/>
    <n v="9.3239999999999998"/>
  </r>
  <r>
    <x v="0"/>
    <n v="148474"/>
    <x v="647"/>
    <s v="19/06/2018"/>
    <s v="Standard Class"/>
    <s v="Maria Etezadi"/>
    <x v="440"/>
    <s v="Yes"/>
    <x v="1"/>
    <s v="Columbus"/>
    <x v="7"/>
    <x v="2"/>
    <x v="982"/>
    <x v="0"/>
    <x v="7"/>
    <n v="91.2"/>
  </r>
  <r>
    <x v="0"/>
    <n v="107314"/>
    <x v="509"/>
    <s v="03/12/2018"/>
    <s v="First Class"/>
    <s v="Maria Zettner"/>
    <x v="441"/>
    <s v="Yes"/>
    <x v="1"/>
    <s v="San Francisco"/>
    <x v="5"/>
    <x v="3"/>
    <x v="983"/>
    <x v="2"/>
    <x v="6"/>
    <n v="25.83"/>
  </r>
  <r>
    <x v="0"/>
    <n v="147144"/>
    <x v="476"/>
    <s v="28/03/2018"/>
    <s v="First Class"/>
    <s v="Maria Zettner"/>
    <x v="441"/>
    <s v="Yes"/>
    <x v="1"/>
    <s v="Seattle"/>
    <x v="15"/>
    <x v="3"/>
    <x v="984"/>
    <x v="0"/>
    <x v="0"/>
    <n v="19.829999999999998"/>
  </r>
  <r>
    <x v="3"/>
    <n v="134782"/>
    <x v="125"/>
    <s v="31/12/2016"/>
    <s v="Standard Class"/>
    <s v="Maribeth Dona"/>
    <x v="442"/>
    <s v="Yes"/>
    <x v="2"/>
    <s v="Fayetteville"/>
    <x v="37"/>
    <x v="2"/>
    <x v="985"/>
    <x v="0"/>
    <x v="16"/>
    <n v="105.42"/>
  </r>
  <r>
    <x v="0"/>
    <n v="149181"/>
    <x v="400"/>
    <s v="12/05/2018"/>
    <s v="Standard Class"/>
    <s v="Maribeth Dona"/>
    <x v="442"/>
    <s v="Yes"/>
    <x v="2"/>
    <s v="Columbus"/>
    <x v="21"/>
    <x v="0"/>
    <x v="986"/>
    <x v="2"/>
    <x v="10"/>
    <n v="47.991999999999997"/>
  </r>
  <r>
    <x v="3"/>
    <n v="120103"/>
    <x v="368"/>
    <s v="29/12/2016"/>
    <s v="Standard Class"/>
    <s v="Maribeth Schnelling"/>
    <x v="443"/>
    <s v="Yes"/>
    <x v="2"/>
    <s v="Phoenix"/>
    <x v="13"/>
    <x v="3"/>
    <x v="987"/>
    <x v="0"/>
    <x v="2"/>
    <n v="106.232"/>
  </r>
  <r>
    <x v="0"/>
    <n v="147942"/>
    <x v="677"/>
    <s v="05/04/2018"/>
    <s v="Standard Class"/>
    <s v="Maribeth Schnelling"/>
    <x v="443"/>
    <s v="Yes"/>
    <x v="2"/>
    <s v="San Francisco"/>
    <x v="5"/>
    <x v="3"/>
    <x v="988"/>
    <x v="0"/>
    <x v="8"/>
    <n v="5.78"/>
  </r>
  <r>
    <x v="1"/>
    <n v="127488"/>
    <x v="678"/>
    <s v="24/09/2015"/>
    <s v="Second Class"/>
    <s v="Maribeth Schnelling"/>
    <x v="443"/>
    <s v="Yes"/>
    <x v="2"/>
    <s v="Boca Raton"/>
    <x v="17"/>
    <x v="2"/>
    <x v="989"/>
    <x v="0"/>
    <x v="8"/>
    <n v="4.6079999999999997"/>
  </r>
  <r>
    <x v="3"/>
    <n v="139290"/>
    <x v="72"/>
    <s v="30/10/2016"/>
    <s v="Standard Class"/>
    <s v="Maribeth Yedwab"/>
    <x v="444"/>
    <s v="Yes"/>
    <x v="0"/>
    <s v="Rancho Cucamonga"/>
    <x v="5"/>
    <x v="3"/>
    <x v="990"/>
    <x v="0"/>
    <x v="8"/>
    <n v="5.76"/>
  </r>
  <r>
    <x v="2"/>
    <n v="105578"/>
    <x v="208"/>
    <s v="04/06/2017"/>
    <s v="Standard Class"/>
    <s v="Maribeth Yedwab"/>
    <x v="444"/>
    <s v="Yes"/>
    <x v="0"/>
    <s v="Parker"/>
    <x v="20"/>
    <x v="3"/>
    <x v="991"/>
    <x v="0"/>
    <x v="7"/>
    <n v="22.62"/>
  </r>
  <r>
    <x v="0"/>
    <n v="163902"/>
    <x v="679"/>
    <s v="08/03/2018"/>
    <s v="Standard Class"/>
    <s v="Maribeth Yedwab"/>
    <x v="444"/>
    <s v="Yes"/>
    <x v="0"/>
    <s v="Los Angeles"/>
    <x v="5"/>
    <x v="3"/>
    <x v="405"/>
    <x v="1"/>
    <x v="9"/>
    <n v="196.77600000000001"/>
  </r>
  <r>
    <x v="0"/>
    <n v="138618"/>
    <x v="302"/>
    <s v="08/12/2018"/>
    <s v="Standard Class"/>
    <s v="Maribeth Yedwab"/>
    <x v="444"/>
    <s v="Yes"/>
    <x v="0"/>
    <s v="San Antonio"/>
    <x v="1"/>
    <x v="1"/>
    <x v="992"/>
    <x v="0"/>
    <x v="2"/>
    <n v="10.368"/>
  </r>
  <r>
    <x v="1"/>
    <n v="125556"/>
    <x v="219"/>
    <s v="16/11/2015"/>
    <s v="Second Class"/>
    <s v="Maris LaWare"/>
    <x v="445"/>
    <s v="No"/>
    <x v="2"/>
    <s v="Fairfield"/>
    <x v="28"/>
    <x v="0"/>
    <x v="993"/>
    <x v="1"/>
    <x v="9"/>
    <n v="832.93"/>
  </r>
  <r>
    <x v="3"/>
    <n v="161711"/>
    <x v="342"/>
    <s v="03/12/2016"/>
    <s v="Standard Class"/>
    <s v="Mark Cousins"/>
    <x v="446"/>
    <s v="Yes"/>
    <x v="0"/>
    <s v="New York City"/>
    <x v="3"/>
    <x v="0"/>
    <x v="994"/>
    <x v="2"/>
    <x v="6"/>
    <n v="68.16"/>
  </r>
  <r>
    <x v="2"/>
    <n v="133711"/>
    <x v="680"/>
    <s v="29/11/2017"/>
    <s v="First Class"/>
    <s v="Mark Cousins"/>
    <x v="446"/>
    <s v="Yes"/>
    <x v="0"/>
    <s v="Mobile"/>
    <x v="30"/>
    <x v="2"/>
    <x v="995"/>
    <x v="0"/>
    <x v="2"/>
    <n v="70.98"/>
  </r>
  <r>
    <x v="1"/>
    <n v="160157"/>
    <x v="14"/>
    <s v="27/12/2015"/>
    <s v="Standard Class"/>
    <s v="Mark Hamilton"/>
    <x v="447"/>
    <s v="Yes"/>
    <x v="2"/>
    <s v="Hamilton"/>
    <x v="21"/>
    <x v="0"/>
    <x v="996"/>
    <x v="2"/>
    <x v="6"/>
    <n v="190.84800000000001"/>
  </r>
  <r>
    <x v="0"/>
    <n v="136364"/>
    <x v="681"/>
    <s v="17/07/2018"/>
    <s v="Second Class"/>
    <s v="Mark Hamilton"/>
    <x v="447"/>
    <s v="Yes"/>
    <x v="2"/>
    <s v="Philadelphia"/>
    <x v="0"/>
    <x v="0"/>
    <x v="997"/>
    <x v="1"/>
    <x v="9"/>
    <n v="39.594000000000001"/>
  </r>
  <r>
    <x v="1"/>
    <n v="145926"/>
    <x v="682"/>
    <s v="21/11/2015"/>
    <s v="Standard Class"/>
    <s v="Mark Packer"/>
    <x v="448"/>
    <s v="Yes"/>
    <x v="1"/>
    <s v="Moorhead"/>
    <x v="26"/>
    <x v="1"/>
    <x v="235"/>
    <x v="2"/>
    <x v="10"/>
    <n v="479.9"/>
  </r>
  <r>
    <x v="3"/>
    <n v="102281"/>
    <x v="345"/>
    <s v="14/10/2016"/>
    <s v="First Class"/>
    <s v="Mark Packer"/>
    <x v="448"/>
    <s v="Yes"/>
    <x v="1"/>
    <s v="New York City"/>
    <x v="3"/>
    <x v="0"/>
    <x v="998"/>
    <x v="2"/>
    <x v="13"/>
    <n v="899.13599999999997"/>
  </r>
  <r>
    <x v="3"/>
    <n v="147851"/>
    <x v="182"/>
    <s v="08/12/2016"/>
    <s v="Standard Class"/>
    <s v="Mark Packer"/>
    <x v="448"/>
    <s v="Yes"/>
    <x v="1"/>
    <s v="New York City"/>
    <x v="3"/>
    <x v="0"/>
    <x v="999"/>
    <x v="0"/>
    <x v="7"/>
    <n v="10.752000000000001"/>
  </r>
  <r>
    <x v="2"/>
    <n v="133319"/>
    <x v="402"/>
    <s v="11/09/2017"/>
    <s v="Standard Class"/>
    <s v="Mark Van Huff"/>
    <x v="449"/>
    <s v="Yes"/>
    <x v="2"/>
    <s v="New York City"/>
    <x v="3"/>
    <x v="0"/>
    <x v="1000"/>
    <x v="0"/>
    <x v="2"/>
    <n v="192.16"/>
  </r>
  <r>
    <x v="3"/>
    <n v="132948"/>
    <x v="683"/>
    <s v="03/04/2016"/>
    <s v="Standard Class"/>
    <s v="Mark Van Huff"/>
    <x v="449"/>
    <s v="Yes"/>
    <x v="2"/>
    <s v="Seattle"/>
    <x v="15"/>
    <x v="3"/>
    <x v="1001"/>
    <x v="0"/>
    <x v="3"/>
    <n v="83.7"/>
  </r>
  <r>
    <x v="2"/>
    <n v="102981"/>
    <x v="435"/>
    <s v="09/09/2017"/>
    <s v="Second Class"/>
    <s v="Mary O'Rourke"/>
    <x v="450"/>
    <s v="No"/>
    <x v="2"/>
    <s v="New York City"/>
    <x v="3"/>
    <x v="0"/>
    <x v="1002"/>
    <x v="1"/>
    <x v="4"/>
    <n v="31.86"/>
  </r>
  <r>
    <x v="2"/>
    <n v="169922"/>
    <x v="684"/>
    <s v="17/06/2017"/>
    <s v="Standard Class"/>
    <s v="Mary Zewe"/>
    <x v="451"/>
    <s v="Yes"/>
    <x v="0"/>
    <s v="Arlington"/>
    <x v="1"/>
    <x v="1"/>
    <x v="1003"/>
    <x v="0"/>
    <x v="7"/>
    <n v="1.3440000000000001"/>
  </r>
  <r>
    <x v="3"/>
    <n v="125178"/>
    <x v="214"/>
    <s v="09/10/2016"/>
    <s v="Standard Class"/>
    <s v="Mary Zewe"/>
    <x v="451"/>
    <s v="Yes"/>
    <x v="0"/>
    <s v="Reading"/>
    <x v="0"/>
    <x v="0"/>
    <x v="1004"/>
    <x v="0"/>
    <x v="3"/>
    <n v="15.007999999999999"/>
  </r>
  <r>
    <x v="3"/>
    <n v="131457"/>
    <x v="331"/>
    <s v="06/11/2016"/>
    <s v="Standard Class"/>
    <s v="Mary Zewe"/>
    <x v="451"/>
    <s v="Yes"/>
    <x v="0"/>
    <s v="Redlands"/>
    <x v="5"/>
    <x v="3"/>
    <x v="1005"/>
    <x v="0"/>
    <x v="16"/>
    <n v="14.28"/>
  </r>
  <r>
    <x v="2"/>
    <n v="169887"/>
    <x v="443"/>
    <s v="22/10/2017"/>
    <s v="Same Day"/>
    <s v="MaryBeth Skach"/>
    <x v="452"/>
    <s v="No"/>
    <x v="2"/>
    <s v="Seattle"/>
    <x v="15"/>
    <x v="3"/>
    <x v="1006"/>
    <x v="0"/>
    <x v="2"/>
    <n v="6.68"/>
  </r>
  <r>
    <x v="0"/>
    <n v="139465"/>
    <x v="63"/>
    <s v="30/08/2018"/>
    <s v="First Class"/>
    <s v="Mathew Reese"/>
    <x v="453"/>
    <s v="Yes"/>
    <x v="1"/>
    <s v="New York City"/>
    <x v="3"/>
    <x v="0"/>
    <x v="1007"/>
    <x v="0"/>
    <x v="3"/>
    <n v="63.84"/>
  </r>
  <r>
    <x v="1"/>
    <n v="117429"/>
    <x v="685"/>
    <s v="13/10/2015"/>
    <s v="Standard Class"/>
    <s v="Mathew Reese"/>
    <x v="453"/>
    <s v="Yes"/>
    <x v="1"/>
    <s v="Philadelphia"/>
    <x v="0"/>
    <x v="0"/>
    <x v="1008"/>
    <x v="2"/>
    <x v="6"/>
    <n v="129.91999999999999"/>
  </r>
  <r>
    <x v="0"/>
    <n v="107727"/>
    <x v="525"/>
    <s v="23/10/2018"/>
    <s v="Second Class"/>
    <s v="Matt Abelman"/>
    <x v="454"/>
    <s v="Yes"/>
    <x v="1"/>
    <s v="Houston"/>
    <x v="1"/>
    <x v="1"/>
    <x v="1009"/>
    <x v="0"/>
    <x v="2"/>
    <n v="29.472000000000001"/>
  </r>
  <r>
    <x v="3"/>
    <n v="130974"/>
    <x v="227"/>
    <s v="29/11/2016"/>
    <s v="Second Class"/>
    <s v="Matt Abelman"/>
    <x v="454"/>
    <s v="Yes"/>
    <x v="1"/>
    <s v="Everett"/>
    <x v="23"/>
    <x v="0"/>
    <x v="1010"/>
    <x v="0"/>
    <x v="2"/>
    <n v="40.08"/>
  </r>
  <r>
    <x v="3"/>
    <n v="135314"/>
    <x v="299"/>
    <s v="14/07/2016"/>
    <s v="Second Class"/>
    <s v="Matt Collins"/>
    <x v="455"/>
    <s v="Yes"/>
    <x v="2"/>
    <s v="Philadelphia"/>
    <x v="0"/>
    <x v="0"/>
    <x v="682"/>
    <x v="1"/>
    <x v="9"/>
    <n v="269.98200000000003"/>
  </r>
  <r>
    <x v="3"/>
    <n v="125423"/>
    <x v="686"/>
    <s v="15/12/2016"/>
    <s v="Second Class"/>
    <s v="Matt Collins"/>
    <x v="455"/>
    <s v="Yes"/>
    <x v="2"/>
    <s v="Los Angeles"/>
    <x v="5"/>
    <x v="3"/>
    <x v="509"/>
    <x v="0"/>
    <x v="8"/>
    <n v="9.9600000000000009"/>
  </r>
  <r>
    <x v="0"/>
    <n v="159597"/>
    <x v="203"/>
    <s v="14/11/2018"/>
    <s v="Standard Class"/>
    <s v="Matt Collister"/>
    <x v="456"/>
    <s v="Yes"/>
    <x v="0"/>
    <s v="Coachella"/>
    <x v="5"/>
    <x v="3"/>
    <x v="1011"/>
    <x v="0"/>
    <x v="3"/>
    <n v="63.56"/>
  </r>
  <r>
    <x v="1"/>
    <n v="127446"/>
    <x v="687"/>
    <s v="30/11/2015"/>
    <s v="Standard Class"/>
    <s v="Matt Collister"/>
    <x v="456"/>
    <s v="Yes"/>
    <x v="0"/>
    <s v="Arlington"/>
    <x v="1"/>
    <x v="1"/>
    <x v="1012"/>
    <x v="1"/>
    <x v="4"/>
    <n v="24.672000000000001"/>
  </r>
  <r>
    <x v="2"/>
    <n v="145492"/>
    <x v="60"/>
    <s v="27/11/2017"/>
    <s v="Standard Class"/>
    <s v="Matt Connell"/>
    <x v="457"/>
    <s v="Yes"/>
    <x v="0"/>
    <s v="Los Angeles"/>
    <x v="5"/>
    <x v="3"/>
    <x v="1013"/>
    <x v="0"/>
    <x v="12"/>
    <n v="39"/>
  </r>
  <r>
    <x v="1"/>
    <n v="103989"/>
    <x v="688"/>
    <s v="21/03/2015"/>
    <s v="First Class"/>
    <s v="Matt Connell"/>
    <x v="457"/>
    <s v="Yes"/>
    <x v="0"/>
    <s v="Lakeland"/>
    <x v="17"/>
    <x v="2"/>
    <x v="1014"/>
    <x v="1"/>
    <x v="9"/>
    <n v="323.976"/>
  </r>
  <r>
    <x v="2"/>
    <n v="139010"/>
    <x v="689"/>
    <s v="26/02/2017"/>
    <s v="Second Class"/>
    <s v="Matthew Clasen"/>
    <x v="458"/>
    <s v="No"/>
    <x v="0"/>
    <s v="Los Angeles"/>
    <x v="5"/>
    <x v="3"/>
    <x v="1015"/>
    <x v="1"/>
    <x v="4"/>
    <n v="12.99"/>
  </r>
  <r>
    <x v="0"/>
    <n v="152933"/>
    <x v="690"/>
    <s v="16/10/2018"/>
    <s v="Standard Class"/>
    <s v="Matthew Grinstein"/>
    <x v="459"/>
    <s v="Yes"/>
    <x v="1"/>
    <s v="Dallas"/>
    <x v="1"/>
    <x v="1"/>
    <x v="1016"/>
    <x v="1"/>
    <x v="9"/>
    <n v="369.54399999999998"/>
  </r>
  <r>
    <x v="2"/>
    <n v="105284"/>
    <x v="65"/>
    <s v="01/12/2017"/>
    <s v="Standard Class"/>
    <s v="Matthew Grinstein"/>
    <x v="459"/>
    <s v="Yes"/>
    <x v="1"/>
    <s v="Philadelphia"/>
    <x v="0"/>
    <x v="0"/>
    <x v="1017"/>
    <x v="0"/>
    <x v="15"/>
    <n v="4.4160000000000004"/>
  </r>
  <r>
    <x v="1"/>
    <n v="110072"/>
    <x v="691"/>
    <s v="28/10/2015"/>
    <s v="Standard Class"/>
    <s v="Maureen Gastineau"/>
    <x v="460"/>
    <s v="Yes"/>
    <x v="1"/>
    <s v="Newark"/>
    <x v="21"/>
    <x v="0"/>
    <x v="812"/>
    <x v="2"/>
    <x v="6"/>
    <n v="93.888000000000005"/>
  </r>
  <r>
    <x v="3"/>
    <n v="151043"/>
    <x v="692"/>
    <s v="20/11/2016"/>
    <s v="Standard Class"/>
    <s v="Maureen Gastineau"/>
    <x v="460"/>
    <s v="Yes"/>
    <x v="1"/>
    <s v="Philadelphia"/>
    <x v="0"/>
    <x v="0"/>
    <x v="1018"/>
    <x v="1"/>
    <x v="4"/>
    <n v="47.984000000000002"/>
  </r>
  <r>
    <x v="2"/>
    <n v="134348"/>
    <x v="397"/>
    <s v="19/11/2017"/>
    <s v="Standard Class"/>
    <s v="Maurice Satty"/>
    <x v="461"/>
    <s v="Yes"/>
    <x v="2"/>
    <s v="Mesa"/>
    <x v="13"/>
    <x v="3"/>
    <x v="1019"/>
    <x v="0"/>
    <x v="7"/>
    <n v="6.27"/>
  </r>
  <r>
    <x v="2"/>
    <n v="119186"/>
    <x v="693"/>
    <s v="26/05/2017"/>
    <s v="Same Day"/>
    <s v="Maurice Satty"/>
    <x v="461"/>
    <s v="Yes"/>
    <x v="2"/>
    <s v="Fort Worth"/>
    <x v="1"/>
    <x v="1"/>
    <x v="1020"/>
    <x v="0"/>
    <x v="2"/>
    <n v="10.368"/>
  </r>
  <r>
    <x v="0"/>
    <n v="116645"/>
    <x v="509"/>
    <s v="04/12/2018"/>
    <s v="Standard Class"/>
    <s v="Max Engle"/>
    <x v="462"/>
    <s v="Yes"/>
    <x v="2"/>
    <s v="Newark"/>
    <x v="39"/>
    <x v="0"/>
    <x v="1021"/>
    <x v="0"/>
    <x v="0"/>
    <n v="155.94"/>
  </r>
  <r>
    <x v="2"/>
    <n v="123470"/>
    <x v="320"/>
    <s v="21/08/2017"/>
    <s v="Standard Class"/>
    <s v="Max Engle"/>
    <x v="462"/>
    <s v="Yes"/>
    <x v="2"/>
    <s v="Aurora"/>
    <x v="20"/>
    <x v="3"/>
    <x v="1022"/>
    <x v="0"/>
    <x v="7"/>
    <n v="18.882000000000001"/>
  </r>
  <r>
    <x v="2"/>
    <n v="113817"/>
    <x v="298"/>
    <s v="11/11/2017"/>
    <s v="Standard Class"/>
    <s v="Max Jones"/>
    <x v="463"/>
    <s v="Yes"/>
    <x v="2"/>
    <s v="Seattle"/>
    <x v="15"/>
    <x v="3"/>
    <x v="1023"/>
    <x v="0"/>
    <x v="7"/>
    <n v="27.68"/>
  </r>
  <r>
    <x v="2"/>
    <n v="100300"/>
    <x v="174"/>
    <s v="26/06/2017"/>
    <s v="Second Class"/>
    <s v="Max Jones"/>
    <x v="463"/>
    <s v="Yes"/>
    <x v="2"/>
    <s v="San Diego"/>
    <x v="5"/>
    <x v="3"/>
    <x v="1024"/>
    <x v="1"/>
    <x v="1"/>
    <n v="4476.8"/>
  </r>
  <r>
    <x v="2"/>
    <n v="124149"/>
    <x v="491"/>
    <s v="26/04/2017"/>
    <s v="First Class"/>
    <s v="Max Jones"/>
    <x v="463"/>
    <s v="Yes"/>
    <x v="2"/>
    <s v="Lancaster"/>
    <x v="21"/>
    <x v="0"/>
    <x v="1025"/>
    <x v="0"/>
    <x v="2"/>
    <n v="108.336"/>
  </r>
  <r>
    <x v="0"/>
    <n v="140242"/>
    <x v="404"/>
    <s v="11/05/2018"/>
    <s v="Standard Class"/>
    <s v="Max Ludwig"/>
    <x v="464"/>
    <s v="Yes"/>
    <x v="1"/>
    <s v="Chicago"/>
    <x v="10"/>
    <x v="1"/>
    <x v="1026"/>
    <x v="0"/>
    <x v="0"/>
    <n v="6.4080000000000004"/>
  </r>
  <r>
    <x v="0"/>
    <n v="143455"/>
    <x v="442"/>
    <s v="18/11/2018"/>
    <s v="Standard Class"/>
    <s v="Max Ludwig"/>
    <x v="464"/>
    <s v="Yes"/>
    <x v="1"/>
    <s v="Springfield"/>
    <x v="21"/>
    <x v="0"/>
    <x v="1027"/>
    <x v="0"/>
    <x v="2"/>
    <n v="10.368"/>
  </r>
  <r>
    <x v="2"/>
    <n v="144547"/>
    <x v="292"/>
    <s v="14/11/2017"/>
    <s v="Standard Class"/>
    <s v="Maxwell Schwartz"/>
    <x v="465"/>
    <s v="Yes"/>
    <x v="2"/>
    <s v="Houston"/>
    <x v="1"/>
    <x v="1"/>
    <x v="1028"/>
    <x v="1"/>
    <x v="4"/>
    <n v="279.94400000000002"/>
  </r>
  <r>
    <x v="2"/>
    <n v="150350"/>
    <x v="694"/>
    <s v="30/08/2017"/>
    <s v="Standard Class"/>
    <s v="Maxwell Schwartz"/>
    <x v="465"/>
    <s v="Yes"/>
    <x v="2"/>
    <s v="Seattle"/>
    <x v="15"/>
    <x v="3"/>
    <x v="549"/>
    <x v="1"/>
    <x v="1"/>
    <n v="837.6"/>
  </r>
  <r>
    <x v="1"/>
    <n v="119032"/>
    <x v="534"/>
    <s v="03/12/2015"/>
    <s v="Standard Class"/>
    <s v="Maxwell Schwartz"/>
    <x v="465"/>
    <s v="Yes"/>
    <x v="2"/>
    <s v="New York City"/>
    <x v="3"/>
    <x v="0"/>
    <x v="1029"/>
    <x v="0"/>
    <x v="15"/>
    <n v="3.76"/>
  </r>
  <r>
    <x v="2"/>
    <n v="108959"/>
    <x v="234"/>
    <s v="14/03/2017"/>
    <s v="Second Class"/>
    <s v="Maya Herman"/>
    <x v="466"/>
    <s v="Yes"/>
    <x v="0"/>
    <s v="Glendale"/>
    <x v="13"/>
    <x v="3"/>
    <x v="1030"/>
    <x v="0"/>
    <x v="3"/>
    <n v="104.696"/>
  </r>
  <r>
    <x v="3"/>
    <n v="154144"/>
    <x v="120"/>
    <s v="24/12/2016"/>
    <s v="Standard Class"/>
    <s v="Maya Herman"/>
    <x v="466"/>
    <s v="Yes"/>
    <x v="0"/>
    <s v="Lindenhurst"/>
    <x v="3"/>
    <x v="0"/>
    <x v="1031"/>
    <x v="0"/>
    <x v="2"/>
    <n v="55.48"/>
  </r>
  <r>
    <x v="1"/>
    <n v="124429"/>
    <x v="640"/>
    <s v="27/05/2015"/>
    <s v="Same Day"/>
    <s v="Maya Herman"/>
    <x v="466"/>
    <s v="Yes"/>
    <x v="0"/>
    <s v="San Diego"/>
    <x v="5"/>
    <x v="3"/>
    <x v="1032"/>
    <x v="2"/>
    <x v="14"/>
    <n v="567.12"/>
  </r>
  <r>
    <x v="0"/>
    <n v="163020"/>
    <x v="193"/>
    <s v="19/09/2018"/>
    <s v="Standard Class"/>
    <s v="Meg O'Connel"/>
    <x v="467"/>
    <s v="Yes"/>
    <x v="1"/>
    <s v="New York City"/>
    <x v="3"/>
    <x v="0"/>
    <x v="1033"/>
    <x v="2"/>
    <x v="6"/>
    <n v="35.56"/>
  </r>
  <r>
    <x v="3"/>
    <n v="139094"/>
    <x v="78"/>
    <s v="27/11/2016"/>
    <s v="Standard Class"/>
    <s v="Meg O'Connel"/>
    <x v="467"/>
    <s v="Yes"/>
    <x v="1"/>
    <s v="San Antonio"/>
    <x v="1"/>
    <x v="1"/>
    <x v="1034"/>
    <x v="2"/>
    <x v="14"/>
    <n v="206.96199999999999"/>
  </r>
  <r>
    <x v="2"/>
    <n v="128727"/>
    <x v="6"/>
    <s v="04/09/2017"/>
    <s v="Standard Class"/>
    <s v="Meg O'Connel"/>
    <x v="467"/>
    <s v="Yes"/>
    <x v="1"/>
    <s v="New York City"/>
    <x v="3"/>
    <x v="0"/>
    <x v="607"/>
    <x v="1"/>
    <x v="9"/>
    <n v="22"/>
  </r>
  <r>
    <x v="0"/>
    <n v="157931"/>
    <x v="32"/>
    <s v="22/09/2018"/>
    <s v="Second Class"/>
    <s v="Meg O'Connel"/>
    <x v="467"/>
    <s v="Yes"/>
    <x v="1"/>
    <s v="Roswell"/>
    <x v="7"/>
    <x v="2"/>
    <x v="1035"/>
    <x v="2"/>
    <x v="10"/>
    <n v="723.92"/>
  </r>
  <r>
    <x v="3"/>
    <n v="133025"/>
    <x v="654"/>
    <s v="19/09/2016"/>
    <s v="Second Class"/>
    <s v="Meg O'Connel"/>
    <x v="467"/>
    <s v="Yes"/>
    <x v="1"/>
    <s v="Los Angeles"/>
    <x v="5"/>
    <x v="3"/>
    <x v="501"/>
    <x v="0"/>
    <x v="2"/>
    <n v="32.4"/>
  </r>
  <r>
    <x v="0"/>
    <n v="106663"/>
    <x v="695"/>
    <s v="13/06/2018"/>
    <s v="Standard Class"/>
    <s v="Meg O'Connel"/>
    <x v="467"/>
    <s v="Yes"/>
    <x v="1"/>
    <s v="Chicago"/>
    <x v="10"/>
    <x v="1"/>
    <x v="1036"/>
    <x v="2"/>
    <x v="6"/>
    <n v="23.975999999999999"/>
  </r>
  <r>
    <x v="2"/>
    <n v="104157"/>
    <x v="287"/>
    <s v="29/07/2017"/>
    <s v="Standard Class"/>
    <s v="Meg Tillman"/>
    <x v="468"/>
    <s v="Yes"/>
    <x v="2"/>
    <s v="Jackson"/>
    <x v="41"/>
    <x v="2"/>
    <x v="1037"/>
    <x v="0"/>
    <x v="3"/>
    <n v="7.89"/>
  </r>
  <r>
    <x v="3"/>
    <n v="105312"/>
    <x v="696"/>
    <s v="09/11/2016"/>
    <s v="First Class"/>
    <s v="Meg Tillman"/>
    <x v="468"/>
    <s v="Yes"/>
    <x v="2"/>
    <s v="Scottsdale"/>
    <x v="13"/>
    <x v="3"/>
    <x v="1038"/>
    <x v="0"/>
    <x v="16"/>
    <n v="7.08"/>
  </r>
  <r>
    <x v="1"/>
    <n v="135405"/>
    <x v="697"/>
    <s v="13/01/2015"/>
    <s v="Standard Class"/>
    <s v="Melanie Seite"/>
    <x v="469"/>
    <s v="No"/>
    <x v="2"/>
    <s v="Laredo"/>
    <x v="1"/>
    <x v="1"/>
    <x v="1039"/>
    <x v="0"/>
    <x v="0"/>
    <n v="9.3439999999999994"/>
  </r>
  <r>
    <x v="2"/>
    <n v="116337"/>
    <x v="298"/>
    <s v="12/11/2017"/>
    <s v="Standard Class"/>
    <s v="Michael Chen"/>
    <x v="470"/>
    <s v="Yes"/>
    <x v="2"/>
    <s v="Dallas"/>
    <x v="1"/>
    <x v="1"/>
    <x v="1040"/>
    <x v="2"/>
    <x v="6"/>
    <n v="44.46"/>
  </r>
  <r>
    <x v="2"/>
    <n v="146143"/>
    <x v="698"/>
    <s v="19/12/2017"/>
    <s v="Standard Class"/>
    <s v="Michael Chen"/>
    <x v="470"/>
    <s v="Yes"/>
    <x v="2"/>
    <s v="Jackson"/>
    <x v="41"/>
    <x v="2"/>
    <x v="1041"/>
    <x v="2"/>
    <x v="6"/>
    <n v="133.38"/>
  </r>
  <r>
    <x v="0"/>
    <n v="128447"/>
    <x v="699"/>
    <s v="17/11/2018"/>
    <s v="Standard Class"/>
    <s v="Michael Chen"/>
    <x v="470"/>
    <s v="Yes"/>
    <x v="2"/>
    <s v="Pasco"/>
    <x v="15"/>
    <x v="3"/>
    <x v="986"/>
    <x v="0"/>
    <x v="12"/>
    <n v="400.8"/>
  </r>
  <r>
    <x v="0"/>
    <n v="102638"/>
    <x v="212"/>
    <s v="31/12/2018"/>
    <s v="First Class"/>
    <s v="Michael Chen"/>
    <x v="470"/>
    <s v="Yes"/>
    <x v="2"/>
    <s v="New York City"/>
    <x v="3"/>
    <x v="0"/>
    <x v="1042"/>
    <x v="0"/>
    <x v="15"/>
    <n v="6.03"/>
  </r>
  <r>
    <x v="1"/>
    <n v="157784"/>
    <x v="700"/>
    <s v="08/07/2015"/>
    <s v="First Class"/>
    <s v="Michael Chen"/>
    <x v="470"/>
    <s v="Yes"/>
    <x v="2"/>
    <s v="Jackson"/>
    <x v="41"/>
    <x v="2"/>
    <x v="1043"/>
    <x v="1"/>
    <x v="4"/>
    <n v="479.97"/>
  </r>
  <r>
    <x v="0"/>
    <n v="148446"/>
    <x v="51"/>
    <s v="14/12/2018"/>
    <s v="Second Class"/>
    <s v="Michael Chen"/>
    <x v="470"/>
    <s v="Yes"/>
    <x v="2"/>
    <s v="North Las Vegas"/>
    <x v="8"/>
    <x v="3"/>
    <x v="1044"/>
    <x v="2"/>
    <x v="14"/>
    <n v="1669.6"/>
  </r>
  <r>
    <x v="0"/>
    <n v="104024"/>
    <x v="701"/>
    <s v="03/09/2018"/>
    <s v="Second Class"/>
    <s v="Michael Dominguez"/>
    <x v="471"/>
    <s v="No"/>
    <x v="0"/>
    <s v="Philadelphia"/>
    <x v="0"/>
    <x v="0"/>
    <x v="549"/>
    <x v="0"/>
    <x v="0"/>
    <n v="9.4079999999999995"/>
  </r>
  <r>
    <x v="2"/>
    <n v="131499"/>
    <x v="93"/>
    <s v="10/09/2017"/>
    <s v="First Class"/>
    <s v="Michael Grace"/>
    <x v="472"/>
    <s v="Yes"/>
    <x v="1"/>
    <s v="New York City"/>
    <x v="3"/>
    <x v="0"/>
    <x v="1045"/>
    <x v="0"/>
    <x v="12"/>
    <n v="207.48"/>
  </r>
  <r>
    <x v="3"/>
    <n v="124975"/>
    <x v="629"/>
    <s v="25/06/2016"/>
    <s v="First Class"/>
    <s v="Michael Grace"/>
    <x v="472"/>
    <s v="Yes"/>
    <x v="1"/>
    <s v="Aurora"/>
    <x v="10"/>
    <x v="1"/>
    <x v="1046"/>
    <x v="2"/>
    <x v="14"/>
    <n v="796.42499999999995"/>
  </r>
  <r>
    <x v="0"/>
    <n v="136672"/>
    <x v="702"/>
    <s v="12/03/2018"/>
    <s v="Standard Class"/>
    <s v="Michael Granlund"/>
    <x v="473"/>
    <s v="Yes"/>
    <x v="1"/>
    <s v="Clinton"/>
    <x v="31"/>
    <x v="0"/>
    <x v="1047"/>
    <x v="1"/>
    <x v="4"/>
    <n v="49.08"/>
  </r>
  <r>
    <x v="1"/>
    <n v="118276"/>
    <x v="113"/>
    <s v="02/01/2016"/>
    <s v="Standard Class"/>
    <s v="Michael Granlund"/>
    <x v="473"/>
    <s v="Yes"/>
    <x v="1"/>
    <s v="Saint Charles"/>
    <x v="10"/>
    <x v="1"/>
    <x v="1048"/>
    <x v="2"/>
    <x v="6"/>
    <n v="8.7360000000000007"/>
  </r>
  <r>
    <x v="2"/>
    <n v="154053"/>
    <x v="703"/>
    <s v="10/03/2017"/>
    <s v="Standard Class"/>
    <s v="Michael Granlund"/>
    <x v="473"/>
    <s v="Yes"/>
    <x v="1"/>
    <s v="San Diego"/>
    <x v="5"/>
    <x v="3"/>
    <x v="1019"/>
    <x v="0"/>
    <x v="0"/>
    <n v="16.989999999999998"/>
  </r>
  <r>
    <x v="2"/>
    <n v="155516"/>
    <x v="704"/>
    <s v="21/10/2017"/>
    <s v="Same Day"/>
    <s v="Michael Kennedy"/>
    <x v="474"/>
    <s v="Yes"/>
    <x v="0"/>
    <s v="Manchester"/>
    <x v="28"/>
    <x v="0"/>
    <x v="1049"/>
    <x v="0"/>
    <x v="7"/>
    <n v="23.2"/>
  </r>
  <r>
    <x v="0"/>
    <n v="100580"/>
    <x v="705"/>
    <s v="20/08/2018"/>
    <s v="Standard Class"/>
    <s v="Michael Kennedy"/>
    <x v="474"/>
    <s v="Yes"/>
    <x v="0"/>
    <s v="San Diego"/>
    <x v="5"/>
    <x v="3"/>
    <x v="363"/>
    <x v="0"/>
    <x v="7"/>
    <n v="36.024000000000001"/>
  </r>
  <r>
    <x v="0"/>
    <n v="128160"/>
    <x v="68"/>
    <s v="24/12/2018"/>
    <s v="Second Class"/>
    <s v="Michael Moore"/>
    <x v="475"/>
    <s v="Yes"/>
    <x v="2"/>
    <s v="San Francisco"/>
    <x v="5"/>
    <x v="3"/>
    <x v="1050"/>
    <x v="0"/>
    <x v="7"/>
    <n v="36.671999999999997"/>
  </r>
  <r>
    <x v="0"/>
    <n v="164329"/>
    <x v="164"/>
    <s v="30/01/2018"/>
    <s v="Same Day"/>
    <s v="Michael Moore"/>
    <x v="475"/>
    <s v="Yes"/>
    <x v="2"/>
    <s v="San Francisco"/>
    <x v="5"/>
    <x v="3"/>
    <x v="1051"/>
    <x v="0"/>
    <x v="3"/>
    <n v="129.30000000000001"/>
  </r>
  <r>
    <x v="0"/>
    <n v="117394"/>
    <x v="522"/>
    <s v="10/09/2018"/>
    <s v="Standard Class"/>
    <s v="Michael Moore"/>
    <x v="475"/>
    <s v="Yes"/>
    <x v="2"/>
    <s v="Philadelphia"/>
    <x v="0"/>
    <x v="0"/>
    <x v="1052"/>
    <x v="1"/>
    <x v="4"/>
    <n v="19.04"/>
  </r>
  <r>
    <x v="2"/>
    <n v="101329"/>
    <x v="426"/>
    <s v="29/04/2017"/>
    <s v="Standard Class"/>
    <s v="Michael Moore"/>
    <x v="475"/>
    <s v="Yes"/>
    <x v="2"/>
    <s v="Rome"/>
    <x v="3"/>
    <x v="0"/>
    <x v="1053"/>
    <x v="0"/>
    <x v="0"/>
    <n v="32.130000000000003"/>
  </r>
  <r>
    <x v="3"/>
    <n v="157154"/>
    <x v="706"/>
    <s v="15/01/2016"/>
    <s v="Standard Class"/>
    <s v="Michael Moore"/>
    <x v="475"/>
    <s v="Yes"/>
    <x v="2"/>
    <s v="New York City"/>
    <x v="3"/>
    <x v="0"/>
    <x v="1054"/>
    <x v="2"/>
    <x v="14"/>
    <n v="1018.104"/>
  </r>
  <r>
    <x v="0"/>
    <n v="123659"/>
    <x v="707"/>
    <s v="13/02/2018"/>
    <s v="First Class"/>
    <s v="Michael Nguyen"/>
    <x v="476"/>
    <s v="Yes"/>
    <x v="2"/>
    <s v="Clinton"/>
    <x v="31"/>
    <x v="0"/>
    <x v="1055"/>
    <x v="0"/>
    <x v="2"/>
    <n v="23.12"/>
  </r>
  <r>
    <x v="0"/>
    <n v="165204"/>
    <x v="284"/>
    <s v="16/11/2018"/>
    <s v="Second Class"/>
    <s v="Michael Nguyen"/>
    <x v="476"/>
    <s v="Yes"/>
    <x v="2"/>
    <s v="Memphis"/>
    <x v="18"/>
    <x v="2"/>
    <x v="102"/>
    <x v="0"/>
    <x v="2"/>
    <n v="8.9039999999999999"/>
  </r>
  <r>
    <x v="3"/>
    <n v="122140"/>
    <x v="578"/>
    <s v="07/04/2016"/>
    <s v="Standard Class"/>
    <s v="Michael Oakman"/>
    <x v="477"/>
    <s v="No"/>
    <x v="2"/>
    <s v="Dallas"/>
    <x v="1"/>
    <x v="1"/>
    <x v="1056"/>
    <x v="0"/>
    <x v="12"/>
    <n v="32.192"/>
  </r>
  <r>
    <x v="0"/>
    <n v="125388"/>
    <x v="525"/>
    <s v="23/10/2018"/>
    <s v="Standard Class"/>
    <s v="Michael Paige"/>
    <x v="478"/>
    <s v="Yes"/>
    <x v="0"/>
    <s v="Lawrence"/>
    <x v="23"/>
    <x v="0"/>
    <x v="1057"/>
    <x v="2"/>
    <x v="6"/>
    <n v="56.56"/>
  </r>
  <r>
    <x v="2"/>
    <n v="139689"/>
    <x v="226"/>
    <s v="03/01/2018"/>
    <s v="Standard Class"/>
    <s v="Michael Paige"/>
    <x v="478"/>
    <s v="Yes"/>
    <x v="0"/>
    <s v="Bristol"/>
    <x v="18"/>
    <x v="2"/>
    <x v="1058"/>
    <x v="0"/>
    <x v="7"/>
    <n v="38.088000000000001"/>
  </r>
  <r>
    <x v="2"/>
    <n v="142335"/>
    <x v="708"/>
    <s v="19/12/2017"/>
    <s v="Standard Class"/>
    <s v="Michael Paige"/>
    <x v="478"/>
    <s v="Yes"/>
    <x v="0"/>
    <s v="Detroit"/>
    <x v="34"/>
    <x v="1"/>
    <x v="1059"/>
    <x v="2"/>
    <x v="14"/>
    <n v="1652.94"/>
  </r>
  <r>
    <x v="0"/>
    <n v="155152"/>
    <x v="101"/>
    <s v="09/07/2018"/>
    <s v="Second Class"/>
    <s v="Michael Paige"/>
    <x v="478"/>
    <s v="Yes"/>
    <x v="0"/>
    <s v="Warwick"/>
    <x v="33"/>
    <x v="0"/>
    <x v="640"/>
    <x v="1"/>
    <x v="4"/>
    <n v="252"/>
  </r>
  <r>
    <x v="3"/>
    <n v="149629"/>
    <x v="565"/>
    <s v="20/07/2016"/>
    <s v="Second Class"/>
    <s v="Michael Paige"/>
    <x v="478"/>
    <s v="Yes"/>
    <x v="0"/>
    <s v="Port Saint Lucie"/>
    <x v="17"/>
    <x v="2"/>
    <x v="1060"/>
    <x v="2"/>
    <x v="13"/>
    <n v="231.92"/>
  </r>
  <r>
    <x v="1"/>
    <n v="116757"/>
    <x v="116"/>
    <s v="04/07/2015"/>
    <s v="Standard Class"/>
    <s v="Michael Stewart"/>
    <x v="479"/>
    <s v="Yes"/>
    <x v="0"/>
    <s v="Houston"/>
    <x v="1"/>
    <x v="1"/>
    <x v="1061"/>
    <x v="0"/>
    <x v="2"/>
    <n v="25.92"/>
  </r>
  <r>
    <x v="3"/>
    <n v="101007"/>
    <x v="465"/>
    <s v="13/02/2016"/>
    <s v="Second Class"/>
    <s v="Michael Stewart"/>
    <x v="479"/>
    <s v="Yes"/>
    <x v="0"/>
    <s v="Dallas"/>
    <x v="1"/>
    <x v="1"/>
    <x v="1062"/>
    <x v="1"/>
    <x v="4"/>
    <n v="20.8"/>
  </r>
  <r>
    <x v="3"/>
    <n v="153906"/>
    <x v="282"/>
    <s v="20/03/2016"/>
    <s v="Standard Class"/>
    <s v="Michael Stewart"/>
    <x v="479"/>
    <s v="Yes"/>
    <x v="0"/>
    <s v="New York City"/>
    <x v="3"/>
    <x v="0"/>
    <x v="1063"/>
    <x v="1"/>
    <x v="9"/>
    <n v="85.9"/>
  </r>
  <r>
    <x v="1"/>
    <n v="133704"/>
    <x v="405"/>
    <s v="26/09/2015"/>
    <s v="Standard Class"/>
    <s v="Michelle Arnett"/>
    <x v="480"/>
    <s v="Yes"/>
    <x v="1"/>
    <s v="Los Angeles"/>
    <x v="5"/>
    <x v="3"/>
    <x v="1064"/>
    <x v="0"/>
    <x v="12"/>
    <n v="43.92"/>
  </r>
  <r>
    <x v="1"/>
    <n v="132010"/>
    <x v="709"/>
    <s v="15/10/2015"/>
    <s v="First Class"/>
    <s v="Michelle Arnett"/>
    <x v="480"/>
    <s v="Yes"/>
    <x v="1"/>
    <s v="Richmond"/>
    <x v="4"/>
    <x v="2"/>
    <x v="1065"/>
    <x v="0"/>
    <x v="16"/>
    <n v="36.4"/>
  </r>
  <r>
    <x v="3"/>
    <n v="169278"/>
    <x v="710"/>
    <s v="25/05/2016"/>
    <s v="Standard Class"/>
    <s v="Michelle Ellison"/>
    <x v="481"/>
    <s v="Yes"/>
    <x v="0"/>
    <s v="Seattle"/>
    <x v="15"/>
    <x v="3"/>
    <x v="1066"/>
    <x v="0"/>
    <x v="7"/>
    <n v="26.975999999999999"/>
  </r>
  <r>
    <x v="1"/>
    <n v="116932"/>
    <x v="711"/>
    <s v="25/07/2015"/>
    <s v="Standard Class"/>
    <s v="Michelle Ellison"/>
    <x v="481"/>
    <s v="Yes"/>
    <x v="0"/>
    <s v="San Francisco"/>
    <x v="5"/>
    <x v="3"/>
    <x v="1067"/>
    <x v="0"/>
    <x v="0"/>
    <n v="99.2"/>
  </r>
  <r>
    <x v="3"/>
    <n v="148635"/>
    <x v="712"/>
    <s v="27/07/2016"/>
    <s v="Second Class"/>
    <s v="Michelle Huthwaite"/>
    <x v="482"/>
    <s v="Yes"/>
    <x v="2"/>
    <s v="Seattle"/>
    <x v="15"/>
    <x v="3"/>
    <x v="1068"/>
    <x v="0"/>
    <x v="15"/>
    <n v="9.42"/>
  </r>
  <r>
    <x v="0"/>
    <n v="125878"/>
    <x v="713"/>
    <s v="02/03/2018"/>
    <s v="Standard Class"/>
    <s v="Michelle Huthwaite"/>
    <x v="482"/>
    <s v="Yes"/>
    <x v="2"/>
    <s v="Chicago"/>
    <x v="10"/>
    <x v="1"/>
    <x v="1069"/>
    <x v="0"/>
    <x v="7"/>
    <n v="1.788"/>
  </r>
  <r>
    <x v="0"/>
    <n v="158953"/>
    <x v="335"/>
    <s v="08/06/2018"/>
    <s v="Standard Class"/>
    <s v="Michelle Lonsdale"/>
    <x v="483"/>
    <s v="Yes"/>
    <x v="0"/>
    <s v="Missouri City"/>
    <x v="1"/>
    <x v="1"/>
    <x v="587"/>
    <x v="0"/>
    <x v="7"/>
    <n v="6.37"/>
  </r>
  <r>
    <x v="0"/>
    <n v="168655"/>
    <x v="690"/>
    <s v="18/10/2018"/>
    <s v="Standard Class"/>
    <s v="Michelle Lonsdale"/>
    <x v="483"/>
    <s v="Yes"/>
    <x v="0"/>
    <s v="Albuquerque"/>
    <x v="22"/>
    <x v="3"/>
    <x v="1070"/>
    <x v="1"/>
    <x v="4"/>
    <n v="595"/>
  </r>
  <r>
    <x v="0"/>
    <n v="113208"/>
    <x v="476"/>
    <s v="02/04/2018"/>
    <s v="Standard Class"/>
    <s v="Michelle Lonsdale"/>
    <x v="483"/>
    <s v="Yes"/>
    <x v="0"/>
    <s v="Dearborn"/>
    <x v="34"/>
    <x v="1"/>
    <x v="1071"/>
    <x v="2"/>
    <x v="6"/>
    <n v="60.84"/>
  </r>
  <r>
    <x v="1"/>
    <n v="110555"/>
    <x v="550"/>
    <s v="18/04/2015"/>
    <s v="Standard Class"/>
    <s v="Michelle Moray"/>
    <x v="484"/>
    <s v="Yes"/>
    <x v="2"/>
    <s v="Great Falls"/>
    <x v="16"/>
    <x v="3"/>
    <x v="1072"/>
    <x v="0"/>
    <x v="3"/>
    <n v="87.08"/>
  </r>
  <r>
    <x v="0"/>
    <n v="127285"/>
    <x v="537"/>
    <s v="06/11/2018"/>
    <s v="Standard Class"/>
    <s v="Michelle Moray"/>
    <x v="484"/>
    <s v="Yes"/>
    <x v="2"/>
    <s v="Seattle"/>
    <x v="15"/>
    <x v="3"/>
    <x v="1073"/>
    <x v="0"/>
    <x v="7"/>
    <n v="88.751999999999995"/>
  </r>
  <r>
    <x v="0"/>
    <n v="140963"/>
    <x v="160"/>
    <s v="13/06/2018"/>
    <s v="First Class"/>
    <s v="Michelle Tran"/>
    <x v="485"/>
    <s v="Yes"/>
    <x v="1"/>
    <s v="Los Angeles"/>
    <x v="5"/>
    <x v="3"/>
    <x v="1074"/>
    <x v="0"/>
    <x v="8"/>
    <n v="29.6"/>
  </r>
  <r>
    <x v="1"/>
    <n v="112914"/>
    <x v="714"/>
    <s v="30/09/2015"/>
    <s v="Standard Class"/>
    <s v="Michelle Tran"/>
    <x v="485"/>
    <s v="Yes"/>
    <x v="1"/>
    <s v="Houston"/>
    <x v="1"/>
    <x v="1"/>
    <x v="1075"/>
    <x v="0"/>
    <x v="2"/>
    <n v="33.792000000000002"/>
  </r>
  <r>
    <x v="1"/>
    <n v="101602"/>
    <x v="715"/>
    <s v="18/12/2015"/>
    <s v="First Class"/>
    <s v="Mick Crebagga"/>
    <x v="486"/>
    <s v="Yes"/>
    <x v="2"/>
    <s v="El Paso"/>
    <x v="1"/>
    <x v="1"/>
    <x v="1076"/>
    <x v="1"/>
    <x v="9"/>
    <n v="40.68"/>
  </r>
  <r>
    <x v="0"/>
    <n v="126242"/>
    <x v="15"/>
    <s v="24/11/2018"/>
    <s v="Standard Class"/>
    <s v="Mick Crebagga"/>
    <x v="486"/>
    <s v="Yes"/>
    <x v="2"/>
    <s v="Los Angeles"/>
    <x v="5"/>
    <x v="3"/>
    <x v="405"/>
    <x v="0"/>
    <x v="3"/>
    <n v="305.01"/>
  </r>
  <r>
    <x v="0"/>
    <n v="152807"/>
    <x v="537"/>
    <s v="03/11/2018"/>
    <s v="Standard Class"/>
    <s v="Mick Crebagga"/>
    <x v="486"/>
    <s v="Yes"/>
    <x v="2"/>
    <s v="Philadelphia"/>
    <x v="0"/>
    <x v="0"/>
    <x v="1077"/>
    <x v="0"/>
    <x v="2"/>
    <n v="20.736000000000001"/>
  </r>
  <r>
    <x v="0"/>
    <n v="114657"/>
    <x v="263"/>
    <s v="21/11/2018"/>
    <s v="Standard Class"/>
    <s v="Mick Hernandez"/>
    <x v="487"/>
    <s v="Yes"/>
    <x v="1"/>
    <s v="Yonkers"/>
    <x v="3"/>
    <x v="0"/>
    <x v="1078"/>
    <x v="1"/>
    <x v="1"/>
    <n v="52.44"/>
  </r>
  <r>
    <x v="0"/>
    <n v="114055"/>
    <x v="328"/>
    <s v="29/12/2018"/>
    <s v="Second Class"/>
    <s v="Mick Hernandez"/>
    <x v="487"/>
    <s v="Yes"/>
    <x v="1"/>
    <s v="Huntsville"/>
    <x v="30"/>
    <x v="2"/>
    <x v="1079"/>
    <x v="0"/>
    <x v="2"/>
    <n v="96.08"/>
  </r>
  <r>
    <x v="0"/>
    <n v="161088"/>
    <x v="716"/>
    <s v="29/05/2018"/>
    <s v="Standard Class"/>
    <s v="Mick Hernandez"/>
    <x v="487"/>
    <s v="Yes"/>
    <x v="1"/>
    <s v="Columbus"/>
    <x v="7"/>
    <x v="2"/>
    <x v="429"/>
    <x v="0"/>
    <x v="7"/>
    <n v="29.84"/>
  </r>
  <r>
    <x v="0"/>
    <n v="144638"/>
    <x v="221"/>
    <s v="14/03/2018"/>
    <s v="Standard Class"/>
    <s v="Mick Hernandez"/>
    <x v="487"/>
    <s v="Yes"/>
    <x v="1"/>
    <s v="Chester"/>
    <x v="0"/>
    <x v="0"/>
    <x v="1080"/>
    <x v="0"/>
    <x v="0"/>
    <n v="5.2480000000000002"/>
  </r>
  <r>
    <x v="3"/>
    <n v="148432"/>
    <x v="416"/>
    <s v="10/11/2016"/>
    <s v="Second Class"/>
    <s v="Mike Caudle"/>
    <x v="488"/>
    <s v="Yes"/>
    <x v="0"/>
    <s v="Newark"/>
    <x v="39"/>
    <x v="0"/>
    <x v="1081"/>
    <x v="0"/>
    <x v="15"/>
    <n v="26.18"/>
  </r>
  <r>
    <x v="2"/>
    <n v="115504"/>
    <x v="717"/>
    <s v="17/03/2017"/>
    <s v="Standard Class"/>
    <s v="Mike Caudle"/>
    <x v="488"/>
    <s v="Yes"/>
    <x v="0"/>
    <s v="Monroe"/>
    <x v="27"/>
    <x v="2"/>
    <x v="1082"/>
    <x v="0"/>
    <x v="2"/>
    <n v="12.96"/>
  </r>
  <r>
    <x v="3"/>
    <n v="138303"/>
    <x v="552"/>
    <s v="07/09/2016"/>
    <s v="Standard Class"/>
    <s v="Mike Gockenbach"/>
    <x v="489"/>
    <s v="Yes"/>
    <x v="2"/>
    <s v="Philadelphia"/>
    <x v="0"/>
    <x v="0"/>
    <x v="1083"/>
    <x v="0"/>
    <x v="3"/>
    <n v="36.335999999999999"/>
  </r>
  <r>
    <x v="0"/>
    <n v="108574"/>
    <x v="381"/>
    <s v="11/10/2018"/>
    <s v="Standard Class"/>
    <s v="Mike Gockenbach"/>
    <x v="489"/>
    <s v="Yes"/>
    <x v="2"/>
    <s v="Los Angeles"/>
    <x v="5"/>
    <x v="3"/>
    <x v="1084"/>
    <x v="1"/>
    <x v="4"/>
    <n v="1115.9100000000001"/>
  </r>
  <r>
    <x v="1"/>
    <n v="150574"/>
    <x v="144"/>
    <s v="25/12/2015"/>
    <s v="Standard Class"/>
    <s v="Mike Kennedy"/>
    <x v="490"/>
    <s v="Yes"/>
    <x v="2"/>
    <s v="Jacksonville"/>
    <x v="17"/>
    <x v="2"/>
    <x v="1085"/>
    <x v="0"/>
    <x v="7"/>
    <n v="4.8120000000000003"/>
  </r>
  <r>
    <x v="2"/>
    <n v="108455"/>
    <x v="33"/>
    <s v="08/12/2017"/>
    <s v="Standard Class"/>
    <s v="Mike Kennedy"/>
    <x v="490"/>
    <s v="Yes"/>
    <x v="2"/>
    <s v="San Francisco"/>
    <x v="5"/>
    <x v="3"/>
    <x v="560"/>
    <x v="0"/>
    <x v="2"/>
    <n v="25.92"/>
  </r>
  <r>
    <x v="0"/>
    <n v="128755"/>
    <x v="656"/>
    <s v="08/05/2018"/>
    <s v="Standard Class"/>
    <s v="Mike Kennedy"/>
    <x v="490"/>
    <s v="Yes"/>
    <x v="2"/>
    <s v="Newport News"/>
    <x v="4"/>
    <x v="2"/>
    <x v="1086"/>
    <x v="0"/>
    <x v="2"/>
    <n v="9.11"/>
  </r>
  <r>
    <x v="0"/>
    <n v="169859"/>
    <x v="478"/>
    <s v="18/12/2018"/>
    <s v="Standard Class"/>
    <s v="Mike Pelletier"/>
    <x v="491"/>
    <s v="No"/>
    <x v="1"/>
    <s v="San Diego"/>
    <x v="5"/>
    <x v="3"/>
    <x v="1083"/>
    <x v="2"/>
    <x v="6"/>
    <n v="26.25"/>
  </r>
  <r>
    <x v="0"/>
    <n v="101798"/>
    <x v="390"/>
    <s v="15/12/2018"/>
    <s v="Standard Class"/>
    <s v="Mike Vittorini"/>
    <x v="492"/>
    <s v="No"/>
    <x v="2"/>
    <s v="New York City"/>
    <x v="3"/>
    <x v="0"/>
    <x v="1087"/>
    <x v="0"/>
    <x v="7"/>
    <n v="23.36"/>
  </r>
  <r>
    <x v="1"/>
    <n v="150518"/>
    <x v="25"/>
    <s v="24/11/2015"/>
    <s v="Standard Class"/>
    <s v="Mitch Webber"/>
    <x v="493"/>
    <s v="No"/>
    <x v="2"/>
    <s v="Coon Rapids"/>
    <x v="26"/>
    <x v="1"/>
    <x v="1088"/>
    <x v="0"/>
    <x v="3"/>
    <n v="221.16"/>
  </r>
  <r>
    <x v="1"/>
    <n v="117639"/>
    <x v="718"/>
    <s v="25/05/2015"/>
    <s v="Standard Class"/>
    <s v="Mitch Willingham"/>
    <x v="494"/>
    <s v="No"/>
    <x v="0"/>
    <s v="Virginia Beach"/>
    <x v="4"/>
    <x v="2"/>
    <x v="1089"/>
    <x v="0"/>
    <x v="7"/>
    <n v="2715.93"/>
  </r>
  <r>
    <x v="3"/>
    <n v="119592"/>
    <x v="413"/>
    <s v="16/12/2016"/>
    <s v="Second Class"/>
    <s v="Muhammed MacIntyre"/>
    <x v="495"/>
    <s v="Yes"/>
    <x v="0"/>
    <s v="Columbus"/>
    <x v="7"/>
    <x v="2"/>
    <x v="1090"/>
    <x v="0"/>
    <x v="7"/>
    <n v="3.76"/>
  </r>
  <r>
    <x v="2"/>
    <n v="134656"/>
    <x v="719"/>
    <s v="01/10/2017"/>
    <s v="First Class"/>
    <s v="Muhammed MacIntyre"/>
    <x v="495"/>
    <s v="Yes"/>
    <x v="0"/>
    <s v="Quincy"/>
    <x v="10"/>
    <x v="1"/>
    <x v="1091"/>
    <x v="0"/>
    <x v="2"/>
    <n v="99.135999999999996"/>
  </r>
  <r>
    <x v="2"/>
    <n v="132423"/>
    <x v="175"/>
    <s v="19/04/2017"/>
    <s v="Standard Class"/>
    <s v="Muhammed Yedwab"/>
    <x v="496"/>
    <s v="Yes"/>
    <x v="0"/>
    <s v="Grapevine"/>
    <x v="1"/>
    <x v="1"/>
    <x v="1092"/>
    <x v="0"/>
    <x v="0"/>
    <n v="33.488"/>
  </r>
  <r>
    <x v="1"/>
    <n v="118976"/>
    <x v="720"/>
    <s v="03/05/2015"/>
    <s v="Standard Class"/>
    <s v="Muhammed Yedwab"/>
    <x v="496"/>
    <s v="Yes"/>
    <x v="0"/>
    <s v="Baltimore"/>
    <x v="31"/>
    <x v="0"/>
    <x v="1093"/>
    <x v="0"/>
    <x v="7"/>
    <n v="20.86"/>
  </r>
  <r>
    <x v="1"/>
    <n v="105984"/>
    <x v="448"/>
    <s v="24/11/2015"/>
    <s v="Same Day"/>
    <s v="Muhammed Yedwab"/>
    <x v="496"/>
    <s v="Yes"/>
    <x v="0"/>
    <s v="Columbus"/>
    <x v="21"/>
    <x v="0"/>
    <x v="1094"/>
    <x v="1"/>
    <x v="9"/>
    <n v="1049.97"/>
  </r>
  <r>
    <x v="2"/>
    <n v="139549"/>
    <x v="721"/>
    <s v="25/10/2017"/>
    <s v="Standard Class"/>
    <s v="Muhammed Yedwab"/>
    <x v="496"/>
    <s v="Yes"/>
    <x v="0"/>
    <s v="El Cajon"/>
    <x v="5"/>
    <x v="3"/>
    <x v="1095"/>
    <x v="2"/>
    <x v="10"/>
    <n v="387.13600000000002"/>
  </r>
  <r>
    <x v="0"/>
    <n v="133067"/>
    <x v="656"/>
    <s v="10/05/2018"/>
    <s v="Standard Class"/>
    <s v="Muhammed Yedwab"/>
    <x v="496"/>
    <s v="Yes"/>
    <x v="0"/>
    <s v="Philadelphia"/>
    <x v="0"/>
    <x v="0"/>
    <x v="1096"/>
    <x v="0"/>
    <x v="7"/>
    <n v="2.202"/>
  </r>
  <r>
    <x v="2"/>
    <n v="160206"/>
    <x v="136"/>
    <s v="07/04/2017"/>
    <s v="Standard Class"/>
    <s v="Muhammed Yedwab"/>
    <x v="496"/>
    <s v="Yes"/>
    <x v="0"/>
    <s v="Milwaukee"/>
    <x v="29"/>
    <x v="1"/>
    <x v="1097"/>
    <x v="1"/>
    <x v="9"/>
    <n v="12.99"/>
  </r>
  <r>
    <x v="1"/>
    <n v="117135"/>
    <x v="359"/>
    <s v="23/06/2015"/>
    <s v="Second Class"/>
    <s v="Naresj Patel"/>
    <x v="497"/>
    <s v="Yes"/>
    <x v="2"/>
    <s v="Waynesboro"/>
    <x v="4"/>
    <x v="2"/>
    <x v="1031"/>
    <x v="2"/>
    <x v="6"/>
    <n v="104.01"/>
  </r>
  <r>
    <x v="3"/>
    <n v="143490"/>
    <x v="121"/>
    <s v="13/12/2016"/>
    <s v="Standard Class"/>
    <s v="Naresj Patel"/>
    <x v="497"/>
    <s v="Yes"/>
    <x v="2"/>
    <s v="San Diego"/>
    <x v="5"/>
    <x v="3"/>
    <x v="1098"/>
    <x v="0"/>
    <x v="0"/>
    <n v="120.15"/>
  </r>
  <r>
    <x v="3"/>
    <n v="112452"/>
    <x v="722"/>
    <s v="04/04/2016"/>
    <s v="Same Day"/>
    <s v="Nat Carroll"/>
    <x v="498"/>
    <s v="Yes"/>
    <x v="2"/>
    <s v="Lansing"/>
    <x v="34"/>
    <x v="1"/>
    <x v="1099"/>
    <x v="0"/>
    <x v="12"/>
    <n v="644.07600000000002"/>
  </r>
  <r>
    <x v="0"/>
    <n v="111332"/>
    <x v="723"/>
    <s v="22/05/2018"/>
    <s v="Second Class"/>
    <s v="Nat Carroll"/>
    <x v="498"/>
    <s v="Yes"/>
    <x v="2"/>
    <s v="Fargo"/>
    <x v="38"/>
    <x v="1"/>
    <x v="1100"/>
    <x v="0"/>
    <x v="0"/>
    <n v="131.94"/>
  </r>
  <r>
    <x v="2"/>
    <n v="124485"/>
    <x v="65"/>
    <s v="26/11/2017"/>
    <s v="First Class"/>
    <s v="Nat Carroll"/>
    <x v="498"/>
    <s v="Yes"/>
    <x v="2"/>
    <s v="New York City"/>
    <x v="3"/>
    <x v="0"/>
    <x v="1101"/>
    <x v="0"/>
    <x v="7"/>
    <n v="17.216000000000001"/>
  </r>
  <r>
    <x v="3"/>
    <n v="130519"/>
    <x v="233"/>
    <s v="15/09/2016"/>
    <s v="Same Day"/>
    <s v="Nat Gilpin"/>
    <x v="499"/>
    <s v="Yes"/>
    <x v="0"/>
    <s v="Coral Springs"/>
    <x v="17"/>
    <x v="2"/>
    <x v="1102"/>
    <x v="0"/>
    <x v="2"/>
    <n v="15.552"/>
  </r>
  <r>
    <x v="0"/>
    <n v="116659"/>
    <x v="367"/>
    <s v="12/11/2018"/>
    <s v="Same Day"/>
    <s v="Nat Gilpin"/>
    <x v="499"/>
    <s v="Yes"/>
    <x v="0"/>
    <s v="Newark"/>
    <x v="21"/>
    <x v="0"/>
    <x v="429"/>
    <x v="1"/>
    <x v="9"/>
    <n v="370.78199999999998"/>
  </r>
  <r>
    <x v="0"/>
    <n v="117947"/>
    <x v="724"/>
    <s v="23/08/2018"/>
    <s v="Second Class"/>
    <s v="Nat Gilpin"/>
    <x v="499"/>
    <s v="Yes"/>
    <x v="0"/>
    <s v="New York City"/>
    <x v="3"/>
    <x v="0"/>
    <x v="1099"/>
    <x v="2"/>
    <x v="6"/>
    <n v="40.479999999999997"/>
  </r>
  <r>
    <x v="1"/>
    <n v="148915"/>
    <x v="725"/>
    <s v="05/11/2015"/>
    <s v="Standard Class"/>
    <s v="Natalie DeCherney"/>
    <x v="500"/>
    <s v="Yes"/>
    <x v="2"/>
    <s v="Portland"/>
    <x v="25"/>
    <x v="3"/>
    <x v="364"/>
    <x v="0"/>
    <x v="3"/>
    <n v="443.92"/>
  </r>
  <r>
    <x v="2"/>
    <n v="145247"/>
    <x v="139"/>
    <s v="07/05/2017"/>
    <s v="First Class"/>
    <s v="Natalie DeCherney"/>
    <x v="500"/>
    <s v="Yes"/>
    <x v="2"/>
    <s v="Louisville"/>
    <x v="12"/>
    <x v="2"/>
    <x v="1103"/>
    <x v="0"/>
    <x v="2"/>
    <n v="79.14"/>
  </r>
  <r>
    <x v="2"/>
    <n v="130778"/>
    <x v="414"/>
    <s v="25/11/2017"/>
    <s v="Standard Class"/>
    <s v="Natalie DeCherney"/>
    <x v="500"/>
    <s v="Yes"/>
    <x v="2"/>
    <s v="Long Beach"/>
    <x v="3"/>
    <x v="0"/>
    <x v="485"/>
    <x v="0"/>
    <x v="12"/>
    <n v="8.74"/>
  </r>
  <r>
    <x v="0"/>
    <n v="155705"/>
    <x v="498"/>
    <s v="23/08/2018"/>
    <s v="Second Class"/>
    <s v="Natalie Fritzler"/>
    <x v="501"/>
    <s v="Yes"/>
    <x v="2"/>
    <s v="Jackson"/>
    <x v="41"/>
    <x v="2"/>
    <x v="1104"/>
    <x v="2"/>
    <x v="10"/>
    <n v="866.4"/>
  </r>
  <r>
    <x v="2"/>
    <n v="157945"/>
    <x v="261"/>
    <s v="01/10/2017"/>
    <s v="Standard Class"/>
    <s v="Natalie Fritzler"/>
    <x v="501"/>
    <s v="Yes"/>
    <x v="2"/>
    <s v="Decatur"/>
    <x v="10"/>
    <x v="1"/>
    <x v="1105"/>
    <x v="2"/>
    <x v="10"/>
    <n v="747.55799999999999"/>
  </r>
  <r>
    <x v="3"/>
    <n v="102582"/>
    <x v="233"/>
    <s v="19/09/2016"/>
    <s v="Standard Class"/>
    <s v="Natalie Webber"/>
    <x v="502"/>
    <s v="Yes"/>
    <x v="2"/>
    <s v="Mobile"/>
    <x v="30"/>
    <x v="2"/>
    <x v="1106"/>
    <x v="2"/>
    <x v="14"/>
    <n v="801.96"/>
  </r>
  <r>
    <x v="3"/>
    <n v="115511"/>
    <x v="458"/>
    <s v="25/11/2016"/>
    <s v="Standard Class"/>
    <s v="Natalie Webber"/>
    <x v="502"/>
    <s v="Yes"/>
    <x v="2"/>
    <s v="Las Vegas"/>
    <x v="8"/>
    <x v="3"/>
    <x v="1107"/>
    <x v="2"/>
    <x v="13"/>
    <n v="141.96"/>
  </r>
  <r>
    <x v="1"/>
    <n v="138317"/>
    <x v="359"/>
    <s v="25/06/2015"/>
    <s v="Standard Class"/>
    <s v="Natalie Webber"/>
    <x v="502"/>
    <s v="Yes"/>
    <x v="2"/>
    <s v="Philadelphia"/>
    <x v="0"/>
    <x v="0"/>
    <x v="510"/>
    <x v="0"/>
    <x v="16"/>
    <n v="24.896000000000001"/>
  </r>
  <r>
    <x v="2"/>
    <n v="156503"/>
    <x v="279"/>
    <s v="20/10/2017"/>
    <s v="Standard Class"/>
    <s v="Nathan Cano"/>
    <x v="503"/>
    <s v="Yes"/>
    <x v="2"/>
    <s v="Jacksonville"/>
    <x v="2"/>
    <x v="2"/>
    <x v="1108"/>
    <x v="2"/>
    <x v="10"/>
    <n v="102.592"/>
  </r>
  <r>
    <x v="1"/>
    <n v="135755"/>
    <x v="587"/>
    <s v="10/05/2015"/>
    <s v="Standard Class"/>
    <s v="Nathan Cano"/>
    <x v="503"/>
    <s v="Yes"/>
    <x v="2"/>
    <s v="Yonkers"/>
    <x v="3"/>
    <x v="0"/>
    <x v="1109"/>
    <x v="0"/>
    <x v="7"/>
    <n v="40.176000000000002"/>
  </r>
  <r>
    <x v="1"/>
    <n v="115973"/>
    <x v="448"/>
    <s v="26/11/2015"/>
    <s v="First Class"/>
    <s v="Nathan Gelder"/>
    <x v="504"/>
    <s v="Yes"/>
    <x v="2"/>
    <s v="Cincinnati"/>
    <x v="21"/>
    <x v="0"/>
    <x v="1110"/>
    <x v="0"/>
    <x v="0"/>
    <n v="2.6240000000000001"/>
  </r>
  <r>
    <x v="0"/>
    <n v="130386"/>
    <x v="367"/>
    <s v="18/11/2018"/>
    <s v="Standard Class"/>
    <s v="Nathan Gelder"/>
    <x v="504"/>
    <s v="Yes"/>
    <x v="2"/>
    <s v="Austin"/>
    <x v="1"/>
    <x v="1"/>
    <x v="1111"/>
    <x v="0"/>
    <x v="2"/>
    <n v="16.056000000000001"/>
  </r>
  <r>
    <x v="1"/>
    <n v="122749"/>
    <x v="726"/>
    <s v="09/12/2015"/>
    <s v="Standard Class"/>
    <s v="Nathan Gelder"/>
    <x v="504"/>
    <s v="Yes"/>
    <x v="2"/>
    <s v="Oklahoma City"/>
    <x v="14"/>
    <x v="1"/>
    <x v="208"/>
    <x v="1"/>
    <x v="9"/>
    <n v="479.96"/>
  </r>
  <r>
    <x v="1"/>
    <n v="164973"/>
    <x v="727"/>
    <s v="09/11/2015"/>
    <s v="Standard Class"/>
    <s v="Nathan Mautz"/>
    <x v="505"/>
    <s v="No"/>
    <x v="1"/>
    <s v="New York City"/>
    <x v="3"/>
    <x v="0"/>
    <x v="1112"/>
    <x v="2"/>
    <x v="10"/>
    <n v="135.88200000000001"/>
  </r>
  <r>
    <x v="0"/>
    <n v="127803"/>
    <x v="102"/>
    <s v="23/05/2018"/>
    <s v="Standard Class"/>
    <s v="Neil Ducich"/>
    <x v="506"/>
    <s v="Yes"/>
    <x v="0"/>
    <s v="Huntsville"/>
    <x v="30"/>
    <x v="2"/>
    <x v="1113"/>
    <x v="0"/>
    <x v="7"/>
    <n v="26.16"/>
  </r>
  <r>
    <x v="3"/>
    <n v="140851"/>
    <x v="728"/>
    <s v="15/07/2016"/>
    <s v="Second Class"/>
    <s v="Neil Ducich"/>
    <x v="506"/>
    <s v="Yes"/>
    <x v="0"/>
    <s v="Macon"/>
    <x v="7"/>
    <x v="2"/>
    <x v="1114"/>
    <x v="0"/>
    <x v="2"/>
    <n v="38.880000000000003"/>
  </r>
  <r>
    <x v="0"/>
    <n v="107167"/>
    <x v="160"/>
    <s v="14/06/2018"/>
    <s v="Standard Class"/>
    <s v="Neil Ducich"/>
    <x v="506"/>
    <s v="Yes"/>
    <x v="0"/>
    <s v="Jacksonville"/>
    <x v="17"/>
    <x v="2"/>
    <x v="1115"/>
    <x v="0"/>
    <x v="3"/>
    <n v="1347.52"/>
  </r>
  <r>
    <x v="2"/>
    <n v="162404"/>
    <x v="554"/>
    <s v="27/07/2017"/>
    <s v="Standard Class"/>
    <s v="Neil Französisch"/>
    <x v="507"/>
    <s v="Yes"/>
    <x v="1"/>
    <s v="Rockford"/>
    <x v="10"/>
    <x v="1"/>
    <x v="1116"/>
    <x v="0"/>
    <x v="7"/>
    <n v="11.416"/>
  </r>
  <r>
    <x v="1"/>
    <n v="132745"/>
    <x v="729"/>
    <s v="05/10/2015"/>
    <s v="Standard Class"/>
    <s v="Neil Französisch"/>
    <x v="507"/>
    <s v="Yes"/>
    <x v="1"/>
    <s v="Reno"/>
    <x v="8"/>
    <x v="3"/>
    <x v="1117"/>
    <x v="0"/>
    <x v="15"/>
    <n v="4.71"/>
  </r>
  <r>
    <x v="0"/>
    <n v="126536"/>
    <x v="690"/>
    <s v="14/10/2018"/>
    <s v="First Class"/>
    <s v="Neil Knudson"/>
    <x v="508"/>
    <s v="Yes"/>
    <x v="1"/>
    <s v="San Francisco"/>
    <x v="5"/>
    <x v="3"/>
    <x v="1118"/>
    <x v="1"/>
    <x v="4"/>
    <n v="0.99"/>
  </r>
  <r>
    <x v="0"/>
    <n v="148166"/>
    <x v="730"/>
    <s v="26/10/2018"/>
    <s v="Standard Class"/>
    <s v="Neil Knudson"/>
    <x v="508"/>
    <s v="Yes"/>
    <x v="1"/>
    <s v="Deltona"/>
    <x v="17"/>
    <x v="2"/>
    <x v="1119"/>
    <x v="0"/>
    <x v="0"/>
    <n v="17.856000000000002"/>
  </r>
  <r>
    <x v="2"/>
    <n v="141586"/>
    <x v="731"/>
    <s v="20/10/2017"/>
    <s v="First Class"/>
    <s v="Neil Knudson"/>
    <x v="508"/>
    <s v="Yes"/>
    <x v="1"/>
    <s v="San Francisco"/>
    <x v="5"/>
    <x v="3"/>
    <x v="298"/>
    <x v="0"/>
    <x v="7"/>
    <n v="18.16"/>
  </r>
  <r>
    <x v="3"/>
    <n v="118948"/>
    <x v="609"/>
    <s v="03/06/2016"/>
    <s v="Standard Class"/>
    <s v="Neil Knudson"/>
    <x v="508"/>
    <s v="Yes"/>
    <x v="1"/>
    <s v="Seattle"/>
    <x v="15"/>
    <x v="3"/>
    <x v="1120"/>
    <x v="0"/>
    <x v="0"/>
    <n v="6.63"/>
  </r>
  <r>
    <x v="0"/>
    <n v="107636"/>
    <x v="86"/>
    <s v="02/05/2018"/>
    <s v="First Class"/>
    <s v="Neoma Murray"/>
    <x v="509"/>
    <s v="Yes"/>
    <x v="2"/>
    <s v="Manchester"/>
    <x v="28"/>
    <x v="0"/>
    <x v="1121"/>
    <x v="0"/>
    <x v="8"/>
    <n v="5.76"/>
  </r>
  <r>
    <x v="3"/>
    <n v="162166"/>
    <x v="732"/>
    <s v="11/09/2016"/>
    <s v="First Class"/>
    <s v="Neoma Murray"/>
    <x v="509"/>
    <s v="Yes"/>
    <x v="2"/>
    <s v="Moreno Valley"/>
    <x v="5"/>
    <x v="3"/>
    <x v="1122"/>
    <x v="0"/>
    <x v="2"/>
    <n v="26.4"/>
  </r>
  <r>
    <x v="2"/>
    <n v="112340"/>
    <x v="704"/>
    <s v="27/10/2017"/>
    <s v="Standard Class"/>
    <s v="Neoma Murray"/>
    <x v="509"/>
    <s v="Yes"/>
    <x v="2"/>
    <s v="Riverside"/>
    <x v="5"/>
    <x v="3"/>
    <x v="1123"/>
    <x v="0"/>
    <x v="2"/>
    <n v="22.92"/>
  </r>
  <r>
    <x v="2"/>
    <n v="153598"/>
    <x v="237"/>
    <s v="06/12/2017"/>
    <s v="First Class"/>
    <s v="Neoma Murray"/>
    <x v="509"/>
    <s v="Yes"/>
    <x v="2"/>
    <s v="Los Angeles"/>
    <x v="5"/>
    <x v="3"/>
    <x v="1124"/>
    <x v="1"/>
    <x v="4"/>
    <n v="1649.95"/>
  </r>
  <r>
    <x v="3"/>
    <n v="105676"/>
    <x v="664"/>
    <s v="02/12/2016"/>
    <s v="Same Day"/>
    <s v="Neoma Murray"/>
    <x v="509"/>
    <s v="Yes"/>
    <x v="2"/>
    <s v="Houston"/>
    <x v="1"/>
    <x v="1"/>
    <x v="1125"/>
    <x v="2"/>
    <x v="6"/>
    <n v="6.6879999999999997"/>
  </r>
  <r>
    <x v="0"/>
    <n v="149881"/>
    <x v="677"/>
    <s v="03/04/2018"/>
    <s v="First Class"/>
    <s v="Nick Crebassa"/>
    <x v="510"/>
    <s v="Yes"/>
    <x v="0"/>
    <s v="San Francisco"/>
    <x v="5"/>
    <x v="3"/>
    <x v="1126"/>
    <x v="2"/>
    <x v="13"/>
    <n v="482.66399999999999"/>
  </r>
  <r>
    <x v="2"/>
    <n v="131674"/>
    <x v="733"/>
    <s v="01/12/2017"/>
    <s v="Second Class"/>
    <s v="Nick Crebassa"/>
    <x v="510"/>
    <s v="Yes"/>
    <x v="0"/>
    <s v="Dallas"/>
    <x v="1"/>
    <x v="1"/>
    <x v="7"/>
    <x v="1"/>
    <x v="4"/>
    <n v="58.415999999999997"/>
  </r>
  <r>
    <x v="1"/>
    <n v="106229"/>
    <x v="145"/>
    <s v="11/06/2015"/>
    <s v="Second Class"/>
    <s v="Nick Radford"/>
    <x v="511"/>
    <s v="Yes"/>
    <x v="2"/>
    <s v="Aurora"/>
    <x v="10"/>
    <x v="1"/>
    <x v="1127"/>
    <x v="2"/>
    <x v="14"/>
    <n v="268.935"/>
  </r>
  <r>
    <x v="1"/>
    <n v="112851"/>
    <x v="105"/>
    <s v="21/09/2015"/>
    <s v="Standard Class"/>
    <s v="Nick Radford"/>
    <x v="511"/>
    <s v="Yes"/>
    <x v="2"/>
    <s v="Chula Vista"/>
    <x v="5"/>
    <x v="3"/>
    <x v="1128"/>
    <x v="0"/>
    <x v="16"/>
    <n v="182.94"/>
  </r>
  <r>
    <x v="2"/>
    <n v="110772"/>
    <x v="60"/>
    <s v="24/11/2017"/>
    <s v="Second Class"/>
    <s v="Nick Zandusky"/>
    <x v="512"/>
    <s v="Yes"/>
    <x v="1"/>
    <s v="Columbus"/>
    <x v="21"/>
    <x v="0"/>
    <x v="1129"/>
    <x v="0"/>
    <x v="15"/>
    <n v="19.096"/>
  </r>
  <r>
    <x v="0"/>
    <n v="154676"/>
    <x v="734"/>
    <s v="08/08/2018"/>
    <s v="First Class"/>
    <s v="Nick Zandusky"/>
    <x v="512"/>
    <s v="Yes"/>
    <x v="1"/>
    <s v="Houston"/>
    <x v="1"/>
    <x v="1"/>
    <x v="1130"/>
    <x v="0"/>
    <x v="3"/>
    <n v="151.05600000000001"/>
  </r>
  <r>
    <x v="0"/>
    <n v="148054"/>
    <x v="735"/>
    <s v="11/10/2018"/>
    <s v="Standard Class"/>
    <s v="Nick Zandusky"/>
    <x v="512"/>
    <s v="Yes"/>
    <x v="1"/>
    <s v="Meridian"/>
    <x v="45"/>
    <x v="3"/>
    <x v="1131"/>
    <x v="2"/>
    <x v="6"/>
    <n v="41.96"/>
  </r>
  <r>
    <x v="1"/>
    <n v="106299"/>
    <x v="736"/>
    <s v="08/08/2015"/>
    <s v="Standard Class"/>
    <s v="Nick Zandusky"/>
    <x v="512"/>
    <s v="Yes"/>
    <x v="1"/>
    <s v="Springfield"/>
    <x v="9"/>
    <x v="1"/>
    <x v="1132"/>
    <x v="0"/>
    <x v="7"/>
    <n v="26.7"/>
  </r>
  <r>
    <x v="3"/>
    <n v="144267"/>
    <x v="371"/>
    <s v="23/08/2016"/>
    <s v="First Class"/>
    <s v="Nick Zandusky"/>
    <x v="512"/>
    <s v="Yes"/>
    <x v="1"/>
    <s v="San Francisco"/>
    <x v="5"/>
    <x v="3"/>
    <x v="423"/>
    <x v="2"/>
    <x v="10"/>
    <n v="544.00800000000004"/>
  </r>
  <r>
    <x v="3"/>
    <n v="110667"/>
    <x v="722"/>
    <s v="08/04/2016"/>
    <s v="Standard Class"/>
    <s v="Nicole Fjeld"/>
    <x v="513"/>
    <s v="No"/>
    <x v="1"/>
    <s v="New York City"/>
    <x v="3"/>
    <x v="0"/>
    <x v="1133"/>
    <x v="0"/>
    <x v="0"/>
    <n v="11.16"/>
  </r>
  <r>
    <x v="3"/>
    <n v="147102"/>
    <x v="737"/>
    <s v="26/09/2016"/>
    <s v="Standard Class"/>
    <s v="Nicole Hansen"/>
    <x v="514"/>
    <s v="Yes"/>
    <x v="0"/>
    <s v="Columbus"/>
    <x v="7"/>
    <x v="2"/>
    <x v="1134"/>
    <x v="1"/>
    <x v="4"/>
    <n v="66.36"/>
  </r>
  <r>
    <x v="0"/>
    <n v="100384"/>
    <x v="236"/>
    <s v="01/07/2018"/>
    <s v="Standard Class"/>
    <s v="Nicole Hansen"/>
    <x v="514"/>
    <s v="Yes"/>
    <x v="0"/>
    <s v="Pomona"/>
    <x v="5"/>
    <x v="3"/>
    <x v="1135"/>
    <x v="0"/>
    <x v="0"/>
    <n v="385.6"/>
  </r>
  <r>
    <x v="0"/>
    <n v="122693"/>
    <x v="738"/>
    <s v="21/02/2018"/>
    <s v="Second Class"/>
    <s v="Nicole Hansen"/>
    <x v="514"/>
    <s v="Yes"/>
    <x v="0"/>
    <s v="Roswell"/>
    <x v="7"/>
    <x v="2"/>
    <x v="1136"/>
    <x v="0"/>
    <x v="12"/>
    <n v="1245.8599999999999"/>
  </r>
  <r>
    <x v="2"/>
    <n v="100839"/>
    <x v="649"/>
    <s v="17/10/2017"/>
    <s v="Standard Class"/>
    <s v="Noah Childs"/>
    <x v="515"/>
    <s v="No"/>
    <x v="0"/>
    <s v="Aurora"/>
    <x v="20"/>
    <x v="3"/>
    <x v="1137"/>
    <x v="2"/>
    <x v="14"/>
    <n v="727.45"/>
  </r>
  <r>
    <x v="1"/>
    <n v="159338"/>
    <x v="739"/>
    <s v="28/06/2015"/>
    <s v="First Class"/>
    <s v="Noel Staavos"/>
    <x v="516"/>
    <s v="Yes"/>
    <x v="0"/>
    <s v="Los Angeles"/>
    <x v="5"/>
    <x v="3"/>
    <x v="901"/>
    <x v="2"/>
    <x v="14"/>
    <n v="447.84"/>
  </r>
  <r>
    <x v="0"/>
    <n v="115651"/>
    <x v="579"/>
    <s v="12/07/2018"/>
    <s v="First Class"/>
    <s v="Noel Staavos"/>
    <x v="516"/>
    <s v="Yes"/>
    <x v="0"/>
    <s v="Chicago"/>
    <x v="10"/>
    <x v="1"/>
    <x v="1138"/>
    <x v="0"/>
    <x v="0"/>
    <n v="8.84"/>
  </r>
  <r>
    <x v="2"/>
    <n v="140928"/>
    <x v="524"/>
    <s v="22/09/2017"/>
    <s v="Standard Class"/>
    <s v="Nona Balk"/>
    <x v="517"/>
    <s v="No"/>
    <x v="0"/>
    <s v="Jacksonville"/>
    <x v="17"/>
    <x v="2"/>
    <x v="454"/>
    <x v="2"/>
    <x v="14"/>
    <n v="383.43799999999999"/>
  </r>
  <r>
    <x v="3"/>
    <n v="138485"/>
    <x v="740"/>
    <s v="01/03/2016"/>
    <s v="Second Class"/>
    <s v="Nora Paige"/>
    <x v="518"/>
    <s v="Yes"/>
    <x v="2"/>
    <s v="Seattle"/>
    <x v="15"/>
    <x v="3"/>
    <x v="1139"/>
    <x v="1"/>
    <x v="4"/>
    <n v="538.91999999999996"/>
  </r>
  <r>
    <x v="2"/>
    <n v="114104"/>
    <x v="60"/>
    <s v="24/11/2017"/>
    <s v="Standard Class"/>
    <s v="Nora Paige"/>
    <x v="518"/>
    <s v="Yes"/>
    <x v="2"/>
    <s v="Edmond"/>
    <x v="14"/>
    <x v="1"/>
    <x v="1140"/>
    <x v="0"/>
    <x v="8"/>
    <n v="14.62"/>
  </r>
  <r>
    <x v="2"/>
    <n v="113138"/>
    <x v="414"/>
    <s v="25/11/2017"/>
    <s v="Standard Class"/>
    <s v="Nora Pelletier"/>
    <x v="519"/>
    <s v="Yes"/>
    <x v="1"/>
    <s v="Niagara Falls"/>
    <x v="3"/>
    <x v="0"/>
    <x v="1141"/>
    <x v="0"/>
    <x v="0"/>
    <n v="17.28"/>
  </r>
  <r>
    <x v="3"/>
    <n v="141768"/>
    <x v="598"/>
    <s v="27/05/2016"/>
    <s v="Second Class"/>
    <s v="Nora Pelletier"/>
    <x v="519"/>
    <s v="Yes"/>
    <x v="1"/>
    <s v="San Francisco"/>
    <x v="5"/>
    <x v="3"/>
    <x v="750"/>
    <x v="2"/>
    <x v="6"/>
    <n v="14.73"/>
  </r>
  <r>
    <x v="2"/>
    <n v="125094"/>
    <x v="46"/>
    <s v="09/11/2017"/>
    <s v="Standard Class"/>
    <s v="Nora Preis"/>
    <x v="520"/>
    <s v="Yes"/>
    <x v="2"/>
    <s v="Seattle"/>
    <x v="15"/>
    <x v="3"/>
    <x v="1142"/>
    <x v="1"/>
    <x v="4"/>
    <n v="479.72"/>
  </r>
  <r>
    <x v="1"/>
    <n v="168494"/>
    <x v="741"/>
    <s v="14/12/2015"/>
    <s v="Second Class"/>
    <s v="Nora Preis"/>
    <x v="520"/>
    <s v="Yes"/>
    <x v="2"/>
    <s v="Fresno"/>
    <x v="5"/>
    <x v="3"/>
    <x v="1143"/>
    <x v="2"/>
    <x v="14"/>
    <n v="764.68799999999999"/>
  </r>
  <r>
    <x v="3"/>
    <n v="161466"/>
    <x v="377"/>
    <s v="27/09/2016"/>
    <s v="Second Class"/>
    <s v="Odella Nelson"/>
    <x v="521"/>
    <s v="Yes"/>
    <x v="0"/>
    <s v="Philadelphia"/>
    <x v="0"/>
    <x v="0"/>
    <x v="1144"/>
    <x v="0"/>
    <x v="0"/>
    <n v="6.8479999999999999"/>
  </r>
  <r>
    <x v="1"/>
    <n v="140039"/>
    <x v="337"/>
    <s v="17/09/2015"/>
    <s v="Standard Class"/>
    <s v="Odella Nelson"/>
    <x v="521"/>
    <s v="Yes"/>
    <x v="0"/>
    <s v="Tempe"/>
    <x v="13"/>
    <x v="3"/>
    <x v="1145"/>
    <x v="0"/>
    <x v="3"/>
    <n v="79.400000000000006"/>
  </r>
  <r>
    <x v="2"/>
    <n v="118255"/>
    <x v="742"/>
    <s v="13/03/2017"/>
    <s v="First Class"/>
    <s v="Odella Nelson"/>
    <x v="521"/>
    <s v="Yes"/>
    <x v="0"/>
    <s v="Eagan"/>
    <x v="26"/>
    <x v="1"/>
    <x v="1146"/>
    <x v="1"/>
    <x v="4"/>
    <n v="45.98"/>
  </r>
  <r>
    <x v="2"/>
    <n v="151862"/>
    <x v="743"/>
    <s v="08/03/2017"/>
    <s v="Standard Class"/>
    <s v="Odella Nelson"/>
    <x v="521"/>
    <s v="Yes"/>
    <x v="0"/>
    <s v="Denver"/>
    <x v="20"/>
    <x v="3"/>
    <x v="484"/>
    <x v="1"/>
    <x v="9"/>
    <n v="159.98400000000001"/>
  </r>
  <r>
    <x v="0"/>
    <n v="115364"/>
    <x v="267"/>
    <s v="02/07/2018"/>
    <s v="Standard Class"/>
    <s v="Olvera Toch"/>
    <x v="522"/>
    <s v="Yes"/>
    <x v="2"/>
    <s v="San Diego"/>
    <x v="5"/>
    <x v="3"/>
    <x v="1147"/>
    <x v="0"/>
    <x v="3"/>
    <n v="83.76"/>
  </r>
  <r>
    <x v="2"/>
    <n v="113243"/>
    <x v="744"/>
    <s v="15/06/2017"/>
    <s v="Standard Class"/>
    <s v="Olvera Toch"/>
    <x v="522"/>
    <s v="Yes"/>
    <x v="2"/>
    <s v="Los Angeles"/>
    <x v="5"/>
    <x v="3"/>
    <x v="1148"/>
    <x v="0"/>
    <x v="8"/>
    <n v="20.7"/>
  </r>
  <r>
    <x v="2"/>
    <n v="105494"/>
    <x v="292"/>
    <s v="12/11/2017"/>
    <s v="First Class"/>
    <s v="Pamela Coakley"/>
    <x v="523"/>
    <s v="No"/>
    <x v="0"/>
    <s v="San Francisco"/>
    <x v="5"/>
    <x v="3"/>
    <x v="1149"/>
    <x v="0"/>
    <x v="3"/>
    <n v="155.82"/>
  </r>
  <r>
    <x v="0"/>
    <n v="161018"/>
    <x v="203"/>
    <s v="11/11/2018"/>
    <s v="Second Class"/>
    <s v="Parhena Norris"/>
    <x v="524"/>
    <s v="Yes"/>
    <x v="1"/>
    <s v="New York City"/>
    <x v="3"/>
    <x v="0"/>
    <x v="1150"/>
    <x v="2"/>
    <x v="6"/>
    <n v="96.53"/>
  </r>
  <r>
    <x v="0"/>
    <n v="148768"/>
    <x v="509"/>
    <s v="02/12/2018"/>
    <s v="Second Class"/>
    <s v="Parhena Norris"/>
    <x v="524"/>
    <s v="Yes"/>
    <x v="1"/>
    <s v="Miami"/>
    <x v="17"/>
    <x v="2"/>
    <x v="1151"/>
    <x v="1"/>
    <x v="9"/>
    <n v="71.975999999999999"/>
  </r>
  <r>
    <x v="2"/>
    <n v="118780"/>
    <x v="242"/>
    <s v="14/09/2017"/>
    <s v="Second Class"/>
    <s v="Parhena Norris"/>
    <x v="524"/>
    <s v="Yes"/>
    <x v="1"/>
    <s v="New York City"/>
    <x v="3"/>
    <x v="0"/>
    <x v="1152"/>
    <x v="0"/>
    <x v="3"/>
    <n v="59.48"/>
  </r>
  <r>
    <x v="0"/>
    <n v="113558"/>
    <x v="730"/>
    <s v="26/10/2018"/>
    <s v="Standard Class"/>
    <s v="Patricia Hirasaki"/>
    <x v="525"/>
    <s v="No"/>
    <x v="1"/>
    <s v="Lakeland"/>
    <x v="17"/>
    <x v="2"/>
    <x v="1153"/>
    <x v="2"/>
    <x v="10"/>
    <n v="683.952"/>
  </r>
  <r>
    <x v="2"/>
    <n v="125738"/>
    <x v="324"/>
    <s v="21/10/2017"/>
    <s v="Standard Class"/>
    <s v="Patrick Bzostek"/>
    <x v="526"/>
    <s v="No"/>
    <x v="1"/>
    <s v="Salt Lake City"/>
    <x v="19"/>
    <x v="3"/>
    <x v="1154"/>
    <x v="0"/>
    <x v="2"/>
    <n v="45.68"/>
  </r>
  <r>
    <x v="1"/>
    <n v="102071"/>
    <x v="745"/>
    <s v="15/05/2015"/>
    <s v="Standard Class"/>
    <s v="Patrick Gardner"/>
    <x v="527"/>
    <s v="Yes"/>
    <x v="2"/>
    <s v="San Francisco"/>
    <x v="5"/>
    <x v="3"/>
    <x v="78"/>
    <x v="1"/>
    <x v="4"/>
    <n v="67.8"/>
  </r>
  <r>
    <x v="2"/>
    <n v="162859"/>
    <x v="746"/>
    <s v="22/02/2017"/>
    <s v="Standard Class"/>
    <s v="Patrick Gardner"/>
    <x v="527"/>
    <s v="Yes"/>
    <x v="2"/>
    <s v="New York City"/>
    <x v="3"/>
    <x v="0"/>
    <x v="745"/>
    <x v="0"/>
    <x v="7"/>
    <n v="398.35199999999998"/>
  </r>
  <r>
    <x v="2"/>
    <n v="144344"/>
    <x v="45"/>
    <s v="28/10/2017"/>
    <s v="Same Day"/>
    <s v="Patrick Gardner"/>
    <x v="527"/>
    <s v="Yes"/>
    <x v="2"/>
    <s v="Boynton Beach"/>
    <x v="17"/>
    <x v="2"/>
    <x v="1155"/>
    <x v="2"/>
    <x v="6"/>
    <n v="47.951999999999998"/>
  </r>
  <r>
    <x v="2"/>
    <n v="106306"/>
    <x v="747"/>
    <s v="08/03/2017"/>
    <s v="Same Day"/>
    <s v="Patrick Gardner"/>
    <x v="527"/>
    <s v="Yes"/>
    <x v="2"/>
    <s v="Glendale"/>
    <x v="13"/>
    <x v="3"/>
    <x v="1156"/>
    <x v="0"/>
    <x v="7"/>
    <n v="9.702"/>
  </r>
  <r>
    <x v="3"/>
    <n v="137897"/>
    <x v="692"/>
    <s v="19/11/2016"/>
    <s v="Standard Class"/>
    <s v="Patrick Jones"/>
    <x v="528"/>
    <s v="Yes"/>
    <x v="0"/>
    <s v="New York City"/>
    <x v="3"/>
    <x v="0"/>
    <x v="1157"/>
    <x v="1"/>
    <x v="4"/>
    <n v="37.6"/>
  </r>
  <r>
    <x v="2"/>
    <n v="112676"/>
    <x v="139"/>
    <s v="08/05/2017"/>
    <s v="First Class"/>
    <s v="Patrick Jones"/>
    <x v="528"/>
    <s v="Yes"/>
    <x v="0"/>
    <s v="Murfreesboro"/>
    <x v="18"/>
    <x v="2"/>
    <x v="528"/>
    <x v="0"/>
    <x v="2"/>
    <n v="14.352"/>
  </r>
  <r>
    <x v="3"/>
    <n v="154746"/>
    <x v="692"/>
    <s v="17/11/2016"/>
    <s v="First Class"/>
    <s v="Patrick Jones"/>
    <x v="528"/>
    <s v="Yes"/>
    <x v="0"/>
    <s v="Springfield"/>
    <x v="4"/>
    <x v="2"/>
    <x v="1158"/>
    <x v="0"/>
    <x v="16"/>
    <n v="33.96"/>
  </r>
  <r>
    <x v="0"/>
    <n v="103009"/>
    <x v="346"/>
    <s v="05/11/2018"/>
    <s v="Second Class"/>
    <s v="Patrick Jones"/>
    <x v="528"/>
    <s v="Yes"/>
    <x v="0"/>
    <s v="Richmond"/>
    <x v="12"/>
    <x v="2"/>
    <x v="566"/>
    <x v="0"/>
    <x v="2"/>
    <n v="26.4"/>
  </r>
  <r>
    <x v="0"/>
    <n v="129021"/>
    <x v="748"/>
    <s v="26/08/2018"/>
    <s v="Second Class"/>
    <s v="Patrick O'Brill"/>
    <x v="529"/>
    <s v="Yes"/>
    <x v="2"/>
    <s v="Tallahassee"/>
    <x v="17"/>
    <x v="2"/>
    <x v="1159"/>
    <x v="1"/>
    <x v="9"/>
    <n v="4367.8959999999997"/>
  </r>
  <r>
    <x v="0"/>
    <n v="106705"/>
    <x v="749"/>
    <s v="01/01/2019"/>
    <s v="Standard Class"/>
    <s v="Patrick O'Brill"/>
    <x v="529"/>
    <s v="Yes"/>
    <x v="2"/>
    <s v="Burlington"/>
    <x v="32"/>
    <x v="1"/>
    <x v="1005"/>
    <x v="0"/>
    <x v="2"/>
    <n v="44.75"/>
  </r>
  <r>
    <x v="2"/>
    <n v="141544"/>
    <x v="750"/>
    <s v="01/09/2017"/>
    <s v="First Class"/>
    <s v="Patrick O'Brill"/>
    <x v="529"/>
    <s v="Yes"/>
    <x v="2"/>
    <s v="Philadelphia"/>
    <x v="0"/>
    <x v="0"/>
    <x v="1160"/>
    <x v="1"/>
    <x v="9"/>
    <n v="290.89800000000002"/>
  </r>
  <r>
    <x v="0"/>
    <n v="149853"/>
    <x v="67"/>
    <s v="09/10/2018"/>
    <s v="Standard Class"/>
    <s v="Patrick O'Brill"/>
    <x v="529"/>
    <s v="Yes"/>
    <x v="2"/>
    <s v="Hialeah"/>
    <x v="17"/>
    <x v="2"/>
    <x v="1161"/>
    <x v="0"/>
    <x v="2"/>
    <n v="15.552"/>
  </r>
  <r>
    <x v="0"/>
    <n v="143259"/>
    <x v="290"/>
    <s v="03/01/2019"/>
    <s v="Standard Class"/>
    <s v="Patrick O'Donnell"/>
    <x v="530"/>
    <s v="Yes"/>
    <x v="2"/>
    <s v="New York City"/>
    <x v="3"/>
    <x v="0"/>
    <x v="78"/>
    <x v="2"/>
    <x v="13"/>
    <n v="323.13600000000002"/>
  </r>
  <r>
    <x v="0"/>
    <n v="140088"/>
    <x v="751"/>
    <s v="30/05/2018"/>
    <s v="Second Class"/>
    <s v="Patrick O'Donnell"/>
    <x v="530"/>
    <s v="Yes"/>
    <x v="2"/>
    <s v="Columbia"/>
    <x v="40"/>
    <x v="2"/>
    <x v="1162"/>
    <x v="2"/>
    <x v="10"/>
    <n v="301.95999999999998"/>
  </r>
  <r>
    <x v="1"/>
    <n v="146703"/>
    <x v="752"/>
    <s v="25/10/2015"/>
    <s v="Second Class"/>
    <s v="Patrick O'Donnell"/>
    <x v="530"/>
    <s v="Yes"/>
    <x v="2"/>
    <s v="Westland"/>
    <x v="34"/>
    <x v="1"/>
    <x v="1163"/>
    <x v="0"/>
    <x v="3"/>
    <n v="211.96"/>
  </r>
  <r>
    <x v="3"/>
    <n v="110261"/>
    <x v="549"/>
    <s v="23/12/2016"/>
    <s v="Second Class"/>
    <s v="Patrick Ryan"/>
    <x v="531"/>
    <s v="No"/>
    <x v="2"/>
    <s v="Glenview"/>
    <x v="10"/>
    <x v="1"/>
    <x v="1164"/>
    <x v="1"/>
    <x v="9"/>
    <n v="158.376"/>
  </r>
  <r>
    <x v="1"/>
    <n v="103849"/>
    <x v="507"/>
    <s v="16/05/2015"/>
    <s v="Standard Class"/>
    <s v="Paul Gonzalez"/>
    <x v="532"/>
    <s v="Yes"/>
    <x v="2"/>
    <s v="Fort Worth"/>
    <x v="1"/>
    <x v="1"/>
    <x v="1165"/>
    <x v="1"/>
    <x v="4"/>
    <n v="58.112000000000002"/>
  </r>
  <r>
    <x v="0"/>
    <n v="135986"/>
    <x v="559"/>
    <s v="27/06/2018"/>
    <s v="Standard Class"/>
    <s v="Paul Gonzalez"/>
    <x v="532"/>
    <s v="Yes"/>
    <x v="2"/>
    <s v="Richmond"/>
    <x v="4"/>
    <x v="2"/>
    <x v="1166"/>
    <x v="0"/>
    <x v="2"/>
    <n v="32.4"/>
  </r>
  <r>
    <x v="2"/>
    <n v="111010"/>
    <x v="109"/>
    <s v="28/01/2017"/>
    <s v="Standard Class"/>
    <s v="Paul Gonzalez"/>
    <x v="532"/>
    <s v="Yes"/>
    <x v="2"/>
    <s v="Morristown"/>
    <x v="35"/>
    <x v="0"/>
    <x v="1167"/>
    <x v="0"/>
    <x v="15"/>
    <n v="7.56"/>
  </r>
  <r>
    <x v="2"/>
    <n v="147578"/>
    <x v="426"/>
    <s v="26/04/2017"/>
    <s v="Second Class"/>
    <s v="Paul Gonzalez"/>
    <x v="532"/>
    <s v="Yes"/>
    <x v="2"/>
    <s v="San Francisco"/>
    <x v="5"/>
    <x v="3"/>
    <x v="1054"/>
    <x v="2"/>
    <x v="6"/>
    <n v="31.56"/>
  </r>
  <r>
    <x v="0"/>
    <n v="155558"/>
    <x v="753"/>
    <s v="02/11/2018"/>
    <s v="Standard Class"/>
    <s v="Paul Gonzalez"/>
    <x v="532"/>
    <s v="Yes"/>
    <x v="2"/>
    <s v="Rochester"/>
    <x v="26"/>
    <x v="1"/>
    <x v="1168"/>
    <x v="1"/>
    <x v="4"/>
    <n v="19.989999999999998"/>
  </r>
  <r>
    <x v="2"/>
    <n v="158099"/>
    <x v="556"/>
    <s v="05/09/2017"/>
    <s v="First Class"/>
    <s v="Paul Knutson"/>
    <x v="533"/>
    <s v="Yes"/>
    <x v="1"/>
    <s v="Philadelphia"/>
    <x v="0"/>
    <x v="0"/>
    <x v="1169"/>
    <x v="0"/>
    <x v="7"/>
    <n v="1141.47"/>
  </r>
  <r>
    <x v="1"/>
    <n v="105172"/>
    <x v="754"/>
    <s v="09/04/2015"/>
    <s v="Standard Class"/>
    <s v="Paul Knutson"/>
    <x v="533"/>
    <s v="Yes"/>
    <x v="1"/>
    <s v="San Francisco"/>
    <x v="5"/>
    <x v="3"/>
    <x v="1170"/>
    <x v="0"/>
    <x v="8"/>
    <n v="18.899999999999999"/>
  </r>
  <r>
    <x v="2"/>
    <n v="113509"/>
    <x v="755"/>
    <s v="19/03/2017"/>
    <s v="Standard Class"/>
    <s v="Paul Lucas"/>
    <x v="534"/>
    <s v="Yes"/>
    <x v="1"/>
    <s v="Philadelphia"/>
    <x v="0"/>
    <x v="0"/>
    <x v="1171"/>
    <x v="1"/>
    <x v="4"/>
    <n v="83.975999999999999"/>
  </r>
  <r>
    <x v="0"/>
    <n v="109946"/>
    <x v="427"/>
    <s v="21/04/2018"/>
    <s v="Standard Class"/>
    <s v="Paul Lucas"/>
    <x v="534"/>
    <s v="Yes"/>
    <x v="1"/>
    <s v="Chicago"/>
    <x v="10"/>
    <x v="1"/>
    <x v="1172"/>
    <x v="0"/>
    <x v="0"/>
    <n v="16.52"/>
  </r>
  <r>
    <x v="0"/>
    <n v="165757"/>
    <x v="336"/>
    <s v="28/06/2018"/>
    <s v="Standard Class"/>
    <s v="Paul Lucas"/>
    <x v="534"/>
    <s v="Yes"/>
    <x v="1"/>
    <s v="Philadelphia"/>
    <x v="0"/>
    <x v="0"/>
    <x v="1173"/>
    <x v="0"/>
    <x v="7"/>
    <n v="10.332000000000001"/>
  </r>
  <r>
    <x v="0"/>
    <n v="117401"/>
    <x v="756"/>
    <s v="22/05/2018"/>
    <s v="Second Class"/>
    <s v="Paul Prost"/>
    <x v="535"/>
    <s v="Yes"/>
    <x v="1"/>
    <s v="Springfield"/>
    <x v="9"/>
    <x v="1"/>
    <x v="1174"/>
    <x v="0"/>
    <x v="12"/>
    <n v="706.86"/>
  </r>
  <r>
    <x v="2"/>
    <n v="108504"/>
    <x v="757"/>
    <s v="05/02/2017"/>
    <s v="Same Day"/>
    <s v="Paul Prost"/>
    <x v="535"/>
    <s v="Yes"/>
    <x v="1"/>
    <s v="Smyrna"/>
    <x v="7"/>
    <x v="2"/>
    <x v="1175"/>
    <x v="0"/>
    <x v="3"/>
    <n v="80.98"/>
  </r>
  <r>
    <x v="2"/>
    <n v="161158"/>
    <x v="594"/>
    <s v="13/05/2017"/>
    <s v="Standard Class"/>
    <s v="Paul Stevenson"/>
    <x v="536"/>
    <s v="Yes"/>
    <x v="1"/>
    <s v="New York City"/>
    <x v="3"/>
    <x v="0"/>
    <x v="1176"/>
    <x v="0"/>
    <x v="0"/>
    <n v="8"/>
  </r>
  <r>
    <x v="3"/>
    <n v="164175"/>
    <x v="758"/>
    <s v="05/05/2016"/>
    <s v="Standard Class"/>
    <s v="Paul Stevenson"/>
    <x v="536"/>
    <s v="Yes"/>
    <x v="1"/>
    <s v="Chicago"/>
    <x v="10"/>
    <x v="1"/>
    <x v="1177"/>
    <x v="2"/>
    <x v="10"/>
    <n v="213.11500000000001"/>
  </r>
  <r>
    <x v="0"/>
    <n v="105914"/>
    <x v="152"/>
    <s v="08/10/2018"/>
    <s v="Standard Class"/>
    <s v="Paul Van Hugh"/>
    <x v="537"/>
    <s v="Yes"/>
    <x v="1"/>
    <s v="Los Angeles"/>
    <x v="5"/>
    <x v="3"/>
    <x v="1178"/>
    <x v="0"/>
    <x v="7"/>
    <n v="112.12"/>
  </r>
  <r>
    <x v="2"/>
    <n v="107216"/>
    <x v="420"/>
    <s v="17/06/2017"/>
    <s v="First Class"/>
    <s v="Paul Van Hugh"/>
    <x v="537"/>
    <s v="Yes"/>
    <x v="1"/>
    <s v="San Francisco"/>
    <x v="5"/>
    <x v="3"/>
    <x v="183"/>
    <x v="0"/>
    <x v="0"/>
    <n v="7.04"/>
  </r>
  <r>
    <x v="2"/>
    <n v="119025"/>
    <x v="759"/>
    <s v="28/02/2017"/>
    <s v="Standard Class"/>
    <s v="Paul Van Hugh"/>
    <x v="537"/>
    <s v="Yes"/>
    <x v="1"/>
    <s v="Milwaukee"/>
    <x v="29"/>
    <x v="1"/>
    <x v="1179"/>
    <x v="0"/>
    <x v="12"/>
    <n v="490.32"/>
  </r>
  <r>
    <x v="3"/>
    <n v="153388"/>
    <x v="760"/>
    <s v="07/08/2016"/>
    <s v="Standard Class"/>
    <s v="Pauline Chand"/>
    <x v="538"/>
    <s v="No"/>
    <x v="1"/>
    <s v="Los Angeles"/>
    <x v="5"/>
    <x v="3"/>
    <x v="1180"/>
    <x v="0"/>
    <x v="0"/>
    <n v="6.72"/>
  </r>
  <r>
    <x v="0"/>
    <n v="151218"/>
    <x v="559"/>
    <s v="23/06/2018"/>
    <s v="First Class"/>
    <s v="Pauline Johnson"/>
    <x v="539"/>
    <s v="No"/>
    <x v="2"/>
    <s v="Miami"/>
    <x v="17"/>
    <x v="2"/>
    <x v="1181"/>
    <x v="0"/>
    <x v="3"/>
    <n v="4.4640000000000004"/>
  </r>
  <r>
    <x v="0"/>
    <n v="117695"/>
    <x v="734"/>
    <s v="08/08/2018"/>
    <s v="First Class"/>
    <s v="Pauline Webber"/>
    <x v="540"/>
    <s v="No"/>
    <x v="0"/>
    <s v="Richmond"/>
    <x v="12"/>
    <x v="2"/>
    <x v="1182"/>
    <x v="0"/>
    <x v="2"/>
    <n v="13.76"/>
  </r>
  <r>
    <x v="0"/>
    <n v="160423"/>
    <x v="355"/>
    <s v="26/01/2018"/>
    <s v="Standard Class"/>
    <s v="Penelope Sewall"/>
    <x v="541"/>
    <s v="Yes"/>
    <x v="1"/>
    <s v="Charlotte"/>
    <x v="2"/>
    <x v="2"/>
    <x v="1183"/>
    <x v="0"/>
    <x v="3"/>
    <n v="348.20800000000003"/>
  </r>
  <r>
    <x v="1"/>
    <n v="136567"/>
    <x v="14"/>
    <s v="21/12/2015"/>
    <s v="First Class"/>
    <s v="Penelope Sewall"/>
    <x v="541"/>
    <s v="Yes"/>
    <x v="1"/>
    <s v="Harrisonburg"/>
    <x v="4"/>
    <x v="2"/>
    <x v="1184"/>
    <x v="0"/>
    <x v="3"/>
    <n v="122.48"/>
  </r>
  <r>
    <x v="3"/>
    <n v="105970"/>
    <x v="362"/>
    <s v="07/03/2016"/>
    <s v="Standard Class"/>
    <s v="Pete Armstrong"/>
    <x v="542"/>
    <s v="Yes"/>
    <x v="1"/>
    <s v="Richmond"/>
    <x v="11"/>
    <x v="1"/>
    <x v="1185"/>
    <x v="0"/>
    <x v="0"/>
    <n v="10.16"/>
  </r>
  <r>
    <x v="3"/>
    <n v="129476"/>
    <x v="502"/>
    <s v="20/10/2016"/>
    <s v="Standard Class"/>
    <s v="Pete Armstrong"/>
    <x v="542"/>
    <s v="Yes"/>
    <x v="1"/>
    <s v="Orland Park"/>
    <x v="10"/>
    <x v="1"/>
    <x v="1186"/>
    <x v="1"/>
    <x v="4"/>
    <n v="339.96"/>
  </r>
  <r>
    <x v="2"/>
    <n v="117387"/>
    <x v="761"/>
    <s v="31/10/2017"/>
    <s v="Standard Class"/>
    <s v="Pete Armstrong"/>
    <x v="542"/>
    <s v="Yes"/>
    <x v="1"/>
    <s v="San Francisco"/>
    <x v="5"/>
    <x v="3"/>
    <x v="1187"/>
    <x v="0"/>
    <x v="7"/>
    <n v="67.135999999999996"/>
  </r>
  <r>
    <x v="1"/>
    <n v="148761"/>
    <x v="762"/>
    <s v="21/05/2015"/>
    <s v="Standard Class"/>
    <s v="Pete Armstrong"/>
    <x v="542"/>
    <s v="Yes"/>
    <x v="1"/>
    <s v="Eau Claire"/>
    <x v="29"/>
    <x v="1"/>
    <x v="1188"/>
    <x v="0"/>
    <x v="7"/>
    <n v="91.68"/>
  </r>
  <r>
    <x v="0"/>
    <n v="147753"/>
    <x v="763"/>
    <s v="05/03/2018"/>
    <s v="Same Day"/>
    <s v="Pete Kriz"/>
    <x v="543"/>
    <s v="Yes"/>
    <x v="2"/>
    <s v="Milwaukee"/>
    <x v="29"/>
    <x v="1"/>
    <x v="1189"/>
    <x v="0"/>
    <x v="8"/>
    <n v="25.06"/>
  </r>
  <r>
    <x v="2"/>
    <n v="115756"/>
    <x v="402"/>
    <s v="07/09/2017"/>
    <s v="Second Class"/>
    <s v="Pete Kriz"/>
    <x v="543"/>
    <s v="Yes"/>
    <x v="2"/>
    <s v="Detroit"/>
    <x v="34"/>
    <x v="1"/>
    <x v="516"/>
    <x v="2"/>
    <x v="6"/>
    <n v="12.22"/>
  </r>
  <r>
    <x v="1"/>
    <n v="105893"/>
    <x v="764"/>
    <s v="18/11/2015"/>
    <s v="Standard Class"/>
    <s v="Pete Kriz"/>
    <x v="543"/>
    <s v="Yes"/>
    <x v="2"/>
    <s v="Madison"/>
    <x v="29"/>
    <x v="1"/>
    <x v="1190"/>
    <x v="0"/>
    <x v="3"/>
    <n v="665.88"/>
  </r>
  <r>
    <x v="1"/>
    <n v="150924"/>
    <x v="186"/>
    <s v="16/09/2015"/>
    <s v="Second Class"/>
    <s v="Pete Takahito"/>
    <x v="544"/>
    <s v="No"/>
    <x v="2"/>
    <s v="Houston"/>
    <x v="1"/>
    <x v="1"/>
    <x v="611"/>
    <x v="0"/>
    <x v="7"/>
    <n v="5.18"/>
  </r>
  <r>
    <x v="2"/>
    <n v="150889"/>
    <x v="765"/>
    <s v="22/03/2017"/>
    <s v="Second Class"/>
    <s v="Peter Bühler"/>
    <x v="545"/>
    <s v="Yes"/>
    <x v="2"/>
    <s v="Evanston"/>
    <x v="10"/>
    <x v="1"/>
    <x v="1191"/>
    <x v="1"/>
    <x v="9"/>
    <n v="11.992000000000001"/>
  </r>
  <r>
    <x v="1"/>
    <n v="128888"/>
    <x v="766"/>
    <s v="22/11/2015"/>
    <s v="Standard Class"/>
    <s v="Peter Bühler"/>
    <x v="545"/>
    <s v="Yes"/>
    <x v="2"/>
    <s v="Houston"/>
    <x v="1"/>
    <x v="1"/>
    <x v="1006"/>
    <x v="0"/>
    <x v="16"/>
    <n v="604.65599999999995"/>
  </r>
  <r>
    <x v="3"/>
    <n v="129896"/>
    <x v="69"/>
    <s v="20/06/2016"/>
    <s v="Standard Class"/>
    <s v="Peter Fuller"/>
    <x v="546"/>
    <s v="Yes"/>
    <x v="2"/>
    <s v="Gilbert"/>
    <x v="13"/>
    <x v="3"/>
    <x v="1192"/>
    <x v="0"/>
    <x v="2"/>
    <n v="9.5679999999999996"/>
  </r>
  <r>
    <x v="3"/>
    <n v="140025"/>
    <x v="767"/>
    <s v="11/04/2016"/>
    <s v="Standard Class"/>
    <s v="Peter Fuller"/>
    <x v="546"/>
    <s v="Yes"/>
    <x v="2"/>
    <s v="San Antonio"/>
    <x v="1"/>
    <x v="1"/>
    <x v="1193"/>
    <x v="0"/>
    <x v="12"/>
    <n v="463.24799999999999"/>
  </r>
  <r>
    <x v="2"/>
    <n v="149685"/>
    <x v="147"/>
    <s v="15/10/2017"/>
    <s v="Standard Class"/>
    <s v="Peter McVee"/>
    <x v="547"/>
    <s v="No"/>
    <x v="1"/>
    <s v="San Antonio"/>
    <x v="1"/>
    <x v="1"/>
    <x v="1194"/>
    <x v="0"/>
    <x v="8"/>
    <n v="60.143999999999998"/>
  </r>
  <r>
    <x v="3"/>
    <n v="167269"/>
    <x v="670"/>
    <s v="20/06/2016"/>
    <s v="Standard Class"/>
    <s v="Philip Brown"/>
    <x v="548"/>
    <s v="Yes"/>
    <x v="2"/>
    <s v="Philadelphia"/>
    <x v="0"/>
    <x v="0"/>
    <x v="682"/>
    <x v="0"/>
    <x v="16"/>
    <n v="6.2080000000000002"/>
  </r>
  <r>
    <x v="2"/>
    <n v="148796"/>
    <x v="768"/>
    <s v="18/04/2017"/>
    <s v="Standard Class"/>
    <s v="Philip Brown"/>
    <x v="548"/>
    <s v="Yes"/>
    <x v="2"/>
    <s v="Los Angeles"/>
    <x v="5"/>
    <x v="3"/>
    <x v="1195"/>
    <x v="2"/>
    <x v="10"/>
    <n v="383.8"/>
  </r>
  <r>
    <x v="1"/>
    <n v="150532"/>
    <x v="769"/>
    <s v="21/07/2015"/>
    <s v="Standard Class"/>
    <s v="Philip Brown"/>
    <x v="548"/>
    <s v="Yes"/>
    <x v="2"/>
    <s v="Phoenix"/>
    <x v="13"/>
    <x v="3"/>
    <x v="1196"/>
    <x v="0"/>
    <x v="3"/>
    <n v="55.92"/>
  </r>
  <r>
    <x v="1"/>
    <n v="134614"/>
    <x v="405"/>
    <s v="25/09/2015"/>
    <s v="Standard Class"/>
    <s v="Philip Fox"/>
    <x v="549"/>
    <s v="Yes"/>
    <x v="2"/>
    <s v="Bloomington"/>
    <x v="10"/>
    <x v="1"/>
    <x v="1197"/>
    <x v="2"/>
    <x v="14"/>
    <n v="617.70000000000005"/>
  </r>
  <r>
    <x v="3"/>
    <n v="101707"/>
    <x v="770"/>
    <s v="01/09/2016"/>
    <s v="Standard Class"/>
    <s v="Philip Fox"/>
    <x v="549"/>
    <s v="Yes"/>
    <x v="2"/>
    <s v="San Diego"/>
    <x v="5"/>
    <x v="3"/>
    <x v="1198"/>
    <x v="0"/>
    <x v="5"/>
    <n v="32.94"/>
  </r>
  <r>
    <x v="3"/>
    <n v="111458"/>
    <x v="217"/>
    <s v="30/09/2016"/>
    <s v="Standard Class"/>
    <s v="Philip Fox"/>
    <x v="549"/>
    <s v="Yes"/>
    <x v="2"/>
    <s v="New York City"/>
    <x v="3"/>
    <x v="0"/>
    <x v="51"/>
    <x v="1"/>
    <x v="4"/>
    <n v="50"/>
  </r>
  <r>
    <x v="2"/>
    <n v="151148"/>
    <x v="110"/>
    <s v="13/09/2017"/>
    <s v="Same Day"/>
    <s v="Philisse Overcash"/>
    <x v="550"/>
    <s v="Yes"/>
    <x v="1"/>
    <s v="Louisville"/>
    <x v="20"/>
    <x v="3"/>
    <x v="486"/>
    <x v="1"/>
    <x v="9"/>
    <n v="146.952"/>
  </r>
  <r>
    <x v="3"/>
    <n v="156797"/>
    <x v="771"/>
    <s v="15/08/2016"/>
    <s v="Standard Class"/>
    <s v="Philisse Overcash"/>
    <x v="550"/>
    <s v="Yes"/>
    <x v="1"/>
    <s v="New York City"/>
    <x v="3"/>
    <x v="0"/>
    <x v="1199"/>
    <x v="0"/>
    <x v="0"/>
    <n v="11.96"/>
  </r>
  <r>
    <x v="2"/>
    <n v="147375"/>
    <x v="319"/>
    <s v="14/06/2017"/>
    <s v="Second Class"/>
    <s v="Philisse Overcash"/>
    <x v="550"/>
    <s v="Yes"/>
    <x v="1"/>
    <s v="Chicago"/>
    <x v="10"/>
    <x v="1"/>
    <x v="730"/>
    <x v="1"/>
    <x v="1"/>
    <n v="1007.979"/>
  </r>
  <r>
    <x v="3"/>
    <n v="156335"/>
    <x v="96"/>
    <s v="28/09/2016"/>
    <s v="Second Class"/>
    <s v="Phillina Ober"/>
    <x v="551"/>
    <s v="Yes"/>
    <x v="1"/>
    <s v="Bayonne"/>
    <x v="35"/>
    <x v="0"/>
    <x v="1200"/>
    <x v="1"/>
    <x v="4"/>
    <n v="63.96"/>
  </r>
  <r>
    <x v="1"/>
    <n v="112326"/>
    <x v="772"/>
    <s v="08/01/2015"/>
    <s v="Standard Class"/>
    <s v="Phillina Ober"/>
    <x v="551"/>
    <s v="Yes"/>
    <x v="1"/>
    <s v="Naperville"/>
    <x v="10"/>
    <x v="1"/>
    <x v="1201"/>
    <x v="0"/>
    <x v="8"/>
    <n v="11.784000000000001"/>
  </r>
  <r>
    <x v="2"/>
    <n v="164938"/>
    <x v="773"/>
    <s v="13/02/2017"/>
    <s v="First Class"/>
    <s v="Phillip Breyer"/>
    <x v="552"/>
    <s v="No"/>
    <x v="0"/>
    <s v="Tulsa"/>
    <x v="14"/>
    <x v="1"/>
    <x v="1202"/>
    <x v="1"/>
    <x v="9"/>
    <n v="69.930000000000007"/>
  </r>
  <r>
    <x v="2"/>
    <n v="114972"/>
    <x v="304"/>
    <s v="06/11/2017"/>
    <s v="First Class"/>
    <s v="Phillip Flathmann"/>
    <x v="553"/>
    <s v="Yes"/>
    <x v="2"/>
    <s v="Los Angeles"/>
    <x v="5"/>
    <x v="3"/>
    <x v="1203"/>
    <x v="2"/>
    <x v="10"/>
    <n v="217.584"/>
  </r>
  <r>
    <x v="0"/>
    <n v="110380"/>
    <x v="178"/>
    <s v="07/09/2018"/>
    <s v="Standard Class"/>
    <s v="Phillip Flathmann"/>
    <x v="553"/>
    <s v="Yes"/>
    <x v="2"/>
    <s v="San Francisco"/>
    <x v="5"/>
    <x v="3"/>
    <x v="829"/>
    <x v="0"/>
    <x v="0"/>
    <n v="6.57"/>
  </r>
  <r>
    <x v="2"/>
    <n v="120257"/>
    <x v="774"/>
    <s v="28/09/2017"/>
    <s v="Standard Class"/>
    <s v="Pierre Wener"/>
    <x v="554"/>
    <s v="Yes"/>
    <x v="2"/>
    <s v="Philadelphia"/>
    <x v="0"/>
    <x v="0"/>
    <x v="1204"/>
    <x v="0"/>
    <x v="0"/>
    <n v="7.8719999999999999"/>
  </r>
  <r>
    <x v="1"/>
    <n v="164210"/>
    <x v="84"/>
    <s v="20/11/2015"/>
    <s v="Second Class"/>
    <s v="Pierre Wener"/>
    <x v="554"/>
    <s v="Yes"/>
    <x v="2"/>
    <s v="Louisville"/>
    <x v="20"/>
    <x v="3"/>
    <x v="1205"/>
    <x v="2"/>
    <x v="14"/>
    <n v="145.97999999999999"/>
  </r>
  <r>
    <x v="2"/>
    <n v="131891"/>
    <x v="775"/>
    <s v="31/07/2017"/>
    <s v="First Class"/>
    <s v="Pierre Wener"/>
    <x v="554"/>
    <s v="Yes"/>
    <x v="2"/>
    <s v="Pensacola"/>
    <x v="17"/>
    <x v="2"/>
    <x v="1206"/>
    <x v="0"/>
    <x v="7"/>
    <n v="2.214"/>
  </r>
  <r>
    <x v="0"/>
    <n v="144526"/>
    <x v="86"/>
    <s v="06/05/2018"/>
    <s v="Standard Class"/>
    <s v="Quincy Jones"/>
    <x v="555"/>
    <s v="No"/>
    <x v="0"/>
    <s v="Philadelphia"/>
    <x v="0"/>
    <x v="0"/>
    <x v="1207"/>
    <x v="1"/>
    <x v="9"/>
    <n v="677.58"/>
  </r>
  <r>
    <x v="3"/>
    <n v="148250"/>
    <x v="686"/>
    <s v="17/12/2016"/>
    <s v="Standard Class"/>
    <s v="Rachel Payne"/>
    <x v="556"/>
    <s v="No"/>
    <x v="0"/>
    <s v="Riverside"/>
    <x v="5"/>
    <x v="3"/>
    <x v="1208"/>
    <x v="0"/>
    <x v="2"/>
    <n v="12.96"/>
  </r>
  <r>
    <x v="0"/>
    <n v="161480"/>
    <x v="328"/>
    <s v="29/12/2018"/>
    <s v="Standard Class"/>
    <s v="Ralph Arnett"/>
    <x v="557"/>
    <s v="Yes"/>
    <x v="2"/>
    <s v="New York City"/>
    <x v="3"/>
    <x v="0"/>
    <x v="1209"/>
    <x v="2"/>
    <x v="13"/>
    <n v="191.98400000000001"/>
  </r>
  <r>
    <x v="2"/>
    <n v="128195"/>
    <x v="653"/>
    <s v="05/08/2017"/>
    <s v="First Class"/>
    <s v="Ralph Arnett"/>
    <x v="557"/>
    <s v="Yes"/>
    <x v="2"/>
    <s v="Peoria"/>
    <x v="10"/>
    <x v="1"/>
    <x v="1210"/>
    <x v="0"/>
    <x v="7"/>
    <n v="3.98"/>
  </r>
  <r>
    <x v="1"/>
    <n v="154186"/>
    <x v="434"/>
    <s v="15/12/2015"/>
    <s v="Second Class"/>
    <s v="Ralph Arnett"/>
    <x v="557"/>
    <s v="Yes"/>
    <x v="2"/>
    <s v="Houston"/>
    <x v="1"/>
    <x v="1"/>
    <x v="1211"/>
    <x v="0"/>
    <x v="5"/>
    <n v="2.92"/>
  </r>
  <r>
    <x v="3"/>
    <n v="160472"/>
    <x v="776"/>
    <s v="25/07/2016"/>
    <s v="Second Class"/>
    <s v="Ralph Kennedy"/>
    <x v="558"/>
    <s v="Yes"/>
    <x v="2"/>
    <s v="South Bend"/>
    <x v="11"/>
    <x v="1"/>
    <x v="1212"/>
    <x v="0"/>
    <x v="3"/>
    <n v="34.76"/>
  </r>
  <r>
    <x v="0"/>
    <n v="114216"/>
    <x v="178"/>
    <s v="06/09/2018"/>
    <s v="Standard Class"/>
    <s v="Ralph Kennedy"/>
    <x v="558"/>
    <s v="Yes"/>
    <x v="2"/>
    <s v="Philadelphia"/>
    <x v="0"/>
    <x v="0"/>
    <x v="811"/>
    <x v="0"/>
    <x v="2"/>
    <n v="12.192"/>
  </r>
  <r>
    <x v="2"/>
    <n v="149482"/>
    <x v="54"/>
    <s v="19/11/2017"/>
    <s v="Standard Class"/>
    <s v="Ralph Ritter"/>
    <x v="559"/>
    <s v="No"/>
    <x v="2"/>
    <s v="San Francisco"/>
    <x v="5"/>
    <x v="3"/>
    <x v="1213"/>
    <x v="0"/>
    <x v="8"/>
    <n v="7.38"/>
  </r>
  <r>
    <x v="0"/>
    <n v="106068"/>
    <x v="573"/>
    <s v="28/10/2018"/>
    <s v="Standard Class"/>
    <s v="Randy Bradley"/>
    <x v="560"/>
    <s v="No"/>
    <x v="2"/>
    <s v="Austin"/>
    <x v="1"/>
    <x v="1"/>
    <x v="1214"/>
    <x v="0"/>
    <x v="7"/>
    <n v="9.7620000000000005"/>
  </r>
  <r>
    <x v="1"/>
    <n v="141152"/>
    <x v="777"/>
    <s v="19/09/2015"/>
    <s v="First Class"/>
    <s v="Randy Ferguson"/>
    <x v="561"/>
    <s v="Yes"/>
    <x v="0"/>
    <s v="New York City"/>
    <x v="3"/>
    <x v="0"/>
    <x v="1215"/>
    <x v="0"/>
    <x v="7"/>
    <n v="33.552"/>
  </r>
  <r>
    <x v="1"/>
    <n v="114188"/>
    <x v="778"/>
    <s v="22/05/2015"/>
    <s v="Second Class"/>
    <s v="Randy Ferguson"/>
    <x v="561"/>
    <s v="Yes"/>
    <x v="0"/>
    <s v="Dover"/>
    <x v="6"/>
    <x v="0"/>
    <x v="1216"/>
    <x v="0"/>
    <x v="12"/>
    <n v="33.28"/>
  </r>
  <r>
    <x v="1"/>
    <n v="124079"/>
    <x v="434"/>
    <s v="17/12/2015"/>
    <s v="Standard Class"/>
    <s v="Randy Ferguson"/>
    <x v="561"/>
    <s v="Yes"/>
    <x v="0"/>
    <s v="Phoenix"/>
    <x v="13"/>
    <x v="3"/>
    <x v="1217"/>
    <x v="2"/>
    <x v="6"/>
    <n v="87.96"/>
  </r>
  <r>
    <x v="2"/>
    <n v="156573"/>
    <x v="779"/>
    <s v="02/06/2017"/>
    <s v="Standard Class"/>
    <s v="Raymond Buch"/>
    <x v="562"/>
    <s v="Yes"/>
    <x v="2"/>
    <s v="Nashville"/>
    <x v="18"/>
    <x v="2"/>
    <x v="1218"/>
    <x v="0"/>
    <x v="7"/>
    <n v="11.276999999999999"/>
  </r>
  <r>
    <x v="2"/>
    <n v="166674"/>
    <x v="136"/>
    <s v="03/04/2017"/>
    <s v="Second Class"/>
    <s v="Raymond Buch"/>
    <x v="562"/>
    <s v="Yes"/>
    <x v="2"/>
    <s v="Auburn"/>
    <x v="3"/>
    <x v="0"/>
    <x v="1219"/>
    <x v="0"/>
    <x v="0"/>
    <n v="59.52"/>
  </r>
  <r>
    <x v="2"/>
    <n v="106600"/>
    <x v="459"/>
    <s v="11/04/2017"/>
    <s v="First Class"/>
    <s v="Raymond Messe"/>
    <x v="563"/>
    <s v="No"/>
    <x v="2"/>
    <s v="Columbus"/>
    <x v="7"/>
    <x v="2"/>
    <x v="1220"/>
    <x v="2"/>
    <x v="13"/>
    <n v="354.9"/>
  </r>
  <r>
    <x v="3"/>
    <n v="133494"/>
    <x v="780"/>
    <s v="05/03/2016"/>
    <s v="Standard Class"/>
    <s v="Resi Pölking"/>
    <x v="564"/>
    <s v="Yes"/>
    <x v="2"/>
    <s v="Philadelphia"/>
    <x v="0"/>
    <x v="0"/>
    <x v="1221"/>
    <x v="0"/>
    <x v="12"/>
    <n v="3.552"/>
  </r>
  <r>
    <x v="1"/>
    <n v="155593"/>
    <x v="100"/>
    <s v="08/11/2015"/>
    <s v="Standard Class"/>
    <s v="Resi Pölking"/>
    <x v="564"/>
    <s v="Yes"/>
    <x v="2"/>
    <s v="Fairfield"/>
    <x v="28"/>
    <x v="0"/>
    <x v="1222"/>
    <x v="0"/>
    <x v="5"/>
    <n v="11.64"/>
  </r>
  <r>
    <x v="1"/>
    <n v="120474"/>
    <x v="87"/>
    <s v="03/12/2015"/>
    <s v="First Class"/>
    <s v="Resi Pölking"/>
    <x v="564"/>
    <s v="Yes"/>
    <x v="2"/>
    <s v="Madison"/>
    <x v="29"/>
    <x v="1"/>
    <x v="1223"/>
    <x v="2"/>
    <x v="10"/>
    <n v="2807.84"/>
  </r>
  <r>
    <x v="0"/>
    <n v="145863"/>
    <x v="588"/>
    <s v="27/04/2018"/>
    <s v="Standard Class"/>
    <s v="Resi Pölking"/>
    <x v="564"/>
    <s v="Yes"/>
    <x v="2"/>
    <s v="Houston"/>
    <x v="1"/>
    <x v="1"/>
    <x v="1224"/>
    <x v="0"/>
    <x v="7"/>
    <n v="2.694"/>
  </r>
  <r>
    <x v="1"/>
    <n v="156314"/>
    <x v="158"/>
    <s v="26/12/2015"/>
    <s v="First Class"/>
    <s v="Resi Pölking"/>
    <x v="564"/>
    <s v="Yes"/>
    <x v="2"/>
    <s v="Cleveland"/>
    <x v="21"/>
    <x v="0"/>
    <x v="1225"/>
    <x v="2"/>
    <x v="6"/>
    <n v="30.36"/>
  </r>
  <r>
    <x v="1"/>
    <n v="143413"/>
    <x v="781"/>
    <s v="30/05/2015"/>
    <s v="Standard Class"/>
    <s v="Resi Pölking"/>
    <x v="564"/>
    <s v="Yes"/>
    <x v="2"/>
    <s v="Baltimore"/>
    <x v="31"/>
    <x v="0"/>
    <x v="1226"/>
    <x v="0"/>
    <x v="2"/>
    <n v="116.28"/>
  </r>
  <r>
    <x v="2"/>
    <n v="159093"/>
    <x v="594"/>
    <s v="14/05/2017"/>
    <s v="Standard Class"/>
    <s v="Ricardo Sperren"/>
    <x v="565"/>
    <s v="Yes"/>
    <x v="0"/>
    <s v="Los Angeles"/>
    <x v="5"/>
    <x v="3"/>
    <x v="1227"/>
    <x v="0"/>
    <x v="2"/>
    <n v="32.04"/>
  </r>
  <r>
    <x v="1"/>
    <n v="117968"/>
    <x v="255"/>
    <s v="07/08/2015"/>
    <s v="Second Class"/>
    <s v="Ricardo Sperren"/>
    <x v="565"/>
    <s v="Yes"/>
    <x v="0"/>
    <s v="Meriden"/>
    <x v="28"/>
    <x v="0"/>
    <x v="1228"/>
    <x v="0"/>
    <x v="12"/>
    <n v="79.47"/>
  </r>
  <r>
    <x v="0"/>
    <n v="115154"/>
    <x v="782"/>
    <s v="11/01/2018"/>
    <s v="First Class"/>
    <s v="Ricardo Sperren"/>
    <x v="565"/>
    <s v="Yes"/>
    <x v="0"/>
    <s v="Seattle"/>
    <x v="15"/>
    <x v="3"/>
    <x v="1229"/>
    <x v="2"/>
    <x v="14"/>
    <n v="892.98"/>
  </r>
  <r>
    <x v="3"/>
    <n v="103996"/>
    <x v="395"/>
    <s v="31/03/2016"/>
    <s v="Second Class"/>
    <s v="Richard Bierner"/>
    <x v="566"/>
    <s v="Yes"/>
    <x v="2"/>
    <s v="San Diego"/>
    <x v="5"/>
    <x v="3"/>
    <x v="1230"/>
    <x v="0"/>
    <x v="2"/>
    <n v="212.64"/>
  </r>
  <r>
    <x v="1"/>
    <n v="105137"/>
    <x v="317"/>
    <s v="10/10/2015"/>
    <s v="Same Day"/>
    <s v="Richard Bierner"/>
    <x v="566"/>
    <s v="Yes"/>
    <x v="2"/>
    <s v="Columbus"/>
    <x v="21"/>
    <x v="0"/>
    <x v="1231"/>
    <x v="1"/>
    <x v="1"/>
    <n v="101.994"/>
  </r>
  <r>
    <x v="3"/>
    <n v="120397"/>
    <x v="783"/>
    <s v="02/07/2016"/>
    <s v="Same Day"/>
    <s v="Richard Bierner"/>
    <x v="566"/>
    <s v="Yes"/>
    <x v="2"/>
    <s v="Houston"/>
    <x v="1"/>
    <x v="1"/>
    <x v="1232"/>
    <x v="0"/>
    <x v="12"/>
    <n v="32.783999999999999"/>
  </r>
  <r>
    <x v="0"/>
    <n v="127621"/>
    <x v="425"/>
    <s v="07/03/2018"/>
    <s v="Standard Class"/>
    <s v="Richard Eichhorn"/>
    <x v="567"/>
    <s v="No"/>
    <x v="2"/>
    <s v="Dallas"/>
    <x v="1"/>
    <x v="1"/>
    <x v="572"/>
    <x v="0"/>
    <x v="2"/>
    <n v="26.88"/>
  </r>
  <r>
    <x v="2"/>
    <n v="158568"/>
    <x v="6"/>
    <s v="02/09/2017"/>
    <s v="Standard Class"/>
    <s v="Rick Bensley"/>
    <x v="568"/>
    <s v="Yes"/>
    <x v="1"/>
    <s v="Chicago"/>
    <x v="10"/>
    <x v="1"/>
    <x v="1233"/>
    <x v="0"/>
    <x v="2"/>
    <n v="64.623999999999995"/>
  </r>
  <r>
    <x v="0"/>
    <n v="104822"/>
    <x v="423"/>
    <s v="20/10/2018"/>
    <s v="Same Day"/>
    <s v="Rick Bensley"/>
    <x v="568"/>
    <s v="Yes"/>
    <x v="1"/>
    <s v="New York City"/>
    <x v="3"/>
    <x v="0"/>
    <x v="1234"/>
    <x v="0"/>
    <x v="8"/>
    <n v="24.55"/>
  </r>
  <r>
    <x v="2"/>
    <n v="115917"/>
    <x v="574"/>
    <s v="25/05/2017"/>
    <s v="Standard Class"/>
    <s v="Rick Bensley"/>
    <x v="568"/>
    <s v="Yes"/>
    <x v="1"/>
    <s v="Vallejo"/>
    <x v="5"/>
    <x v="3"/>
    <x v="390"/>
    <x v="2"/>
    <x v="6"/>
    <n v="1049.2"/>
  </r>
  <r>
    <x v="2"/>
    <n v="146066"/>
    <x v="784"/>
    <s v="23/08/2017"/>
    <s v="Second Class"/>
    <s v="Rick Bensley"/>
    <x v="568"/>
    <s v="Yes"/>
    <x v="1"/>
    <s v="Philadelphia"/>
    <x v="0"/>
    <x v="0"/>
    <x v="1235"/>
    <x v="2"/>
    <x v="14"/>
    <n v="815.29200000000003"/>
  </r>
  <r>
    <x v="2"/>
    <n v="105662"/>
    <x v="139"/>
    <s v="09/05/2017"/>
    <s v="Standard Class"/>
    <s v="Rick Bensley"/>
    <x v="568"/>
    <s v="Yes"/>
    <x v="1"/>
    <s v="Tallahassee"/>
    <x v="17"/>
    <x v="2"/>
    <x v="1236"/>
    <x v="0"/>
    <x v="2"/>
    <n v="93.248000000000005"/>
  </r>
  <r>
    <x v="3"/>
    <n v="146696"/>
    <x v="413"/>
    <s v="19/12/2016"/>
    <s v="Standard Class"/>
    <s v="Rick Duston"/>
    <x v="569"/>
    <s v="Yes"/>
    <x v="2"/>
    <s v="San Diego"/>
    <x v="5"/>
    <x v="3"/>
    <x v="1237"/>
    <x v="0"/>
    <x v="7"/>
    <n v="8.0960000000000001"/>
  </r>
  <r>
    <x v="2"/>
    <n v="164637"/>
    <x v="703"/>
    <s v="08/03/2017"/>
    <s v="Standard Class"/>
    <s v="Rick Duston"/>
    <x v="569"/>
    <s v="Yes"/>
    <x v="2"/>
    <s v="Mishawaka"/>
    <x v="11"/>
    <x v="1"/>
    <x v="1238"/>
    <x v="0"/>
    <x v="7"/>
    <n v="128.4"/>
  </r>
  <r>
    <x v="3"/>
    <n v="122826"/>
    <x v="785"/>
    <s v="25/06/2016"/>
    <s v="Second Class"/>
    <s v="Rick Duston"/>
    <x v="569"/>
    <s v="Yes"/>
    <x v="2"/>
    <s v="Olympia"/>
    <x v="15"/>
    <x v="3"/>
    <x v="1239"/>
    <x v="1"/>
    <x v="9"/>
    <n v="201.56800000000001"/>
  </r>
  <r>
    <x v="0"/>
    <n v="159457"/>
    <x v="525"/>
    <s v="26/10/2018"/>
    <s v="Standard Class"/>
    <s v="Rick Duston"/>
    <x v="569"/>
    <s v="Yes"/>
    <x v="2"/>
    <s v="Houston"/>
    <x v="1"/>
    <x v="1"/>
    <x v="1240"/>
    <x v="1"/>
    <x v="9"/>
    <n v="16.68"/>
  </r>
  <r>
    <x v="0"/>
    <n v="106537"/>
    <x v="786"/>
    <s v="17/08/2018"/>
    <s v="Standard Class"/>
    <s v="Rick Hansen"/>
    <x v="570"/>
    <s v="Yes"/>
    <x v="2"/>
    <s v="Orlando"/>
    <x v="17"/>
    <x v="2"/>
    <x v="1241"/>
    <x v="0"/>
    <x v="2"/>
    <n v="20.736000000000001"/>
  </r>
  <r>
    <x v="0"/>
    <n v="151428"/>
    <x v="437"/>
    <s v="26/09/2018"/>
    <s v="Standard Class"/>
    <s v="Rick Hansen"/>
    <x v="570"/>
    <s v="Yes"/>
    <x v="2"/>
    <s v="Rochester"/>
    <x v="26"/>
    <x v="1"/>
    <x v="1242"/>
    <x v="0"/>
    <x v="7"/>
    <n v="20.16"/>
  </r>
  <r>
    <x v="1"/>
    <n v="110639"/>
    <x v="128"/>
    <s v="23/08/2015"/>
    <s v="Same Day"/>
    <s v="Rick Hansen"/>
    <x v="570"/>
    <s v="Yes"/>
    <x v="2"/>
    <s v="New York City"/>
    <x v="3"/>
    <x v="0"/>
    <x v="753"/>
    <x v="0"/>
    <x v="2"/>
    <n v="25.92"/>
  </r>
  <r>
    <x v="3"/>
    <n v="124891"/>
    <x v="787"/>
    <s v="31/07/2016"/>
    <s v="Same Day"/>
    <s v="Rick Hansen"/>
    <x v="570"/>
    <s v="Yes"/>
    <x v="2"/>
    <s v="New York City"/>
    <x v="3"/>
    <x v="0"/>
    <x v="1243"/>
    <x v="1"/>
    <x v="4"/>
    <n v="2309.65"/>
  </r>
  <r>
    <x v="2"/>
    <n v="122322"/>
    <x v="788"/>
    <s v="21/07/2017"/>
    <s v="Standard Class"/>
    <s v="Rick Huthwaite"/>
    <x v="571"/>
    <s v="Yes"/>
    <x v="1"/>
    <s v="Provo"/>
    <x v="19"/>
    <x v="3"/>
    <x v="1244"/>
    <x v="0"/>
    <x v="5"/>
    <n v="44.4"/>
  </r>
  <r>
    <x v="1"/>
    <n v="149643"/>
    <x v="19"/>
    <s v="20/11/2015"/>
    <s v="Standard Class"/>
    <s v="Rick Huthwaite"/>
    <x v="571"/>
    <s v="Yes"/>
    <x v="1"/>
    <s v="Manhattan"/>
    <x v="36"/>
    <x v="1"/>
    <x v="1245"/>
    <x v="1"/>
    <x v="9"/>
    <n v="273.95999999999998"/>
  </r>
  <r>
    <x v="1"/>
    <n v="126403"/>
    <x v="344"/>
    <s v="12/09/2015"/>
    <s v="Second Class"/>
    <s v="Rick Reed"/>
    <x v="572"/>
    <s v="No"/>
    <x v="0"/>
    <s v="Lowell"/>
    <x v="23"/>
    <x v="0"/>
    <x v="1246"/>
    <x v="0"/>
    <x v="2"/>
    <n v="166.44"/>
  </r>
  <r>
    <x v="3"/>
    <n v="124800"/>
    <x v="217"/>
    <s v="30/09/2016"/>
    <s v="Standard Class"/>
    <s v="Rick Wilson"/>
    <x v="573"/>
    <s v="Yes"/>
    <x v="0"/>
    <s v="Mesa"/>
    <x v="13"/>
    <x v="3"/>
    <x v="1247"/>
    <x v="0"/>
    <x v="2"/>
    <n v="86.272000000000006"/>
  </r>
  <r>
    <x v="0"/>
    <n v="101014"/>
    <x v="701"/>
    <s v="04/09/2018"/>
    <s v="Standard Class"/>
    <s v="Rick Wilson"/>
    <x v="573"/>
    <s v="Yes"/>
    <x v="0"/>
    <s v="Los Angeles"/>
    <x v="5"/>
    <x v="3"/>
    <x v="1248"/>
    <x v="2"/>
    <x v="6"/>
    <n v="148.02000000000001"/>
  </r>
  <r>
    <x v="3"/>
    <n v="157959"/>
    <x v="789"/>
    <s v="04/02/2016"/>
    <s v="First Class"/>
    <s v="Rick Wilson"/>
    <x v="573"/>
    <s v="Yes"/>
    <x v="0"/>
    <s v="Los Angeles"/>
    <x v="5"/>
    <x v="3"/>
    <x v="522"/>
    <x v="2"/>
    <x v="6"/>
    <n v="136.91999999999999"/>
  </r>
  <r>
    <x v="2"/>
    <n v="128678"/>
    <x v="374"/>
    <s v="20/09/2017"/>
    <s v="Standard Class"/>
    <s v="Rob Beeghly"/>
    <x v="574"/>
    <s v="Yes"/>
    <x v="2"/>
    <s v="Seattle"/>
    <x v="15"/>
    <x v="3"/>
    <x v="1249"/>
    <x v="0"/>
    <x v="2"/>
    <n v="21.4"/>
  </r>
  <r>
    <x v="0"/>
    <n v="130351"/>
    <x v="21"/>
    <s v="08/12/2018"/>
    <s v="First Class"/>
    <s v="Rob Beeghly"/>
    <x v="574"/>
    <s v="Yes"/>
    <x v="2"/>
    <s v="Columbus"/>
    <x v="11"/>
    <x v="1"/>
    <x v="1250"/>
    <x v="0"/>
    <x v="12"/>
    <n v="61.44"/>
  </r>
  <r>
    <x v="0"/>
    <n v="138779"/>
    <x v="790"/>
    <s v="15/01/2018"/>
    <s v="First Class"/>
    <s v="Rob Beeghly"/>
    <x v="574"/>
    <s v="Yes"/>
    <x v="2"/>
    <s v="Jacksonville"/>
    <x v="2"/>
    <x v="2"/>
    <x v="1251"/>
    <x v="0"/>
    <x v="16"/>
    <n v="21.744"/>
  </r>
  <r>
    <x v="3"/>
    <n v="162537"/>
    <x v="791"/>
    <s v="03/11/2016"/>
    <s v="Standard Class"/>
    <s v="Rob Dowd"/>
    <x v="575"/>
    <s v="Yes"/>
    <x v="2"/>
    <s v="Henderson"/>
    <x v="12"/>
    <x v="2"/>
    <x v="1252"/>
    <x v="0"/>
    <x v="16"/>
    <n v="10.67"/>
  </r>
  <r>
    <x v="2"/>
    <n v="131576"/>
    <x v="792"/>
    <s v="26/11/2017"/>
    <s v="Standard Class"/>
    <s v="Rob Dowd"/>
    <x v="575"/>
    <s v="Yes"/>
    <x v="2"/>
    <s v="Detroit"/>
    <x v="34"/>
    <x v="1"/>
    <x v="1253"/>
    <x v="0"/>
    <x v="7"/>
    <n v="49.44"/>
  </r>
  <r>
    <x v="0"/>
    <n v="111647"/>
    <x v="293"/>
    <s v="07/07/2018"/>
    <s v="Standard Class"/>
    <s v="Rob Dowd"/>
    <x v="575"/>
    <s v="Yes"/>
    <x v="2"/>
    <s v="Plano"/>
    <x v="1"/>
    <x v="1"/>
    <x v="1254"/>
    <x v="1"/>
    <x v="9"/>
    <n v="167.96799999999999"/>
  </r>
  <r>
    <x v="0"/>
    <n v="139437"/>
    <x v="293"/>
    <s v="08/07/2018"/>
    <s v="Standard Class"/>
    <s v="Rob Dowd"/>
    <x v="575"/>
    <s v="Yes"/>
    <x v="2"/>
    <s v="Los Angeles"/>
    <x v="5"/>
    <x v="3"/>
    <x v="1255"/>
    <x v="0"/>
    <x v="3"/>
    <n v="87.92"/>
  </r>
  <r>
    <x v="3"/>
    <n v="109386"/>
    <x v="793"/>
    <s v="13/11/2016"/>
    <s v="Second Class"/>
    <s v="Rob Haberlin"/>
    <x v="576"/>
    <s v="Yes"/>
    <x v="2"/>
    <s v="Hampton"/>
    <x v="4"/>
    <x v="2"/>
    <x v="1256"/>
    <x v="0"/>
    <x v="12"/>
    <n v="44.43"/>
  </r>
  <r>
    <x v="2"/>
    <n v="101378"/>
    <x v="215"/>
    <s v="14/07/2017"/>
    <s v="Same Day"/>
    <s v="Rob Haberlin"/>
    <x v="576"/>
    <s v="Yes"/>
    <x v="2"/>
    <s v="Huntsville"/>
    <x v="30"/>
    <x v="2"/>
    <x v="1257"/>
    <x v="1"/>
    <x v="4"/>
    <n v="29"/>
  </r>
  <r>
    <x v="3"/>
    <n v="126557"/>
    <x v="471"/>
    <s v="17/07/2016"/>
    <s v="Second Class"/>
    <s v="Rob Lucas"/>
    <x v="577"/>
    <s v="Yes"/>
    <x v="2"/>
    <s v="Chicago"/>
    <x v="10"/>
    <x v="1"/>
    <x v="1258"/>
    <x v="2"/>
    <x v="10"/>
    <n v="383.60700000000003"/>
  </r>
  <r>
    <x v="0"/>
    <n v="169551"/>
    <x v="101"/>
    <s v="09/07/2018"/>
    <s v="First Class"/>
    <s v="Rob Lucas"/>
    <x v="577"/>
    <s v="Yes"/>
    <x v="2"/>
    <s v="Philadelphia"/>
    <x v="0"/>
    <x v="0"/>
    <x v="1259"/>
    <x v="2"/>
    <x v="13"/>
    <n v="87.21"/>
  </r>
  <r>
    <x v="2"/>
    <n v="168753"/>
    <x v="779"/>
    <s v="01/06/2017"/>
    <s v="Second Class"/>
    <s v="Rob Lucas"/>
    <x v="577"/>
    <s v="Yes"/>
    <x v="2"/>
    <s v="Montgomery"/>
    <x v="30"/>
    <x v="2"/>
    <x v="1024"/>
    <x v="1"/>
    <x v="9"/>
    <n v="979.95"/>
  </r>
  <r>
    <x v="1"/>
    <n v="156993"/>
    <x v="322"/>
    <s v="04/07/2015"/>
    <s v="Standard Class"/>
    <s v="Rob Williams"/>
    <x v="578"/>
    <s v="Yes"/>
    <x v="0"/>
    <s v="Detroit"/>
    <x v="34"/>
    <x v="1"/>
    <x v="1260"/>
    <x v="0"/>
    <x v="15"/>
    <n v="6.08"/>
  </r>
  <r>
    <x v="2"/>
    <n v="131114"/>
    <x v="333"/>
    <s v="13/12/2017"/>
    <s v="Second Class"/>
    <s v="Rob Williams"/>
    <x v="578"/>
    <s v="Yes"/>
    <x v="0"/>
    <s v="Chicago"/>
    <x v="10"/>
    <x v="1"/>
    <x v="1261"/>
    <x v="0"/>
    <x v="5"/>
    <n v="20.568000000000001"/>
  </r>
  <r>
    <x v="0"/>
    <n v="123981"/>
    <x v="152"/>
    <s v="08/10/2018"/>
    <s v="Standard Class"/>
    <s v="Rob Williams"/>
    <x v="578"/>
    <s v="Yes"/>
    <x v="0"/>
    <s v="New York City"/>
    <x v="3"/>
    <x v="0"/>
    <x v="1262"/>
    <x v="1"/>
    <x v="9"/>
    <n v="65.989999999999995"/>
  </r>
  <r>
    <x v="2"/>
    <n v="142958"/>
    <x v="625"/>
    <s v="20/12/2017"/>
    <s v="Standard Class"/>
    <s v="Rob Williams"/>
    <x v="578"/>
    <s v="Yes"/>
    <x v="0"/>
    <s v="Torrance"/>
    <x v="5"/>
    <x v="3"/>
    <x v="1263"/>
    <x v="0"/>
    <x v="7"/>
    <n v="6.0960000000000001"/>
  </r>
  <r>
    <x v="2"/>
    <n v="107615"/>
    <x v="674"/>
    <s v="25/03/2017"/>
    <s v="First Class"/>
    <s v="Robert Barroso"/>
    <x v="579"/>
    <s v="Yes"/>
    <x v="0"/>
    <s v="North Las Vegas"/>
    <x v="8"/>
    <x v="3"/>
    <x v="1264"/>
    <x v="1"/>
    <x v="4"/>
    <n v="58.58"/>
  </r>
  <r>
    <x v="1"/>
    <n v="106719"/>
    <x v="408"/>
    <s v="24/08/2015"/>
    <s v="Same Day"/>
    <s v="Robert Barroso"/>
    <x v="579"/>
    <s v="Yes"/>
    <x v="0"/>
    <s v="Billings"/>
    <x v="16"/>
    <x v="3"/>
    <x v="1265"/>
    <x v="0"/>
    <x v="7"/>
    <n v="8.2880000000000003"/>
  </r>
  <r>
    <x v="1"/>
    <n v="158274"/>
    <x v="25"/>
    <s v="24/11/2015"/>
    <s v="Second Class"/>
    <s v="Robert Marley"/>
    <x v="580"/>
    <s v="Yes"/>
    <x v="1"/>
    <s v="Monroe"/>
    <x v="27"/>
    <x v="2"/>
    <x v="1266"/>
    <x v="1"/>
    <x v="9"/>
    <n v="503.96"/>
  </r>
  <r>
    <x v="3"/>
    <n v="160171"/>
    <x v="794"/>
    <s v="24/10/2016"/>
    <s v="Standard Class"/>
    <s v="Robert Marley"/>
    <x v="580"/>
    <s v="Yes"/>
    <x v="1"/>
    <s v="Los Angeles"/>
    <x v="5"/>
    <x v="3"/>
    <x v="1267"/>
    <x v="0"/>
    <x v="12"/>
    <n v="1640.7"/>
  </r>
  <r>
    <x v="0"/>
    <n v="167752"/>
    <x v="795"/>
    <s v="18/01/2018"/>
    <s v="First Class"/>
    <s v="Robert Waldorf"/>
    <x v="581"/>
    <s v="No"/>
    <x v="2"/>
    <s v="Philadelphia"/>
    <x v="0"/>
    <x v="0"/>
    <x v="1268"/>
    <x v="0"/>
    <x v="12"/>
    <n v="34.384"/>
  </r>
  <r>
    <x v="0"/>
    <n v="109484"/>
    <x v="289"/>
    <s v="12/11/2018"/>
    <s v="Standard Class"/>
    <s v="Roger Barcio"/>
    <x v="582"/>
    <s v="Yes"/>
    <x v="1"/>
    <s v="Portland"/>
    <x v="25"/>
    <x v="3"/>
    <x v="1269"/>
    <x v="0"/>
    <x v="7"/>
    <n v="5.6820000000000004"/>
  </r>
  <r>
    <x v="3"/>
    <n v="129854"/>
    <x v="366"/>
    <s v="26/08/2016"/>
    <s v="Standard Class"/>
    <s v="Roger Barcio"/>
    <x v="582"/>
    <s v="Yes"/>
    <x v="1"/>
    <s v="New York City"/>
    <x v="3"/>
    <x v="0"/>
    <x v="850"/>
    <x v="0"/>
    <x v="0"/>
    <n v="16.52"/>
  </r>
  <r>
    <x v="3"/>
    <n v="112375"/>
    <x v="436"/>
    <s v="27/12/2016"/>
    <s v="Standard Class"/>
    <s v="Roger Demir"/>
    <x v="583"/>
    <s v="Yes"/>
    <x v="2"/>
    <s v="Daytona Beach"/>
    <x v="17"/>
    <x v="2"/>
    <x v="1270"/>
    <x v="1"/>
    <x v="4"/>
    <n v="50.88"/>
  </r>
  <r>
    <x v="0"/>
    <n v="126550"/>
    <x v="796"/>
    <s v="02/04/2018"/>
    <s v="Second Class"/>
    <s v="Roger Demir"/>
    <x v="583"/>
    <s v="Yes"/>
    <x v="2"/>
    <s v="Lafayette"/>
    <x v="11"/>
    <x v="1"/>
    <x v="662"/>
    <x v="0"/>
    <x v="3"/>
    <n v="81.400000000000006"/>
  </r>
  <r>
    <x v="1"/>
    <n v="161249"/>
    <x v="76"/>
    <s v="13/08/2015"/>
    <s v="Standard Class"/>
    <s v="Roger Demir"/>
    <x v="583"/>
    <s v="Yes"/>
    <x v="2"/>
    <s v="Phoenix"/>
    <x v="13"/>
    <x v="3"/>
    <x v="1271"/>
    <x v="0"/>
    <x v="15"/>
    <n v="4.4640000000000004"/>
  </r>
  <r>
    <x v="2"/>
    <n v="110044"/>
    <x v="272"/>
    <s v="02/07/2017"/>
    <s v="Second Class"/>
    <s v="Roland Fjeld"/>
    <x v="584"/>
    <s v="Yes"/>
    <x v="2"/>
    <s v="Chicago"/>
    <x v="10"/>
    <x v="1"/>
    <x v="1272"/>
    <x v="1"/>
    <x v="9"/>
    <n v="359.976"/>
  </r>
  <r>
    <x v="1"/>
    <n v="115357"/>
    <x v="797"/>
    <s v="11/08/2015"/>
    <s v="Second Class"/>
    <s v="Roland Fjeld"/>
    <x v="584"/>
    <s v="Yes"/>
    <x v="2"/>
    <s v="Columbia"/>
    <x v="40"/>
    <x v="2"/>
    <x v="1273"/>
    <x v="1"/>
    <x v="4"/>
    <n v="62.91"/>
  </r>
  <r>
    <x v="3"/>
    <n v="111206"/>
    <x v="798"/>
    <s v="22/07/2016"/>
    <s v="Standard Class"/>
    <s v="Roland Fjeld"/>
    <x v="584"/>
    <s v="Yes"/>
    <x v="2"/>
    <s v="San Diego"/>
    <x v="5"/>
    <x v="3"/>
    <x v="1274"/>
    <x v="1"/>
    <x v="4"/>
    <n v="519.96"/>
  </r>
  <r>
    <x v="0"/>
    <n v="126074"/>
    <x v="152"/>
    <s v="06/10/2018"/>
    <s v="Standard Class"/>
    <s v="Roland Fjeld"/>
    <x v="584"/>
    <s v="Yes"/>
    <x v="2"/>
    <s v="Trenton"/>
    <x v="34"/>
    <x v="1"/>
    <x v="1275"/>
    <x v="0"/>
    <x v="7"/>
    <n v="58.05"/>
  </r>
  <r>
    <x v="0"/>
    <n v="168193"/>
    <x v="467"/>
    <s v="11/03/2018"/>
    <s v="Second Class"/>
    <s v="Roland Murray"/>
    <x v="585"/>
    <s v="No"/>
    <x v="2"/>
    <s v="New York City"/>
    <x v="3"/>
    <x v="0"/>
    <x v="1276"/>
    <x v="0"/>
    <x v="2"/>
    <n v="26.38"/>
  </r>
  <r>
    <x v="0"/>
    <n v="128300"/>
    <x v="499"/>
    <s v="26/11/2018"/>
    <s v="Second Class"/>
    <s v="Roland Schwarz"/>
    <x v="586"/>
    <s v="Yes"/>
    <x v="0"/>
    <s v="Summerville"/>
    <x v="40"/>
    <x v="2"/>
    <x v="1277"/>
    <x v="1"/>
    <x v="9"/>
    <n v="79.099999999999994"/>
  </r>
  <r>
    <x v="0"/>
    <n v="100048"/>
    <x v="102"/>
    <s v="24/05/2018"/>
    <s v="Standard Class"/>
    <s v="Roland Schwarz"/>
    <x v="586"/>
    <s v="Yes"/>
    <x v="0"/>
    <s v="Mount Vernon"/>
    <x v="3"/>
    <x v="0"/>
    <x v="1278"/>
    <x v="0"/>
    <x v="12"/>
    <n v="281.33999999999997"/>
  </r>
  <r>
    <x v="3"/>
    <n v="153752"/>
    <x v="121"/>
    <s v="11/12/2016"/>
    <s v="Second Class"/>
    <s v="Rose O'Brian"/>
    <x v="587"/>
    <s v="Yes"/>
    <x v="2"/>
    <s v="Arlington"/>
    <x v="4"/>
    <x v="2"/>
    <x v="926"/>
    <x v="1"/>
    <x v="9"/>
    <n v="173.94"/>
  </r>
  <r>
    <x v="2"/>
    <n v="120929"/>
    <x v="799"/>
    <s v="21/03/2017"/>
    <s v="Second Class"/>
    <s v="Rose O'Brian"/>
    <x v="587"/>
    <s v="Yes"/>
    <x v="2"/>
    <s v="Memphis"/>
    <x v="18"/>
    <x v="2"/>
    <x v="1279"/>
    <x v="2"/>
    <x v="14"/>
    <n v="189.88200000000001"/>
  </r>
  <r>
    <x v="3"/>
    <n v="150161"/>
    <x v="712"/>
    <s v="29/07/2016"/>
    <s v="Standard Class"/>
    <s v="Ross Baird"/>
    <x v="588"/>
    <s v="Yes"/>
    <x v="1"/>
    <s v="Philadelphia"/>
    <x v="0"/>
    <x v="0"/>
    <x v="1280"/>
    <x v="0"/>
    <x v="7"/>
    <n v="25.175999999999998"/>
  </r>
  <r>
    <x v="2"/>
    <n v="168620"/>
    <x v="800"/>
    <s v="28/12/2017"/>
    <s v="Second Class"/>
    <s v="Ross Baird"/>
    <x v="588"/>
    <s v="Yes"/>
    <x v="1"/>
    <s v="Charlotte"/>
    <x v="2"/>
    <x v="2"/>
    <x v="1281"/>
    <x v="0"/>
    <x v="7"/>
    <n v="27.882000000000001"/>
  </r>
  <r>
    <x v="2"/>
    <n v="123750"/>
    <x v="175"/>
    <s v="21/04/2017"/>
    <s v="Standard Class"/>
    <s v="Ross Baird"/>
    <x v="588"/>
    <s v="Yes"/>
    <x v="1"/>
    <s v="Gastonia"/>
    <x v="2"/>
    <x v="2"/>
    <x v="1282"/>
    <x v="0"/>
    <x v="7"/>
    <n v="189.58799999999999"/>
  </r>
  <r>
    <x v="0"/>
    <n v="110576"/>
    <x v="383"/>
    <s v="02/12/2018"/>
    <s v="Standard Class"/>
    <s v="Ross Baird"/>
    <x v="588"/>
    <s v="Yes"/>
    <x v="1"/>
    <s v="Philadelphia"/>
    <x v="0"/>
    <x v="0"/>
    <x v="608"/>
    <x v="2"/>
    <x v="6"/>
    <n v="516.48800000000006"/>
  </r>
  <r>
    <x v="2"/>
    <n v="112942"/>
    <x v="801"/>
    <s v="18/02/2017"/>
    <s v="Standard Class"/>
    <s v="Ross DeVincentis"/>
    <x v="589"/>
    <s v="No"/>
    <x v="1"/>
    <s v="Los Angeles"/>
    <x v="5"/>
    <x v="3"/>
    <x v="1283"/>
    <x v="0"/>
    <x v="2"/>
    <n v="146.82"/>
  </r>
  <r>
    <x v="2"/>
    <n v="114538"/>
    <x v="195"/>
    <s v="27/12/2017"/>
    <s v="First Class"/>
    <s v="Roy Collins"/>
    <x v="590"/>
    <s v="Yes"/>
    <x v="2"/>
    <s v="Colorado Springs"/>
    <x v="20"/>
    <x v="3"/>
    <x v="1284"/>
    <x v="0"/>
    <x v="0"/>
    <n v="11.327999999999999"/>
  </r>
  <r>
    <x v="2"/>
    <n v="125318"/>
    <x v="358"/>
    <s v="13/06/2017"/>
    <s v="Standard Class"/>
    <s v="Roy Collins"/>
    <x v="590"/>
    <s v="Yes"/>
    <x v="2"/>
    <s v="Chicago"/>
    <x v="10"/>
    <x v="1"/>
    <x v="1285"/>
    <x v="1"/>
    <x v="9"/>
    <n v="328.22399999999999"/>
  </r>
  <r>
    <x v="2"/>
    <n v="141397"/>
    <x v="244"/>
    <s v="21/06/2017"/>
    <s v="First Class"/>
    <s v="Roy Collins"/>
    <x v="590"/>
    <s v="Yes"/>
    <x v="2"/>
    <s v="Pasadena"/>
    <x v="5"/>
    <x v="3"/>
    <x v="1286"/>
    <x v="0"/>
    <x v="2"/>
    <n v="46.76"/>
  </r>
  <r>
    <x v="0"/>
    <n v="117933"/>
    <x v="79"/>
    <s v="29/12/2018"/>
    <s v="Standard Class"/>
    <s v="Roy Französisch"/>
    <x v="591"/>
    <s v="Yes"/>
    <x v="2"/>
    <s v="New York City"/>
    <x v="3"/>
    <x v="0"/>
    <x v="1287"/>
    <x v="0"/>
    <x v="12"/>
    <n v="35.909999999999997"/>
  </r>
  <r>
    <x v="0"/>
    <n v="136497"/>
    <x v="427"/>
    <s v="20/04/2018"/>
    <s v="Standard Class"/>
    <s v="Roy Französisch"/>
    <x v="591"/>
    <s v="Yes"/>
    <x v="2"/>
    <s v="Columbus"/>
    <x v="21"/>
    <x v="0"/>
    <x v="571"/>
    <x v="0"/>
    <x v="7"/>
    <n v="13.71"/>
  </r>
  <r>
    <x v="2"/>
    <n v="125843"/>
    <x v="456"/>
    <s v="16/08/2017"/>
    <s v="First Class"/>
    <s v="Roy Französisch"/>
    <x v="591"/>
    <s v="Yes"/>
    <x v="2"/>
    <s v="Springfield"/>
    <x v="4"/>
    <x v="2"/>
    <x v="1288"/>
    <x v="0"/>
    <x v="7"/>
    <n v="22.32"/>
  </r>
  <r>
    <x v="2"/>
    <n v="150567"/>
    <x v="669"/>
    <s v="21/05/2017"/>
    <s v="Standard Class"/>
    <s v="Roy Phan"/>
    <x v="592"/>
    <s v="Yes"/>
    <x v="0"/>
    <s v="Apopka"/>
    <x v="17"/>
    <x v="2"/>
    <x v="1289"/>
    <x v="0"/>
    <x v="7"/>
    <n v="2.952"/>
  </r>
  <r>
    <x v="3"/>
    <n v="154326"/>
    <x v="599"/>
    <s v="19/02/2016"/>
    <s v="Standard Class"/>
    <s v="Roy Phan"/>
    <x v="592"/>
    <s v="Yes"/>
    <x v="0"/>
    <s v="Kenosha"/>
    <x v="29"/>
    <x v="1"/>
    <x v="1290"/>
    <x v="1"/>
    <x v="9"/>
    <n v="134.97"/>
  </r>
  <r>
    <x v="2"/>
    <n v="101343"/>
    <x v="70"/>
    <s v="22/07/2017"/>
    <s v="Standard Class"/>
    <s v="Ruben Ausman"/>
    <x v="593"/>
    <s v="No"/>
    <x v="0"/>
    <s v="Los Angeles"/>
    <x v="5"/>
    <x v="3"/>
    <x v="1291"/>
    <x v="0"/>
    <x v="3"/>
    <n v="77.88"/>
  </r>
  <r>
    <x v="2"/>
    <n v="154508"/>
    <x v="802"/>
    <s v="20/11/2017"/>
    <s v="Standard Class"/>
    <s v="Ruben Dartt"/>
    <x v="594"/>
    <s v="Yes"/>
    <x v="2"/>
    <s v="Carlsbad"/>
    <x v="22"/>
    <x v="3"/>
    <x v="1292"/>
    <x v="0"/>
    <x v="16"/>
    <n v="28.4"/>
  </r>
  <r>
    <x v="2"/>
    <n v="140382"/>
    <x v="530"/>
    <s v="25/06/2017"/>
    <s v="Second Class"/>
    <s v="Ruben Dartt"/>
    <x v="594"/>
    <s v="Yes"/>
    <x v="2"/>
    <s v="San Francisco"/>
    <x v="5"/>
    <x v="3"/>
    <x v="1275"/>
    <x v="0"/>
    <x v="3"/>
    <n v="93.68"/>
  </r>
  <r>
    <x v="0"/>
    <n v="112809"/>
    <x v="724"/>
    <s v="22/08/2018"/>
    <s v="Standard Class"/>
    <s v="Russell Applegate"/>
    <x v="595"/>
    <s v="Yes"/>
    <x v="2"/>
    <s v="Dallas"/>
    <x v="1"/>
    <x v="1"/>
    <x v="1293"/>
    <x v="0"/>
    <x v="3"/>
    <n v="200.06399999999999"/>
  </r>
  <r>
    <x v="0"/>
    <n v="140585"/>
    <x v="0"/>
    <s v="23/12/2018"/>
    <s v="Second Class"/>
    <s v="Russell Applegate"/>
    <x v="595"/>
    <s v="Yes"/>
    <x v="2"/>
    <s v="Encinitas"/>
    <x v="5"/>
    <x v="3"/>
    <x v="1294"/>
    <x v="0"/>
    <x v="7"/>
    <n v="46.671999999999997"/>
  </r>
  <r>
    <x v="1"/>
    <n v="134313"/>
    <x v="725"/>
    <s v="07/11/2015"/>
    <s v="Standard Class"/>
    <s v="Russell Applegate"/>
    <x v="595"/>
    <s v="Yes"/>
    <x v="2"/>
    <s v="Denver"/>
    <x v="20"/>
    <x v="3"/>
    <x v="1295"/>
    <x v="0"/>
    <x v="0"/>
    <n v="43.176000000000002"/>
  </r>
  <r>
    <x v="3"/>
    <n v="130792"/>
    <x v="803"/>
    <s v="05/05/2016"/>
    <s v="Standard Class"/>
    <s v="Russell Applegate"/>
    <x v="595"/>
    <s v="Yes"/>
    <x v="2"/>
    <s v="Houston"/>
    <x v="1"/>
    <x v="1"/>
    <x v="1296"/>
    <x v="0"/>
    <x v="12"/>
    <n v="8.6519999999999992"/>
  </r>
  <r>
    <x v="1"/>
    <n v="123064"/>
    <x v="116"/>
    <s v="02/07/2015"/>
    <s v="First Class"/>
    <s v="Russell Applegate"/>
    <x v="595"/>
    <s v="Yes"/>
    <x v="2"/>
    <s v="Chicago"/>
    <x v="10"/>
    <x v="1"/>
    <x v="1297"/>
    <x v="0"/>
    <x v="0"/>
    <n v="5.2480000000000002"/>
  </r>
  <r>
    <x v="2"/>
    <n v="149979"/>
    <x v="220"/>
    <s v="28/09/2017"/>
    <s v="Second Class"/>
    <s v="Russell Applegate"/>
    <x v="595"/>
    <s v="Yes"/>
    <x v="2"/>
    <s v="Columbus"/>
    <x v="7"/>
    <x v="2"/>
    <x v="1298"/>
    <x v="0"/>
    <x v="3"/>
    <n v="118.25"/>
  </r>
  <r>
    <x v="3"/>
    <n v="139248"/>
    <x v="712"/>
    <s v="30/07/2016"/>
    <s v="Standard Class"/>
    <s v="Russell D'Ascenzo"/>
    <x v="596"/>
    <s v="No"/>
    <x v="2"/>
    <s v="Los Angeles"/>
    <x v="5"/>
    <x v="3"/>
    <x v="977"/>
    <x v="1"/>
    <x v="9"/>
    <n v="623.96"/>
  </r>
  <r>
    <x v="3"/>
    <n v="126445"/>
    <x v="770"/>
    <s v="31/08/2016"/>
    <s v="Standard Class"/>
    <s v="Ryan Akin"/>
    <x v="597"/>
    <s v="Yes"/>
    <x v="2"/>
    <s v="Murrieta"/>
    <x v="5"/>
    <x v="3"/>
    <x v="1299"/>
    <x v="0"/>
    <x v="3"/>
    <n v="484.65"/>
  </r>
  <r>
    <x v="1"/>
    <n v="169775"/>
    <x v="526"/>
    <s v="02/09/2015"/>
    <s v="Second Class"/>
    <s v="Ryan Akin"/>
    <x v="597"/>
    <s v="Yes"/>
    <x v="2"/>
    <s v="Miami"/>
    <x v="17"/>
    <x v="2"/>
    <x v="1300"/>
    <x v="0"/>
    <x v="16"/>
    <n v="29.808"/>
  </r>
  <r>
    <x v="0"/>
    <n v="112774"/>
    <x v="241"/>
    <s v="12/09/2018"/>
    <s v="First Class"/>
    <s v="Ryan Crowe"/>
    <x v="598"/>
    <s v="Yes"/>
    <x v="2"/>
    <s v="Jacksonville"/>
    <x v="17"/>
    <x v="2"/>
    <x v="1091"/>
    <x v="2"/>
    <x v="6"/>
    <n v="34.503999999999998"/>
  </r>
  <r>
    <x v="1"/>
    <n v="115259"/>
    <x v="804"/>
    <s v="27/08/2015"/>
    <s v="Second Class"/>
    <s v="Ryan Crowe"/>
    <x v="598"/>
    <s v="Yes"/>
    <x v="2"/>
    <s v="Columbus"/>
    <x v="21"/>
    <x v="0"/>
    <x v="1301"/>
    <x v="0"/>
    <x v="15"/>
    <n v="40.095999999999997"/>
  </r>
  <r>
    <x v="2"/>
    <n v="151512"/>
    <x v="195"/>
    <s v="02/01/2018"/>
    <s v="Standard Class"/>
    <s v="Sally Hughsby"/>
    <x v="599"/>
    <s v="Yes"/>
    <x v="0"/>
    <s v="Denver"/>
    <x v="20"/>
    <x v="3"/>
    <x v="1302"/>
    <x v="0"/>
    <x v="12"/>
    <n v="18.72"/>
  </r>
  <r>
    <x v="2"/>
    <n v="146794"/>
    <x v="261"/>
    <s v="01/10/2017"/>
    <s v="Standard Class"/>
    <s v="Sally Hughsby"/>
    <x v="599"/>
    <s v="Yes"/>
    <x v="0"/>
    <s v="Hesperia"/>
    <x v="5"/>
    <x v="3"/>
    <x v="1303"/>
    <x v="2"/>
    <x v="13"/>
    <n v="424.95749999999998"/>
  </r>
  <r>
    <x v="0"/>
    <n v="106180"/>
    <x v="142"/>
    <s v="23/09/2018"/>
    <s v="Standard Class"/>
    <s v="Sally Hughsby"/>
    <x v="599"/>
    <s v="Yes"/>
    <x v="0"/>
    <s v="San Francisco"/>
    <x v="5"/>
    <x v="3"/>
    <x v="1304"/>
    <x v="0"/>
    <x v="0"/>
    <n v="8.82"/>
  </r>
  <r>
    <x v="0"/>
    <n v="108245"/>
    <x v="450"/>
    <s v="27/09/2018"/>
    <s v="Standard Class"/>
    <s v="Sally Hughsby"/>
    <x v="599"/>
    <s v="Yes"/>
    <x v="0"/>
    <s v="Pearland"/>
    <x v="1"/>
    <x v="1"/>
    <x v="1305"/>
    <x v="0"/>
    <x v="16"/>
    <n v="13.391999999999999"/>
  </r>
  <r>
    <x v="0"/>
    <n v="108553"/>
    <x v="805"/>
    <s v="29/04/2018"/>
    <s v="Standard Class"/>
    <s v="Sally Knutson"/>
    <x v="600"/>
    <s v="Yes"/>
    <x v="2"/>
    <s v="New York City"/>
    <x v="3"/>
    <x v="0"/>
    <x v="1306"/>
    <x v="0"/>
    <x v="12"/>
    <n v="121.94"/>
  </r>
  <r>
    <x v="2"/>
    <n v="105018"/>
    <x v="806"/>
    <s v="02/12/2017"/>
    <s v="Standard Class"/>
    <s v="Sally Knutson"/>
    <x v="600"/>
    <s v="Yes"/>
    <x v="2"/>
    <s v="Fairfield"/>
    <x v="28"/>
    <x v="0"/>
    <x v="1307"/>
    <x v="0"/>
    <x v="7"/>
    <n v="7.16"/>
  </r>
  <r>
    <x v="1"/>
    <n v="148488"/>
    <x v="807"/>
    <s v="15/12/2015"/>
    <s v="Standard Class"/>
    <s v="Sally Matthias"/>
    <x v="601"/>
    <s v="No"/>
    <x v="2"/>
    <s v="New York City"/>
    <x v="3"/>
    <x v="0"/>
    <x v="1308"/>
    <x v="0"/>
    <x v="2"/>
    <n v="11.36"/>
  </r>
  <r>
    <x v="3"/>
    <n v="154284"/>
    <x v="436"/>
    <s v="26/12/2016"/>
    <s v="Second Class"/>
    <s v="Sam Zeldin"/>
    <x v="602"/>
    <s v="Yes"/>
    <x v="1"/>
    <s v="Saint Charles"/>
    <x v="10"/>
    <x v="1"/>
    <x v="426"/>
    <x v="1"/>
    <x v="1"/>
    <n v="600.53"/>
  </r>
  <r>
    <x v="0"/>
    <n v="111024"/>
    <x v="293"/>
    <s v="06/07/2018"/>
    <s v="Second Class"/>
    <s v="Sam Zeldin"/>
    <x v="602"/>
    <s v="Yes"/>
    <x v="1"/>
    <s v="Lancaster"/>
    <x v="21"/>
    <x v="0"/>
    <x v="768"/>
    <x v="0"/>
    <x v="2"/>
    <n v="32.896000000000001"/>
  </r>
  <r>
    <x v="2"/>
    <n v="123533"/>
    <x v="65"/>
    <s v="30/11/2017"/>
    <s v="Standard Class"/>
    <s v="Sample Company A"/>
    <x v="603"/>
    <s v="Yes"/>
    <x v="1"/>
    <s v="Hialeah"/>
    <x v="17"/>
    <x v="2"/>
    <x v="13"/>
    <x v="2"/>
    <x v="13"/>
    <n v="339.92"/>
  </r>
  <r>
    <x v="2"/>
    <n v="155005"/>
    <x v="808"/>
    <s v="15/06/2017"/>
    <s v="Second Class"/>
    <s v="Sample Company A"/>
    <x v="603"/>
    <s v="Yes"/>
    <x v="1"/>
    <s v="Jackson"/>
    <x v="34"/>
    <x v="1"/>
    <x v="1309"/>
    <x v="1"/>
    <x v="9"/>
    <n v="377.97"/>
  </r>
  <r>
    <x v="0"/>
    <n v="156909"/>
    <x v="809"/>
    <s v="18/07/2018"/>
    <s v="Second Class"/>
    <s v="Sandra Flanagan"/>
    <x v="604"/>
    <s v="Yes"/>
    <x v="2"/>
    <s v="Philadelphia"/>
    <x v="0"/>
    <x v="0"/>
    <x v="727"/>
    <x v="2"/>
    <x v="10"/>
    <n v="71.372"/>
  </r>
  <r>
    <x v="3"/>
    <n v="164357"/>
    <x v="810"/>
    <s v="29/11/2016"/>
    <s v="Standard Class"/>
    <s v="Sandra Flanagan"/>
    <x v="604"/>
    <s v="Yes"/>
    <x v="2"/>
    <s v="Wilmington"/>
    <x v="2"/>
    <x v="2"/>
    <x v="1310"/>
    <x v="0"/>
    <x v="0"/>
    <n v="13.12"/>
  </r>
  <r>
    <x v="0"/>
    <n v="155376"/>
    <x v="544"/>
    <s v="27/12/2018"/>
    <s v="Standard Class"/>
    <s v="Sandra Glassco"/>
    <x v="605"/>
    <s v="No"/>
    <x v="2"/>
    <s v="Independence"/>
    <x v="9"/>
    <x v="1"/>
    <x v="1311"/>
    <x v="0"/>
    <x v="12"/>
    <n v="839.43"/>
  </r>
  <r>
    <x v="3"/>
    <n v="123568"/>
    <x v="793"/>
    <s v="14/11/2016"/>
    <s v="Standard Class"/>
    <s v="Sanjit Chand"/>
    <x v="606"/>
    <s v="Yes"/>
    <x v="2"/>
    <s v="West Jordan"/>
    <x v="19"/>
    <x v="3"/>
    <x v="1312"/>
    <x v="0"/>
    <x v="15"/>
    <n v="5.04"/>
  </r>
  <r>
    <x v="2"/>
    <n v="130638"/>
    <x v="394"/>
    <s v="19/05/2017"/>
    <s v="Second Class"/>
    <s v="Sanjit Chand"/>
    <x v="606"/>
    <s v="Yes"/>
    <x v="2"/>
    <s v="Los Angeles"/>
    <x v="5"/>
    <x v="3"/>
    <x v="1313"/>
    <x v="2"/>
    <x v="6"/>
    <n v="282.83999999999997"/>
  </r>
  <r>
    <x v="2"/>
    <n v="126158"/>
    <x v="287"/>
    <s v="31/07/2017"/>
    <s v="Standard Class"/>
    <s v="Sanjit Chand"/>
    <x v="606"/>
    <s v="Yes"/>
    <x v="2"/>
    <s v="Costa Mesa"/>
    <x v="5"/>
    <x v="3"/>
    <x v="1314"/>
    <x v="0"/>
    <x v="7"/>
    <n v="119.616"/>
  </r>
  <r>
    <x v="1"/>
    <n v="110674"/>
    <x v="811"/>
    <s v="18/02/2015"/>
    <s v="Standard Class"/>
    <s v="Sanjit Chand"/>
    <x v="606"/>
    <s v="Yes"/>
    <x v="2"/>
    <s v="Concord"/>
    <x v="5"/>
    <x v="3"/>
    <x v="1315"/>
    <x v="2"/>
    <x v="10"/>
    <n v="129.56800000000001"/>
  </r>
  <r>
    <x v="2"/>
    <n v="115455"/>
    <x v="93"/>
    <s v="14/09/2017"/>
    <s v="Standard Class"/>
    <s v="Sanjit Engle"/>
    <x v="607"/>
    <s v="Yes"/>
    <x v="2"/>
    <s v="Wheeling"/>
    <x v="10"/>
    <x v="1"/>
    <x v="1316"/>
    <x v="2"/>
    <x v="6"/>
    <n v="14.135999999999999"/>
  </r>
  <r>
    <x v="3"/>
    <n v="111164"/>
    <x v="812"/>
    <s v="15/04/2016"/>
    <s v="Standard Class"/>
    <s v="Sanjit Engle"/>
    <x v="607"/>
    <s v="Yes"/>
    <x v="2"/>
    <s v="New York City"/>
    <x v="3"/>
    <x v="0"/>
    <x v="521"/>
    <x v="1"/>
    <x v="4"/>
    <n v="85.14"/>
  </r>
  <r>
    <x v="0"/>
    <n v="155047"/>
    <x v="63"/>
    <s v="30/08/2018"/>
    <s v="First Class"/>
    <s v="Sanjit Engle"/>
    <x v="607"/>
    <s v="Yes"/>
    <x v="2"/>
    <s v="Dallas"/>
    <x v="1"/>
    <x v="1"/>
    <x v="1317"/>
    <x v="0"/>
    <x v="0"/>
    <n v="5.952"/>
  </r>
  <r>
    <x v="0"/>
    <n v="166849"/>
    <x v="813"/>
    <s v="26/04/2018"/>
    <s v="Standard Class"/>
    <s v="Sanjit Jacobs"/>
    <x v="608"/>
    <s v="Yes"/>
    <x v="1"/>
    <s v="Chicago"/>
    <x v="10"/>
    <x v="1"/>
    <x v="1318"/>
    <x v="2"/>
    <x v="6"/>
    <n v="44.4"/>
  </r>
  <r>
    <x v="0"/>
    <n v="110212"/>
    <x v="239"/>
    <s v="05/05/2018"/>
    <s v="Standard Class"/>
    <s v="Sanjit Jacobs"/>
    <x v="608"/>
    <s v="Yes"/>
    <x v="1"/>
    <s v="Texarkana"/>
    <x v="37"/>
    <x v="2"/>
    <x v="1105"/>
    <x v="1"/>
    <x v="4"/>
    <n v="48.9"/>
  </r>
  <r>
    <x v="0"/>
    <n v="129490"/>
    <x v="814"/>
    <s v="30/09/2018"/>
    <s v="Standard Class"/>
    <s v="Sanjit Jacobs"/>
    <x v="608"/>
    <s v="Yes"/>
    <x v="1"/>
    <s v="Miramar"/>
    <x v="17"/>
    <x v="2"/>
    <x v="1319"/>
    <x v="2"/>
    <x v="10"/>
    <n v="419.13600000000002"/>
  </r>
  <r>
    <x v="2"/>
    <n v="159730"/>
    <x v="296"/>
    <s v="21/09/2017"/>
    <s v="Standard Class"/>
    <s v="Sanjit Jacobs"/>
    <x v="608"/>
    <s v="Yes"/>
    <x v="1"/>
    <s v="Seattle"/>
    <x v="15"/>
    <x v="3"/>
    <x v="1320"/>
    <x v="2"/>
    <x v="10"/>
    <n v="113.88800000000001"/>
  </r>
  <r>
    <x v="0"/>
    <n v="136063"/>
    <x v="815"/>
    <s v="19/12/2018"/>
    <s v="Standard Class"/>
    <s v="Saphhira Shifley"/>
    <x v="609"/>
    <s v="Yes"/>
    <x v="0"/>
    <s v="Oak Park"/>
    <x v="10"/>
    <x v="1"/>
    <x v="1321"/>
    <x v="0"/>
    <x v="0"/>
    <n v="10.192"/>
  </r>
  <r>
    <x v="0"/>
    <n v="165603"/>
    <x v="132"/>
    <s v="19/10/2018"/>
    <s v="Second Class"/>
    <s v="Saphhira Shifley"/>
    <x v="609"/>
    <s v="Yes"/>
    <x v="0"/>
    <s v="Warwick"/>
    <x v="33"/>
    <x v="0"/>
    <x v="1322"/>
    <x v="0"/>
    <x v="3"/>
    <n v="49.96"/>
  </r>
  <r>
    <x v="3"/>
    <n v="153549"/>
    <x v="395"/>
    <s v="31/03/2016"/>
    <s v="Second Class"/>
    <s v="Sara Luxemburg"/>
    <x v="610"/>
    <s v="Yes"/>
    <x v="1"/>
    <s v="Jacksonville"/>
    <x v="17"/>
    <x v="2"/>
    <x v="218"/>
    <x v="2"/>
    <x v="10"/>
    <n v="1166.92"/>
  </r>
  <r>
    <x v="0"/>
    <n v="145884"/>
    <x v="730"/>
    <s v="21/10/2018"/>
    <s v="Same Day"/>
    <s v="Sara Luxemburg"/>
    <x v="610"/>
    <s v="Yes"/>
    <x v="1"/>
    <s v="Muskogee"/>
    <x v="14"/>
    <x v="1"/>
    <x v="1323"/>
    <x v="1"/>
    <x v="9"/>
    <n v="1439.92"/>
  </r>
  <r>
    <x v="0"/>
    <n v="108441"/>
    <x v="647"/>
    <s v="18/06/2018"/>
    <s v="Standard Class"/>
    <s v="Sarah Bern"/>
    <x v="611"/>
    <s v="No"/>
    <x v="2"/>
    <s v="New York City"/>
    <x v="3"/>
    <x v="0"/>
    <x v="1324"/>
    <x v="0"/>
    <x v="2"/>
    <n v="19.04"/>
  </r>
  <r>
    <x v="3"/>
    <n v="146675"/>
    <x v="642"/>
    <s v="20/04/2016"/>
    <s v="Standard Class"/>
    <s v="Sarah Brown"/>
    <x v="612"/>
    <s v="No"/>
    <x v="2"/>
    <s v="Evanston"/>
    <x v="10"/>
    <x v="1"/>
    <x v="1325"/>
    <x v="1"/>
    <x v="11"/>
    <n v="1439.9680000000001"/>
  </r>
  <r>
    <x v="0"/>
    <n v="158505"/>
    <x v="816"/>
    <s v="21/07/2018"/>
    <s v="Same Day"/>
    <s v="Sarah Foster"/>
    <x v="613"/>
    <s v="Yes"/>
    <x v="2"/>
    <s v="Murray"/>
    <x v="19"/>
    <x v="3"/>
    <x v="1031"/>
    <x v="1"/>
    <x v="9"/>
    <n v="71.927999999999997"/>
  </r>
  <r>
    <x v="3"/>
    <n v="120341"/>
    <x v="217"/>
    <s v="29/09/2016"/>
    <s v="Second Class"/>
    <s v="Sarah Foster"/>
    <x v="613"/>
    <s v="Yes"/>
    <x v="2"/>
    <s v="Philadelphia"/>
    <x v="0"/>
    <x v="0"/>
    <x v="1326"/>
    <x v="0"/>
    <x v="7"/>
    <n v="121.104"/>
  </r>
  <r>
    <x v="0"/>
    <n v="123967"/>
    <x v="817"/>
    <s v="03/11/2018"/>
    <s v="Second Class"/>
    <s v="Sarah Foster"/>
    <x v="613"/>
    <s v="Yes"/>
    <x v="2"/>
    <s v="Bellingham"/>
    <x v="15"/>
    <x v="3"/>
    <x v="1327"/>
    <x v="0"/>
    <x v="7"/>
    <n v="25.12"/>
  </r>
  <r>
    <x v="2"/>
    <n v="127250"/>
    <x v="304"/>
    <s v="07/11/2017"/>
    <s v="Standard Class"/>
    <s v="Sarah Foster"/>
    <x v="613"/>
    <s v="Yes"/>
    <x v="2"/>
    <s v="Marysville"/>
    <x v="15"/>
    <x v="3"/>
    <x v="46"/>
    <x v="0"/>
    <x v="0"/>
    <n v="8.82"/>
  </r>
  <r>
    <x v="0"/>
    <n v="113355"/>
    <x v="302"/>
    <s v="05/12/2018"/>
    <s v="Standard Class"/>
    <s v="Sarah Jordon"/>
    <x v="614"/>
    <s v="No"/>
    <x v="2"/>
    <s v="Grand Prairie"/>
    <x v="1"/>
    <x v="1"/>
    <x v="1328"/>
    <x v="1"/>
    <x v="9"/>
    <n v="219.8"/>
  </r>
  <r>
    <x v="2"/>
    <n v="156685"/>
    <x v="269"/>
    <s v="10/07/2017"/>
    <s v="Second Class"/>
    <s v="Scot Coram"/>
    <x v="615"/>
    <s v="No"/>
    <x v="0"/>
    <s v="Arlington"/>
    <x v="1"/>
    <x v="1"/>
    <x v="887"/>
    <x v="1"/>
    <x v="9"/>
    <n v="863.64"/>
  </r>
  <r>
    <x v="2"/>
    <n v="130267"/>
    <x v="97"/>
    <s v="23/09/2017"/>
    <s v="Standard Class"/>
    <s v="Scot Wooten"/>
    <x v="616"/>
    <s v="Yes"/>
    <x v="2"/>
    <s v="Stockton"/>
    <x v="5"/>
    <x v="3"/>
    <x v="688"/>
    <x v="0"/>
    <x v="2"/>
    <n v="159.88"/>
  </r>
  <r>
    <x v="1"/>
    <n v="142965"/>
    <x v="818"/>
    <s v="20/07/2015"/>
    <s v="Same Day"/>
    <s v="Scot Wooten"/>
    <x v="616"/>
    <s v="Yes"/>
    <x v="2"/>
    <s v="Springfield"/>
    <x v="21"/>
    <x v="0"/>
    <x v="294"/>
    <x v="0"/>
    <x v="3"/>
    <n v="25.984000000000002"/>
  </r>
  <r>
    <x v="0"/>
    <n v="144680"/>
    <x v="253"/>
    <s v="02/04/2018"/>
    <s v="First Class"/>
    <s v="Scott Cohen"/>
    <x v="617"/>
    <s v="Yes"/>
    <x v="0"/>
    <s v="Arlington"/>
    <x v="1"/>
    <x v="1"/>
    <x v="548"/>
    <x v="0"/>
    <x v="12"/>
    <n v="33.619999999999997"/>
  </r>
  <r>
    <x v="3"/>
    <n v="111514"/>
    <x v="75"/>
    <s v="02/09/2016"/>
    <s v="First Class"/>
    <s v="Scott Cohen"/>
    <x v="617"/>
    <s v="Yes"/>
    <x v="0"/>
    <s v="San Francisco"/>
    <x v="5"/>
    <x v="3"/>
    <x v="1329"/>
    <x v="2"/>
    <x v="13"/>
    <n v="1552.8309999999999"/>
  </r>
  <r>
    <x v="1"/>
    <n v="100279"/>
    <x v="619"/>
    <s v="14/03/2015"/>
    <s v="Standard Class"/>
    <s v="Scott Williamson"/>
    <x v="618"/>
    <s v="No"/>
    <x v="2"/>
    <s v="Royal Oak"/>
    <x v="34"/>
    <x v="1"/>
    <x v="1330"/>
    <x v="0"/>
    <x v="2"/>
    <n v="22.38"/>
  </r>
  <r>
    <x v="1"/>
    <n v="106992"/>
    <x v="466"/>
    <s v="21/09/2015"/>
    <s v="Second Class"/>
    <s v="Sean Braxton"/>
    <x v="619"/>
    <s v="Yes"/>
    <x v="0"/>
    <s v="Houston"/>
    <x v="1"/>
    <x v="1"/>
    <x v="1101"/>
    <x v="1"/>
    <x v="1"/>
    <n v="3059.982"/>
  </r>
  <r>
    <x v="2"/>
    <n v="158575"/>
    <x v="130"/>
    <s v="24/11/2017"/>
    <s v="Standard Class"/>
    <s v="Sean Braxton"/>
    <x v="619"/>
    <s v="Yes"/>
    <x v="0"/>
    <s v="Kent"/>
    <x v="21"/>
    <x v="0"/>
    <x v="1331"/>
    <x v="0"/>
    <x v="12"/>
    <n v="103.968"/>
  </r>
  <r>
    <x v="0"/>
    <n v="165344"/>
    <x v="284"/>
    <s v="15/11/2018"/>
    <s v="First Class"/>
    <s v="Sean Braxton"/>
    <x v="619"/>
    <s v="Yes"/>
    <x v="0"/>
    <s v="Springfield"/>
    <x v="21"/>
    <x v="0"/>
    <x v="1332"/>
    <x v="1"/>
    <x v="4"/>
    <n v="60.863999999999997"/>
  </r>
  <r>
    <x v="0"/>
    <n v="106103"/>
    <x v="160"/>
    <s v="15/06/2018"/>
    <s v="Standard Class"/>
    <s v="Sean Christensen"/>
    <x v="620"/>
    <s v="No"/>
    <x v="2"/>
    <s v="Rochester Hills"/>
    <x v="34"/>
    <x v="1"/>
    <x v="460"/>
    <x v="1"/>
    <x v="4"/>
    <n v="132.52000000000001"/>
  </r>
  <r>
    <x v="0"/>
    <n v="149146"/>
    <x v="690"/>
    <s v="12/10/2018"/>
    <s v="Same Day"/>
    <s v="Sean Miller"/>
    <x v="621"/>
    <s v="Yes"/>
    <x v="1"/>
    <s v="Monroe"/>
    <x v="2"/>
    <x v="2"/>
    <x v="678"/>
    <x v="0"/>
    <x v="2"/>
    <n v="7.968"/>
  </r>
  <r>
    <x v="1"/>
    <n v="145317"/>
    <x v="819"/>
    <s v="23/03/2015"/>
    <s v="Standard Class"/>
    <s v="Sean Miller"/>
    <x v="621"/>
    <s v="Yes"/>
    <x v="1"/>
    <s v="Jacksonville"/>
    <x v="17"/>
    <x v="2"/>
    <x v="1333"/>
    <x v="1"/>
    <x v="1"/>
    <n v="821.3"/>
  </r>
  <r>
    <x v="3"/>
    <n v="161718"/>
    <x v="820"/>
    <s v="10/12/2016"/>
    <s v="Standard Class"/>
    <s v="Sean O'Donnell"/>
    <x v="622"/>
    <s v="Yes"/>
    <x v="2"/>
    <s v="Hempstead"/>
    <x v="3"/>
    <x v="0"/>
    <x v="1284"/>
    <x v="2"/>
    <x v="6"/>
    <n v="28.44"/>
  </r>
  <r>
    <x v="3"/>
    <n v="108966"/>
    <x v="821"/>
    <s v="18/10/2016"/>
    <s v="Standard Class"/>
    <s v="Sean O'Donnell"/>
    <x v="622"/>
    <s v="Yes"/>
    <x v="2"/>
    <s v="Fort Lauderdale"/>
    <x v="17"/>
    <x v="2"/>
    <x v="1334"/>
    <x v="2"/>
    <x v="14"/>
    <n v="957.57749999999999"/>
  </r>
  <r>
    <x v="2"/>
    <n v="128517"/>
    <x v="822"/>
    <s v="14/04/2017"/>
    <s v="Second Class"/>
    <s v="Sean Wendt"/>
    <x v="623"/>
    <s v="Yes"/>
    <x v="1"/>
    <s v="Detroit"/>
    <x v="34"/>
    <x v="1"/>
    <x v="1335"/>
    <x v="1"/>
    <x v="9"/>
    <n v="517.9"/>
  </r>
  <r>
    <x v="2"/>
    <n v="133508"/>
    <x v="260"/>
    <s v="21/04/2017"/>
    <s v="Standard Class"/>
    <s v="Sean Wendt"/>
    <x v="623"/>
    <s v="Yes"/>
    <x v="1"/>
    <s v="Omaha"/>
    <x v="24"/>
    <x v="1"/>
    <x v="627"/>
    <x v="0"/>
    <x v="15"/>
    <n v="29.05"/>
  </r>
  <r>
    <x v="0"/>
    <n v="161200"/>
    <x v="480"/>
    <s v="10/08/2018"/>
    <s v="Second Class"/>
    <s v="Seth Vernon"/>
    <x v="624"/>
    <s v="Yes"/>
    <x v="2"/>
    <s v="Lafayette"/>
    <x v="27"/>
    <x v="2"/>
    <x v="1336"/>
    <x v="2"/>
    <x v="13"/>
    <n v="145.74"/>
  </r>
  <r>
    <x v="1"/>
    <n v="130092"/>
    <x v="823"/>
    <s v="14/01/2015"/>
    <s v="First Class"/>
    <s v="Seth Vernon"/>
    <x v="624"/>
    <s v="Yes"/>
    <x v="2"/>
    <s v="Dover"/>
    <x v="39"/>
    <x v="0"/>
    <x v="1337"/>
    <x v="2"/>
    <x v="6"/>
    <n v="9.94"/>
  </r>
  <r>
    <x v="0"/>
    <n v="142090"/>
    <x v="509"/>
    <s v="07/12/2018"/>
    <s v="Standard Class"/>
    <s v="Shahid Collister"/>
    <x v="625"/>
    <s v="Yes"/>
    <x v="2"/>
    <s v="Burlington"/>
    <x v="2"/>
    <x v="2"/>
    <x v="1338"/>
    <x v="1"/>
    <x v="4"/>
    <n v="383.976"/>
  </r>
  <r>
    <x v="3"/>
    <n v="142419"/>
    <x v="824"/>
    <s v="13/07/2016"/>
    <s v="Second Class"/>
    <s v="Shahid Collister"/>
    <x v="625"/>
    <s v="Yes"/>
    <x v="2"/>
    <s v="Seattle"/>
    <x v="15"/>
    <x v="3"/>
    <x v="1339"/>
    <x v="0"/>
    <x v="2"/>
    <n v="29.97"/>
  </r>
  <r>
    <x v="0"/>
    <n v="126774"/>
    <x v="9"/>
    <s v="17/04/2018"/>
    <s v="First Class"/>
    <s v="Shahid Hopkins"/>
    <x v="626"/>
    <s v="Yes"/>
    <x v="2"/>
    <s v="Arlington"/>
    <x v="4"/>
    <x v="2"/>
    <x v="1340"/>
    <x v="0"/>
    <x v="0"/>
    <n v="4.8899999999999997"/>
  </r>
  <r>
    <x v="0"/>
    <n v="157980"/>
    <x v="382"/>
    <s v="09/12/2018"/>
    <s v="First Class"/>
    <s v="Shahid Hopkins"/>
    <x v="626"/>
    <s v="Yes"/>
    <x v="2"/>
    <s v="Toledo"/>
    <x v="21"/>
    <x v="0"/>
    <x v="1341"/>
    <x v="1"/>
    <x v="4"/>
    <n v="127.98399999999999"/>
  </r>
  <r>
    <x v="0"/>
    <n v="168900"/>
    <x v="656"/>
    <s v="09/05/2018"/>
    <s v="Standard Class"/>
    <s v="Shahid Hopkins"/>
    <x v="626"/>
    <s v="Yes"/>
    <x v="2"/>
    <s v="Springfield"/>
    <x v="21"/>
    <x v="0"/>
    <x v="1342"/>
    <x v="0"/>
    <x v="7"/>
    <n v="2.3130000000000002"/>
  </r>
  <r>
    <x v="0"/>
    <n v="122280"/>
    <x v="626"/>
    <s v="10/09/2018"/>
    <s v="Same Day"/>
    <s v="Shahid Hopkins"/>
    <x v="626"/>
    <s v="Yes"/>
    <x v="2"/>
    <s v="New York City"/>
    <x v="3"/>
    <x v="0"/>
    <x v="1343"/>
    <x v="0"/>
    <x v="2"/>
    <n v="18.760000000000002"/>
  </r>
  <r>
    <x v="3"/>
    <n v="154886"/>
    <x v="793"/>
    <s v="12/11/2016"/>
    <s v="Standard Class"/>
    <s v="Shaun Weien"/>
    <x v="627"/>
    <s v="Yes"/>
    <x v="2"/>
    <s v="San Francisco"/>
    <x v="5"/>
    <x v="3"/>
    <x v="1344"/>
    <x v="1"/>
    <x v="4"/>
    <n v="119.9"/>
  </r>
  <r>
    <x v="3"/>
    <n v="150560"/>
    <x v="529"/>
    <s v="12/12/2016"/>
    <s v="First Class"/>
    <s v="Shaun Weien"/>
    <x v="627"/>
    <s v="Yes"/>
    <x v="2"/>
    <s v="Suffolk"/>
    <x v="4"/>
    <x v="2"/>
    <x v="526"/>
    <x v="0"/>
    <x v="8"/>
    <n v="196.62"/>
  </r>
  <r>
    <x v="0"/>
    <n v="145429"/>
    <x v="816"/>
    <s v="25/07/2018"/>
    <s v="Standard Class"/>
    <s v="Shaun Weien"/>
    <x v="627"/>
    <s v="Yes"/>
    <x v="2"/>
    <s v="San Diego"/>
    <x v="5"/>
    <x v="3"/>
    <x v="1345"/>
    <x v="0"/>
    <x v="2"/>
    <n v="16.34"/>
  </r>
  <r>
    <x v="3"/>
    <n v="153535"/>
    <x v="825"/>
    <s v="24/05/2016"/>
    <s v="Standard Class"/>
    <s v="Sheri Gordon"/>
    <x v="628"/>
    <s v="No"/>
    <x v="2"/>
    <s v="Wilson"/>
    <x v="2"/>
    <x v="2"/>
    <x v="1346"/>
    <x v="2"/>
    <x v="6"/>
    <n v="163.136"/>
  </r>
  <r>
    <x v="1"/>
    <n v="101476"/>
    <x v="186"/>
    <s v="13/09/2015"/>
    <s v="First Class"/>
    <s v="Shirley Daniels"/>
    <x v="629"/>
    <s v="Yes"/>
    <x v="1"/>
    <s v="New Rochelle"/>
    <x v="3"/>
    <x v="0"/>
    <x v="925"/>
    <x v="1"/>
    <x v="1"/>
    <n v="69.989999999999995"/>
  </r>
  <r>
    <x v="0"/>
    <n v="102337"/>
    <x v="826"/>
    <s v="16/06/2018"/>
    <s v="First Class"/>
    <s v="Shirley Daniels"/>
    <x v="629"/>
    <s v="Yes"/>
    <x v="1"/>
    <s v="Chicago"/>
    <x v="10"/>
    <x v="1"/>
    <x v="1347"/>
    <x v="0"/>
    <x v="3"/>
    <n v="164.73599999999999"/>
  </r>
  <r>
    <x v="0"/>
    <n v="141698"/>
    <x v="9"/>
    <s v="21/04/2018"/>
    <s v="Standard Class"/>
    <s v="Shirley Daniels"/>
    <x v="629"/>
    <s v="Yes"/>
    <x v="1"/>
    <s v="Houston"/>
    <x v="1"/>
    <x v="1"/>
    <x v="1348"/>
    <x v="0"/>
    <x v="2"/>
    <n v="20.736000000000001"/>
  </r>
  <r>
    <x v="1"/>
    <n v="155502"/>
    <x v="827"/>
    <s v="31/01/2015"/>
    <s v="Standard Class"/>
    <s v="Shirley Daniels"/>
    <x v="629"/>
    <s v="Yes"/>
    <x v="1"/>
    <s v="Alexandria"/>
    <x v="4"/>
    <x v="2"/>
    <x v="984"/>
    <x v="2"/>
    <x v="6"/>
    <n v="62.82"/>
  </r>
  <r>
    <x v="2"/>
    <n v="121356"/>
    <x v="60"/>
    <s v="24/11/2017"/>
    <s v="Standard Class"/>
    <s v="Shirley Jackson"/>
    <x v="630"/>
    <s v="Yes"/>
    <x v="2"/>
    <s v="Newark"/>
    <x v="39"/>
    <x v="0"/>
    <x v="1349"/>
    <x v="0"/>
    <x v="7"/>
    <n v="128.4"/>
  </r>
  <r>
    <x v="0"/>
    <n v="152366"/>
    <x v="588"/>
    <s v="25/04/2018"/>
    <s v="Second Class"/>
    <s v="Shirley Jackson"/>
    <x v="630"/>
    <s v="Yes"/>
    <x v="2"/>
    <s v="Houston"/>
    <x v="1"/>
    <x v="1"/>
    <x v="1350"/>
    <x v="0"/>
    <x v="12"/>
    <n v="97.263999999999996"/>
  </r>
  <r>
    <x v="1"/>
    <n v="164182"/>
    <x v="769"/>
    <s v="18/07/2015"/>
    <s v="Standard Class"/>
    <s v="Shui Tom"/>
    <x v="631"/>
    <s v="Yes"/>
    <x v="2"/>
    <s v="Philadelphia"/>
    <x v="0"/>
    <x v="0"/>
    <x v="1351"/>
    <x v="1"/>
    <x v="9"/>
    <n v="13.494"/>
  </r>
  <r>
    <x v="0"/>
    <n v="106852"/>
    <x v="559"/>
    <s v="27/06/2018"/>
    <s v="Standard Class"/>
    <s v="Shui Tom"/>
    <x v="631"/>
    <s v="Yes"/>
    <x v="2"/>
    <s v="Parma"/>
    <x v="21"/>
    <x v="0"/>
    <x v="1352"/>
    <x v="0"/>
    <x v="2"/>
    <n v="31.103999999999999"/>
  </r>
  <r>
    <x v="0"/>
    <n v="101840"/>
    <x v="828"/>
    <s v="12/02/2018"/>
    <s v="Standard Class"/>
    <s v="Sibella Parks"/>
    <x v="632"/>
    <s v="Yes"/>
    <x v="0"/>
    <s v="New York City"/>
    <x v="3"/>
    <x v="0"/>
    <x v="1353"/>
    <x v="1"/>
    <x v="9"/>
    <n v="227.46"/>
  </r>
  <r>
    <x v="2"/>
    <n v="103646"/>
    <x v="829"/>
    <s v="26/04/2017"/>
    <s v="Standard Class"/>
    <s v="Sibella Parks"/>
    <x v="632"/>
    <s v="Yes"/>
    <x v="0"/>
    <s v="Chicago"/>
    <x v="10"/>
    <x v="1"/>
    <x v="1354"/>
    <x v="0"/>
    <x v="3"/>
    <n v="102.336"/>
  </r>
  <r>
    <x v="2"/>
    <n v="123666"/>
    <x v="375"/>
    <s v="30/03/2017"/>
    <s v="Standard Class"/>
    <s v="Sibella Parks"/>
    <x v="632"/>
    <s v="Yes"/>
    <x v="0"/>
    <s v="New York City"/>
    <x v="3"/>
    <x v="0"/>
    <x v="1355"/>
    <x v="0"/>
    <x v="3"/>
    <n v="459.95"/>
  </r>
  <r>
    <x v="2"/>
    <n v="128909"/>
    <x v="830"/>
    <s v="11/10/2017"/>
    <s v="Second Class"/>
    <s v="Sibella Parks"/>
    <x v="632"/>
    <s v="Yes"/>
    <x v="0"/>
    <s v="Philadelphia"/>
    <x v="0"/>
    <x v="0"/>
    <x v="1356"/>
    <x v="0"/>
    <x v="2"/>
    <n v="19.135999999999999"/>
  </r>
  <r>
    <x v="3"/>
    <n v="125934"/>
    <x v="486"/>
    <s v="18/09/2016"/>
    <s v="Standard Class"/>
    <s v="Skye Norling"/>
    <x v="633"/>
    <s v="Yes"/>
    <x v="1"/>
    <s v="Paterson"/>
    <x v="35"/>
    <x v="0"/>
    <x v="1357"/>
    <x v="0"/>
    <x v="8"/>
    <n v="31.05"/>
  </r>
  <r>
    <x v="3"/>
    <n v="144652"/>
    <x v="202"/>
    <s v="26/11/2016"/>
    <s v="Standard Class"/>
    <s v="Skye Norling"/>
    <x v="633"/>
    <s v="Yes"/>
    <x v="1"/>
    <s v="Los Angeles"/>
    <x v="5"/>
    <x v="3"/>
    <x v="1358"/>
    <x v="0"/>
    <x v="0"/>
    <n v="19.46"/>
  </r>
  <r>
    <x v="3"/>
    <n v="122287"/>
    <x v="621"/>
    <s v="23/06/2016"/>
    <s v="Standard Class"/>
    <s v="Skye Norling"/>
    <x v="633"/>
    <s v="Yes"/>
    <x v="1"/>
    <s v="Peoria"/>
    <x v="13"/>
    <x v="3"/>
    <x v="1359"/>
    <x v="0"/>
    <x v="2"/>
    <n v="11.952"/>
  </r>
  <r>
    <x v="2"/>
    <n v="136287"/>
    <x v="808"/>
    <s v="17/06/2017"/>
    <s v="Standard Class"/>
    <s v="Sonia Sunley"/>
    <x v="634"/>
    <s v="Yes"/>
    <x v="2"/>
    <s v="Wichita"/>
    <x v="36"/>
    <x v="1"/>
    <x v="1360"/>
    <x v="0"/>
    <x v="8"/>
    <n v="18.899999999999999"/>
  </r>
  <r>
    <x v="2"/>
    <n v="116540"/>
    <x v="606"/>
    <s v="02/09/2017"/>
    <s v="Same Day"/>
    <s v="Sonia Sunley"/>
    <x v="634"/>
    <s v="Yes"/>
    <x v="2"/>
    <s v="Madison"/>
    <x v="29"/>
    <x v="1"/>
    <x v="1361"/>
    <x v="0"/>
    <x v="15"/>
    <n v="1.81"/>
  </r>
  <r>
    <x v="2"/>
    <n v="169166"/>
    <x v="594"/>
    <s v="14/05/2017"/>
    <s v="Standard Class"/>
    <s v="Sonia Sunley"/>
    <x v="634"/>
    <s v="Yes"/>
    <x v="2"/>
    <s v="Seattle"/>
    <x v="15"/>
    <x v="3"/>
    <x v="194"/>
    <x v="1"/>
    <x v="4"/>
    <n v="93.98"/>
  </r>
  <r>
    <x v="3"/>
    <n v="127040"/>
    <x v="121"/>
    <s v="10/12/2016"/>
    <s v="Standard Class"/>
    <s v="Speros Goranitis"/>
    <x v="635"/>
    <s v="Yes"/>
    <x v="2"/>
    <s v="New York City"/>
    <x v="3"/>
    <x v="0"/>
    <x v="1362"/>
    <x v="0"/>
    <x v="2"/>
    <n v="6.48"/>
  </r>
  <r>
    <x v="1"/>
    <n v="169446"/>
    <x v="144"/>
    <s v="25/12/2015"/>
    <s v="Standard Class"/>
    <s v="Speros Goranitis"/>
    <x v="635"/>
    <s v="Yes"/>
    <x v="2"/>
    <s v="Chicago"/>
    <x v="10"/>
    <x v="1"/>
    <x v="1363"/>
    <x v="1"/>
    <x v="9"/>
    <n v="323.976"/>
  </r>
  <r>
    <x v="3"/>
    <n v="149636"/>
    <x v="831"/>
    <s v="12/01/2016"/>
    <s v="Standard Class"/>
    <s v="Stefania Perrino"/>
    <x v="636"/>
    <s v="Yes"/>
    <x v="0"/>
    <s v="Colorado Springs"/>
    <x v="20"/>
    <x v="3"/>
    <x v="1364"/>
    <x v="0"/>
    <x v="2"/>
    <n v="29.6"/>
  </r>
  <r>
    <x v="1"/>
    <n v="123127"/>
    <x v="150"/>
    <s v="12/09/2015"/>
    <s v="Standard Class"/>
    <s v="Stefania Perrino"/>
    <x v="636"/>
    <s v="Yes"/>
    <x v="0"/>
    <s v="Long Beach"/>
    <x v="3"/>
    <x v="0"/>
    <x v="1365"/>
    <x v="0"/>
    <x v="12"/>
    <n v="16.78"/>
  </r>
  <r>
    <x v="1"/>
    <n v="110065"/>
    <x v="255"/>
    <s v="11/08/2015"/>
    <s v="Standard Class"/>
    <s v="Stephanie Phelps"/>
    <x v="637"/>
    <s v="Yes"/>
    <x v="0"/>
    <s v="New York City"/>
    <x v="3"/>
    <x v="0"/>
    <x v="1366"/>
    <x v="1"/>
    <x v="9"/>
    <n v="135.99"/>
  </r>
  <r>
    <x v="3"/>
    <n v="124919"/>
    <x v="176"/>
    <s v="02/06/2016"/>
    <s v="First Class"/>
    <s v="Stephanie Phelps"/>
    <x v="637"/>
    <s v="Yes"/>
    <x v="0"/>
    <s v="San Jose"/>
    <x v="5"/>
    <x v="3"/>
    <x v="1229"/>
    <x v="0"/>
    <x v="2"/>
    <n v="58.38"/>
  </r>
  <r>
    <x v="1"/>
    <n v="155208"/>
    <x v="832"/>
    <s v="20/04/2015"/>
    <s v="Standard Class"/>
    <s v="Stephanie Phelps"/>
    <x v="637"/>
    <s v="Yes"/>
    <x v="0"/>
    <s v="Wilmington"/>
    <x v="2"/>
    <x v="2"/>
    <x v="1367"/>
    <x v="0"/>
    <x v="0"/>
    <n v="39.072000000000003"/>
  </r>
  <r>
    <x v="0"/>
    <n v="157966"/>
    <x v="161"/>
    <s v="13/03/2018"/>
    <s v="Same Day"/>
    <s v="Stephanie Ulpright"/>
    <x v="638"/>
    <s v="Yes"/>
    <x v="1"/>
    <s v="Chicago"/>
    <x v="10"/>
    <x v="1"/>
    <x v="1368"/>
    <x v="0"/>
    <x v="0"/>
    <n v="19.456"/>
  </r>
  <r>
    <x v="0"/>
    <n v="148922"/>
    <x v="51"/>
    <s v="15/12/2018"/>
    <s v="Second Class"/>
    <s v="Stephanie Ulpright"/>
    <x v="638"/>
    <s v="Yes"/>
    <x v="1"/>
    <s v="Jackson"/>
    <x v="41"/>
    <x v="2"/>
    <x v="1369"/>
    <x v="1"/>
    <x v="4"/>
    <n v="599.97"/>
  </r>
  <r>
    <x v="2"/>
    <n v="143924"/>
    <x v="833"/>
    <s v="03/08/2017"/>
    <s v="Standard Class"/>
    <s v="Steve Carroll"/>
    <x v="639"/>
    <s v="No"/>
    <x v="1"/>
    <s v="Holland"/>
    <x v="34"/>
    <x v="1"/>
    <x v="1370"/>
    <x v="0"/>
    <x v="15"/>
    <n v="20.440000000000001"/>
  </r>
  <r>
    <x v="2"/>
    <n v="114713"/>
    <x v="251"/>
    <s v="12/07/2017"/>
    <s v="Standard Class"/>
    <s v="Steve Chapman"/>
    <x v="640"/>
    <s v="No"/>
    <x v="0"/>
    <s v="Hialeah"/>
    <x v="17"/>
    <x v="2"/>
    <x v="1371"/>
    <x v="0"/>
    <x v="5"/>
    <n v="45.584000000000003"/>
  </r>
  <r>
    <x v="2"/>
    <n v="146570"/>
    <x v="834"/>
    <s v="20/05/2017"/>
    <s v="Standard Class"/>
    <s v="Steve Nguyen"/>
    <x v="641"/>
    <s v="Yes"/>
    <x v="1"/>
    <s v="Jackson"/>
    <x v="41"/>
    <x v="2"/>
    <x v="1372"/>
    <x v="0"/>
    <x v="7"/>
    <n v="511.84"/>
  </r>
  <r>
    <x v="0"/>
    <n v="152702"/>
    <x v="690"/>
    <s v="16/10/2018"/>
    <s v="Standard Class"/>
    <s v="Steve Nguyen"/>
    <x v="641"/>
    <s v="Yes"/>
    <x v="1"/>
    <s v="Rockford"/>
    <x v="10"/>
    <x v="1"/>
    <x v="1373"/>
    <x v="2"/>
    <x v="10"/>
    <n v="254.60400000000001"/>
  </r>
  <r>
    <x v="3"/>
    <n v="117415"/>
    <x v="125"/>
    <s v="31/12/2016"/>
    <s v="Standard Class"/>
    <s v="Steve Nguyen"/>
    <x v="641"/>
    <s v="Yes"/>
    <x v="1"/>
    <s v="Houston"/>
    <x v="1"/>
    <x v="1"/>
    <x v="1286"/>
    <x v="0"/>
    <x v="16"/>
    <n v="113.328"/>
  </r>
  <r>
    <x v="3"/>
    <n v="161991"/>
    <x v="217"/>
    <s v="28/09/2016"/>
    <s v="Second Class"/>
    <s v="Steven Cartwright"/>
    <x v="642"/>
    <s v="Yes"/>
    <x v="2"/>
    <s v="Houston"/>
    <x v="1"/>
    <x v="1"/>
    <x v="1374"/>
    <x v="0"/>
    <x v="7"/>
    <n v="2.08"/>
  </r>
  <r>
    <x v="0"/>
    <n v="144463"/>
    <x v="501"/>
    <s v="05/01/2018"/>
    <s v="Standard Class"/>
    <s v="Steven Cartwright"/>
    <x v="642"/>
    <s v="Yes"/>
    <x v="2"/>
    <s v="Los Angeles"/>
    <x v="5"/>
    <x v="3"/>
    <x v="566"/>
    <x v="2"/>
    <x v="6"/>
    <n v="474.43"/>
  </r>
  <r>
    <x v="2"/>
    <n v="103730"/>
    <x v="319"/>
    <s v="15/06/2017"/>
    <s v="First Class"/>
    <s v="Steven Cartwright"/>
    <x v="642"/>
    <s v="Yes"/>
    <x v="2"/>
    <s v="Wilmington"/>
    <x v="39"/>
    <x v="0"/>
    <x v="1375"/>
    <x v="2"/>
    <x v="6"/>
    <n v="47.04"/>
  </r>
  <r>
    <x v="1"/>
    <n v="164903"/>
    <x v="652"/>
    <s v="24/02/2015"/>
    <s v="Standard Class"/>
    <s v="Steven Roelle"/>
    <x v="643"/>
    <s v="Yes"/>
    <x v="1"/>
    <s v="Los Angeles"/>
    <x v="5"/>
    <x v="3"/>
    <x v="1376"/>
    <x v="0"/>
    <x v="2"/>
    <n v="12.96"/>
  </r>
  <r>
    <x v="0"/>
    <n v="165323"/>
    <x v="610"/>
    <s v="21/06/2018"/>
    <s v="Standard Class"/>
    <s v="Steven Roelle"/>
    <x v="643"/>
    <s v="Yes"/>
    <x v="1"/>
    <s v="New York City"/>
    <x v="3"/>
    <x v="0"/>
    <x v="590"/>
    <x v="1"/>
    <x v="1"/>
    <n v="3404.5"/>
  </r>
  <r>
    <x v="2"/>
    <n v="137050"/>
    <x v="215"/>
    <s v="18/07/2017"/>
    <s v="Second Class"/>
    <s v="Steven Ward"/>
    <x v="644"/>
    <s v="No"/>
    <x v="0"/>
    <s v="New York City"/>
    <x v="3"/>
    <x v="0"/>
    <x v="1377"/>
    <x v="0"/>
    <x v="3"/>
    <n v="11.21"/>
  </r>
  <r>
    <x v="2"/>
    <n v="127208"/>
    <x v="319"/>
    <s v="15/06/2017"/>
    <s v="First Class"/>
    <s v="Stewart Carmichael"/>
    <x v="645"/>
    <s v="No"/>
    <x v="0"/>
    <s v="Decatur"/>
    <x v="30"/>
    <x v="2"/>
    <x v="1378"/>
    <x v="0"/>
    <x v="12"/>
    <n v="208.16"/>
  </r>
  <r>
    <x v="3"/>
    <n v="112130"/>
    <x v="835"/>
    <s v="07/05/2016"/>
    <s v="Standard Class"/>
    <s v="Stewart Visinsky"/>
    <x v="646"/>
    <s v="Yes"/>
    <x v="2"/>
    <s v="Philadelphia"/>
    <x v="0"/>
    <x v="0"/>
    <x v="830"/>
    <x v="0"/>
    <x v="0"/>
    <n v="59.904000000000003"/>
  </r>
  <r>
    <x v="1"/>
    <n v="100895"/>
    <x v="276"/>
    <s v="06/06/2015"/>
    <s v="Standard Class"/>
    <s v="Stewart Visinsky"/>
    <x v="646"/>
    <s v="Yes"/>
    <x v="2"/>
    <s v="Roswell"/>
    <x v="7"/>
    <x v="2"/>
    <x v="1379"/>
    <x v="0"/>
    <x v="0"/>
    <n v="8.56"/>
  </r>
  <r>
    <x v="1"/>
    <n v="160780"/>
    <x v="359"/>
    <s v="21/06/2015"/>
    <s v="Same Day"/>
    <s v="Stewart Visinsky"/>
    <x v="646"/>
    <s v="Yes"/>
    <x v="2"/>
    <s v="Pueblo"/>
    <x v="20"/>
    <x v="3"/>
    <x v="1380"/>
    <x v="0"/>
    <x v="7"/>
    <n v="11.087999999999999"/>
  </r>
  <r>
    <x v="3"/>
    <n v="155761"/>
    <x v="529"/>
    <s v="11/12/2016"/>
    <s v="Same Day"/>
    <s v="Stuart Calhoun"/>
    <x v="647"/>
    <s v="Yes"/>
    <x v="2"/>
    <s v="Houston"/>
    <x v="1"/>
    <x v="1"/>
    <x v="1381"/>
    <x v="1"/>
    <x v="4"/>
    <n v="159.98400000000001"/>
  </r>
  <r>
    <x v="0"/>
    <n v="135167"/>
    <x v="836"/>
    <s v="20/06/2018"/>
    <s v="Standard Class"/>
    <s v="Stuart Calhoun"/>
    <x v="647"/>
    <s v="Yes"/>
    <x v="2"/>
    <s v="Los Angeles"/>
    <x v="5"/>
    <x v="3"/>
    <x v="1332"/>
    <x v="0"/>
    <x v="0"/>
    <n v="4.26"/>
  </r>
  <r>
    <x v="3"/>
    <n v="126697"/>
    <x v="256"/>
    <s v="24/09/2016"/>
    <s v="First Class"/>
    <s v="Stuart Van"/>
    <x v="648"/>
    <s v="Yes"/>
    <x v="0"/>
    <s v="Houston"/>
    <x v="1"/>
    <x v="1"/>
    <x v="1382"/>
    <x v="1"/>
    <x v="9"/>
    <n v="946.34400000000005"/>
  </r>
  <r>
    <x v="0"/>
    <n v="100237"/>
    <x v="468"/>
    <s v="19/10/2018"/>
    <s v="Standard Class"/>
    <s v="Stuart Van"/>
    <x v="648"/>
    <s v="Yes"/>
    <x v="0"/>
    <s v="Orem"/>
    <x v="19"/>
    <x v="3"/>
    <x v="1383"/>
    <x v="0"/>
    <x v="0"/>
    <n v="11.68"/>
  </r>
  <r>
    <x v="3"/>
    <n v="115938"/>
    <x v="638"/>
    <s v="30/06/2016"/>
    <s v="Standard Class"/>
    <s v="Sue Ann Reed"/>
    <x v="649"/>
    <s v="Yes"/>
    <x v="2"/>
    <s v="Richmond"/>
    <x v="4"/>
    <x v="2"/>
    <x v="1384"/>
    <x v="0"/>
    <x v="7"/>
    <n v="143.96"/>
  </r>
  <r>
    <x v="0"/>
    <n v="122154"/>
    <x v="218"/>
    <s v="11/04/2018"/>
    <s v="First Class"/>
    <s v="Sue Ann Reed"/>
    <x v="649"/>
    <s v="Yes"/>
    <x v="2"/>
    <s v="Jacksonville"/>
    <x v="17"/>
    <x v="2"/>
    <x v="1385"/>
    <x v="0"/>
    <x v="8"/>
    <n v="15.12"/>
  </r>
  <r>
    <x v="1"/>
    <n v="154627"/>
    <x v="837"/>
    <s v="31/10/2015"/>
    <s v="First Class"/>
    <s v="Sue Ann Reed"/>
    <x v="649"/>
    <s v="Yes"/>
    <x v="2"/>
    <s v="Chicago"/>
    <x v="10"/>
    <x v="1"/>
    <x v="301"/>
    <x v="1"/>
    <x v="9"/>
    <n v="2735.9520000000002"/>
  </r>
  <r>
    <x v="3"/>
    <n v="105158"/>
    <x v="127"/>
    <s v="10/09/2016"/>
    <s v="Standard Class"/>
    <s v="Sung Pak"/>
    <x v="650"/>
    <s v="Yes"/>
    <x v="0"/>
    <s v="Rochester"/>
    <x v="26"/>
    <x v="1"/>
    <x v="1386"/>
    <x v="2"/>
    <x v="6"/>
    <n v="6.16"/>
  </r>
  <r>
    <x v="1"/>
    <n v="164259"/>
    <x v="838"/>
    <s v="30/12/2015"/>
    <s v="First Class"/>
    <s v="Sung Pak"/>
    <x v="650"/>
    <s v="Yes"/>
    <x v="0"/>
    <s v="Philadelphia"/>
    <x v="0"/>
    <x v="0"/>
    <x v="1387"/>
    <x v="0"/>
    <x v="0"/>
    <n v="99.135999999999996"/>
  </r>
  <r>
    <x v="0"/>
    <n v="110478"/>
    <x v="839"/>
    <s v="09/03/2018"/>
    <s v="Standard Class"/>
    <s v="Sung Pak"/>
    <x v="650"/>
    <s v="Yes"/>
    <x v="0"/>
    <s v="Los Angeles"/>
    <x v="5"/>
    <x v="3"/>
    <x v="1388"/>
    <x v="0"/>
    <x v="0"/>
    <n v="9.32"/>
  </r>
  <r>
    <x v="1"/>
    <n v="105151"/>
    <x v="635"/>
    <s v="31/03/2015"/>
    <s v="First Class"/>
    <s v="Susan Gilcrest"/>
    <x v="651"/>
    <s v="No"/>
    <x v="0"/>
    <s v="New York City"/>
    <x v="3"/>
    <x v="0"/>
    <x v="1389"/>
    <x v="0"/>
    <x v="0"/>
    <n v="10.5"/>
  </r>
  <r>
    <x v="2"/>
    <n v="136371"/>
    <x v="185"/>
    <s v="21/03/2017"/>
    <s v="Second Class"/>
    <s v="Susan Vittorini"/>
    <x v="652"/>
    <s v="Yes"/>
    <x v="2"/>
    <s v="Oceanside"/>
    <x v="3"/>
    <x v="0"/>
    <x v="1390"/>
    <x v="2"/>
    <x v="6"/>
    <n v="14.98"/>
  </r>
  <r>
    <x v="2"/>
    <n v="124681"/>
    <x v="557"/>
    <s v="23/07/2017"/>
    <s v="Second Class"/>
    <s v="Susan Vittorini"/>
    <x v="652"/>
    <s v="Yes"/>
    <x v="2"/>
    <s v="Dallas"/>
    <x v="1"/>
    <x v="1"/>
    <x v="1391"/>
    <x v="1"/>
    <x v="4"/>
    <n v="15.576000000000001"/>
  </r>
  <r>
    <x v="3"/>
    <n v="100685"/>
    <x v="549"/>
    <s v="21/12/2016"/>
    <s v="Second Class"/>
    <s v="Suzanne McNair"/>
    <x v="653"/>
    <s v="Yes"/>
    <x v="0"/>
    <s v="Omaha"/>
    <x v="24"/>
    <x v="1"/>
    <x v="1392"/>
    <x v="0"/>
    <x v="7"/>
    <n v="7.04"/>
  </r>
  <r>
    <x v="1"/>
    <n v="126907"/>
    <x v="725"/>
    <s v="08/11/2015"/>
    <s v="Standard Class"/>
    <s v="Suzanne McNair"/>
    <x v="653"/>
    <s v="Yes"/>
    <x v="0"/>
    <s v="Chicago"/>
    <x v="10"/>
    <x v="1"/>
    <x v="1393"/>
    <x v="0"/>
    <x v="2"/>
    <n v="15.696"/>
  </r>
  <r>
    <x v="0"/>
    <n v="150497"/>
    <x v="229"/>
    <s v="24/07/2018"/>
    <s v="Standard Class"/>
    <s v="Suzanne McNair"/>
    <x v="653"/>
    <s v="Yes"/>
    <x v="0"/>
    <s v="Maple Grove"/>
    <x v="26"/>
    <x v="1"/>
    <x v="1394"/>
    <x v="0"/>
    <x v="7"/>
    <n v="735.98"/>
  </r>
  <r>
    <x v="2"/>
    <n v="144393"/>
    <x v="45"/>
    <s v="04/11/2017"/>
    <s v="Standard Class"/>
    <s v="Suzanne McNair"/>
    <x v="653"/>
    <s v="Yes"/>
    <x v="0"/>
    <s v="Greenville"/>
    <x v="2"/>
    <x v="2"/>
    <x v="1395"/>
    <x v="0"/>
    <x v="7"/>
    <n v="17.616"/>
  </r>
  <r>
    <x v="1"/>
    <n v="169852"/>
    <x v="840"/>
    <s v="26/10/2015"/>
    <s v="Standard Class"/>
    <s v="Sylvia Foulston"/>
    <x v="654"/>
    <s v="Yes"/>
    <x v="0"/>
    <s v="San Diego"/>
    <x v="5"/>
    <x v="3"/>
    <x v="1396"/>
    <x v="0"/>
    <x v="7"/>
    <n v="36.36"/>
  </r>
  <r>
    <x v="3"/>
    <n v="138009"/>
    <x v="117"/>
    <s v="03/12/2016"/>
    <s v="Standard Class"/>
    <s v="Sylvia Foulston"/>
    <x v="654"/>
    <s v="Yes"/>
    <x v="0"/>
    <s v="Dearborn"/>
    <x v="34"/>
    <x v="1"/>
    <x v="940"/>
    <x v="2"/>
    <x v="10"/>
    <n v="301.95999999999998"/>
  </r>
  <r>
    <x v="3"/>
    <n v="143077"/>
    <x v="654"/>
    <s v="21/09/2016"/>
    <s v="Standard Class"/>
    <s v="Sylvia Foulston"/>
    <x v="654"/>
    <s v="Yes"/>
    <x v="0"/>
    <s v="Houston"/>
    <x v="1"/>
    <x v="1"/>
    <x v="484"/>
    <x v="2"/>
    <x v="6"/>
    <n v="21.936"/>
  </r>
  <r>
    <x v="0"/>
    <n v="139311"/>
    <x v="841"/>
    <s v="13/08/2018"/>
    <s v="First Class"/>
    <s v="Sylvia Foulston"/>
    <x v="654"/>
    <s v="Yes"/>
    <x v="0"/>
    <s v="Bedford"/>
    <x v="1"/>
    <x v="1"/>
    <x v="1397"/>
    <x v="0"/>
    <x v="2"/>
    <n v="29.664000000000001"/>
  </r>
  <r>
    <x v="1"/>
    <n v="153087"/>
    <x v="66"/>
    <s v="03/01/2016"/>
    <s v="Standard Class"/>
    <s v="Tamara Chand"/>
    <x v="655"/>
    <s v="Yes"/>
    <x v="0"/>
    <s v="Decatur"/>
    <x v="30"/>
    <x v="2"/>
    <x v="1398"/>
    <x v="0"/>
    <x v="2"/>
    <n v="23.92"/>
  </r>
  <r>
    <x v="2"/>
    <n v="129693"/>
    <x v="680"/>
    <s v="02/12/2017"/>
    <s v="Standard Class"/>
    <s v="Tamara Chand"/>
    <x v="655"/>
    <s v="Yes"/>
    <x v="0"/>
    <s v="Seattle"/>
    <x v="15"/>
    <x v="3"/>
    <x v="1399"/>
    <x v="0"/>
    <x v="7"/>
    <n v="7.3120000000000003"/>
  </r>
  <r>
    <x v="0"/>
    <n v="103156"/>
    <x v="541"/>
    <s v="24/11/2018"/>
    <s v="First Class"/>
    <s v="Tamara Dahlen"/>
    <x v="656"/>
    <s v="Yes"/>
    <x v="2"/>
    <s v="Philadelphia"/>
    <x v="0"/>
    <x v="0"/>
    <x v="649"/>
    <x v="2"/>
    <x v="6"/>
    <n v="24.047999999999998"/>
  </r>
  <r>
    <x v="0"/>
    <n v="111178"/>
    <x v="836"/>
    <s v="22/06/2018"/>
    <s v="Standard Class"/>
    <s v="Tamara Dahlen"/>
    <x v="656"/>
    <s v="Yes"/>
    <x v="2"/>
    <s v="Quincy"/>
    <x v="10"/>
    <x v="1"/>
    <x v="539"/>
    <x v="0"/>
    <x v="0"/>
    <n v="19.559999999999999"/>
  </r>
  <r>
    <x v="0"/>
    <n v="100209"/>
    <x v="579"/>
    <s v="15/07/2018"/>
    <s v="Standard Class"/>
    <s v="Tamara Dahlen"/>
    <x v="656"/>
    <s v="Yes"/>
    <x v="2"/>
    <s v="Portland"/>
    <x v="25"/>
    <x v="3"/>
    <x v="1400"/>
    <x v="0"/>
    <x v="7"/>
    <n v="1.08"/>
  </r>
  <r>
    <x v="0"/>
    <n v="134306"/>
    <x v="551"/>
    <s v="12/07/2018"/>
    <s v="Standard Class"/>
    <s v="Tamara Dahlen"/>
    <x v="656"/>
    <s v="Yes"/>
    <x v="2"/>
    <s v="Lowell"/>
    <x v="23"/>
    <x v="0"/>
    <x v="1401"/>
    <x v="0"/>
    <x v="0"/>
    <n v="7.56"/>
  </r>
  <r>
    <x v="0"/>
    <n v="150959"/>
    <x v="442"/>
    <s v="13/11/2018"/>
    <s v="First Class"/>
    <s v="Tamara Dahlen"/>
    <x v="656"/>
    <s v="Yes"/>
    <x v="2"/>
    <s v="Garland"/>
    <x v="1"/>
    <x v="1"/>
    <x v="1402"/>
    <x v="0"/>
    <x v="8"/>
    <n v="10.44"/>
  </r>
  <r>
    <x v="1"/>
    <n v="156006"/>
    <x v="842"/>
    <s v="02/05/2015"/>
    <s v="Second Class"/>
    <s v="Tamara Manning"/>
    <x v="657"/>
    <s v="Yes"/>
    <x v="2"/>
    <s v="Jackson"/>
    <x v="41"/>
    <x v="2"/>
    <x v="1403"/>
    <x v="1"/>
    <x v="4"/>
    <n v="47.79"/>
  </r>
  <r>
    <x v="3"/>
    <n v="147788"/>
    <x v="176"/>
    <s v="04/06/2016"/>
    <s v="Standard Class"/>
    <s v="Tamara Manning"/>
    <x v="657"/>
    <s v="Yes"/>
    <x v="2"/>
    <s v="Orem"/>
    <x v="19"/>
    <x v="3"/>
    <x v="1404"/>
    <x v="2"/>
    <x v="13"/>
    <n v="1406.86"/>
  </r>
  <r>
    <x v="1"/>
    <n v="154669"/>
    <x v="650"/>
    <s v="11/08/2015"/>
    <s v="Second Class"/>
    <s v="Tamara Manning"/>
    <x v="657"/>
    <s v="Yes"/>
    <x v="2"/>
    <s v="Vacaville"/>
    <x v="5"/>
    <x v="3"/>
    <x v="1405"/>
    <x v="0"/>
    <x v="3"/>
    <n v="423.28"/>
  </r>
  <r>
    <x v="2"/>
    <n v="158834"/>
    <x v="7"/>
    <s v="16/03/2017"/>
    <s v="First Class"/>
    <s v="Tamara Willingham"/>
    <x v="658"/>
    <s v="Yes"/>
    <x v="1"/>
    <s v="Scottsdale"/>
    <x v="13"/>
    <x v="3"/>
    <x v="1406"/>
    <x v="0"/>
    <x v="12"/>
    <n v="157.91999999999999"/>
  </r>
  <r>
    <x v="0"/>
    <n v="127719"/>
    <x v="816"/>
    <s v="25/07/2018"/>
    <s v="Standard Class"/>
    <s v="Tamara Willingham"/>
    <x v="658"/>
    <s v="Yes"/>
    <x v="1"/>
    <s v="Plainfield"/>
    <x v="35"/>
    <x v="0"/>
    <x v="153"/>
    <x v="0"/>
    <x v="2"/>
    <n v="6.48"/>
  </r>
  <r>
    <x v="3"/>
    <n v="135510"/>
    <x v="127"/>
    <s v="12/09/2016"/>
    <s v="Standard Class"/>
    <s v="Tamara Willingham"/>
    <x v="658"/>
    <s v="Yes"/>
    <x v="1"/>
    <s v="Charlottesville"/>
    <x v="4"/>
    <x v="2"/>
    <x v="1407"/>
    <x v="2"/>
    <x v="6"/>
    <n v="67.959999999999994"/>
  </r>
  <r>
    <x v="2"/>
    <n v="109260"/>
    <x v="261"/>
    <s v="01/10/2017"/>
    <s v="Standard Class"/>
    <s v="Tanja Norvell"/>
    <x v="659"/>
    <s v="Yes"/>
    <x v="1"/>
    <s v="Tallahassee"/>
    <x v="17"/>
    <x v="2"/>
    <x v="1408"/>
    <x v="1"/>
    <x v="4"/>
    <n v="431.976"/>
  </r>
  <r>
    <x v="2"/>
    <n v="109869"/>
    <x v="426"/>
    <s v="29/04/2017"/>
    <s v="Standard Class"/>
    <s v="Tanja Norvell"/>
    <x v="659"/>
    <s v="Yes"/>
    <x v="1"/>
    <s v="Phoenix"/>
    <x v="13"/>
    <x v="3"/>
    <x v="1273"/>
    <x v="2"/>
    <x v="6"/>
    <n v="23.56"/>
  </r>
  <r>
    <x v="0"/>
    <n v="117156"/>
    <x v="843"/>
    <s v="23/03/2018"/>
    <s v="Second Class"/>
    <s v="Ted Butterfield"/>
    <x v="660"/>
    <s v="Yes"/>
    <x v="2"/>
    <s v="Reading"/>
    <x v="0"/>
    <x v="0"/>
    <x v="1409"/>
    <x v="0"/>
    <x v="16"/>
    <n v="8.8559999999999999"/>
  </r>
  <r>
    <x v="2"/>
    <n v="111682"/>
    <x v="531"/>
    <s v="18/06/2017"/>
    <s v="First Class"/>
    <s v="Ted Butterfield"/>
    <x v="660"/>
    <s v="Yes"/>
    <x v="2"/>
    <s v="Troy"/>
    <x v="3"/>
    <x v="0"/>
    <x v="1410"/>
    <x v="0"/>
    <x v="3"/>
    <n v="208.56"/>
  </r>
  <r>
    <x v="2"/>
    <n v="162733"/>
    <x v="844"/>
    <s v="12/05/2017"/>
    <s v="First Class"/>
    <s v="Ted Trevino"/>
    <x v="661"/>
    <s v="No"/>
    <x v="2"/>
    <s v="Los Angeles"/>
    <x v="5"/>
    <x v="3"/>
    <x v="1411"/>
    <x v="0"/>
    <x v="2"/>
    <n v="5.98"/>
  </r>
  <r>
    <x v="3"/>
    <n v="160150"/>
    <x v="845"/>
    <s v="20/07/2016"/>
    <s v="First Class"/>
    <s v="Thais Sissman"/>
    <x v="662"/>
    <s v="No"/>
    <x v="2"/>
    <s v="Phoenix"/>
    <x v="13"/>
    <x v="3"/>
    <x v="1412"/>
    <x v="0"/>
    <x v="7"/>
    <n v="2.0249999999999999"/>
  </r>
  <r>
    <x v="0"/>
    <n v="161809"/>
    <x v="326"/>
    <s v="26/01/2018"/>
    <s v="Standard Class"/>
    <s v="Thea Hendricks"/>
    <x v="663"/>
    <s v="No"/>
    <x v="2"/>
    <s v="Los Angeles"/>
    <x v="5"/>
    <x v="3"/>
    <x v="1413"/>
    <x v="1"/>
    <x v="9"/>
    <n v="160.77600000000001"/>
  </r>
  <r>
    <x v="0"/>
    <n v="127782"/>
    <x v="115"/>
    <s v="06/11/2018"/>
    <s v="Standard Class"/>
    <s v="Thea Hudgings"/>
    <x v="664"/>
    <s v="No"/>
    <x v="0"/>
    <s v="Philadelphia"/>
    <x v="0"/>
    <x v="0"/>
    <x v="1414"/>
    <x v="2"/>
    <x v="6"/>
    <n v="3.3119999999999998"/>
  </r>
  <r>
    <x v="2"/>
    <n v="120180"/>
    <x v="215"/>
    <s v="16/07/2017"/>
    <s v="First Class"/>
    <s v="Theone Pippenger"/>
    <x v="665"/>
    <s v="Yes"/>
    <x v="2"/>
    <s v="Philadelphia"/>
    <x v="0"/>
    <x v="0"/>
    <x v="1415"/>
    <x v="0"/>
    <x v="5"/>
    <n v="11.632"/>
  </r>
  <r>
    <x v="0"/>
    <n v="120376"/>
    <x v="544"/>
    <s v="25/12/2018"/>
    <s v="First Class"/>
    <s v="Theone Pippenger"/>
    <x v="665"/>
    <s v="Yes"/>
    <x v="2"/>
    <s v="Detroit"/>
    <x v="34"/>
    <x v="1"/>
    <x v="1416"/>
    <x v="1"/>
    <x v="4"/>
    <n v="199.95"/>
  </r>
  <r>
    <x v="2"/>
    <n v="142370"/>
    <x v="97"/>
    <s v="23/09/2017"/>
    <s v="Standard Class"/>
    <s v="Theone Pippenger"/>
    <x v="665"/>
    <s v="Yes"/>
    <x v="2"/>
    <s v="Columbus"/>
    <x v="7"/>
    <x v="2"/>
    <x v="1417"/>
    <x v="0"/>
    <x v="5"/>
    <n v="5.04"/>
  </r>
  <r>
    <x v="0"/>
    <n v="119669"/>
    <x v="846"/>
    <s v="30/01/2018"/>
    <s v="Standard Class"/>
    <s v="Theone Pippenger"/>
    <x v="665"/>
    <s v="Yes"/>
    <x v="2"/>
    <s v="Smyrna"/>
    <x v="7"/>
    <x v="2"/>
    <x v="1418"/>
    <x v="0"/>
    <x v="15"/>
    <n v="5.67"/>
  </r>
  <r>
    <x v="3"/>
    <n v="161263"/>
    <x v="642"/>
    <s v="21/04/2016"/>
    <s v="Standard Class"/>
    <s v="Theresa Swint"/>
    <x v="666"/>
    <s v="Yes"/>
    <x v="0"/>
    <s v="Toledo"/>
    <x v="21"/>
    <x v="0"/>
    <x v="831"/>
    <x v="0"/>
    <x v="12"/>
    <n v="45.216000000000001"/>
  </r>
  <r>
    <x v="2"/>
    <n v="156251"/>
    <x v="456"/>
    <s v="18/08/2017"/>
    <s v="Second Class"/>
    <s v="Theresa Swint"/>
    <x v="666"/>
    <s v="Yes"/>
    <x v="0"/>
    <s v="West Allis"/>
    <x v="29"/>
    <x v="1"/>
    <x v="1419"/>
    <x v="2"/>
    <x v="13"/>
    <n v="241.96"/>
  </r>
  <r>
    <x v="1"/>
    <n v="112564"/>
    <x v="847"/>
    <s v="24/04/2015"/>
    <s v="First Class"/>
    <s v="Theresa Swint"/>
    <x v="666"/>
    <s v="Yes"/>
    <x v="0"/>
    <s v="Philadelphia"/>
    <x v="0"/>
    <x v="0"/>
    <x v="1420"/>
    <x v="0"/>
    <x v="7"/>
    <n v="2.5019999999999998"/>
  </r>
  <r>
    <x v="3"/>
    <n v="149342"/>
    <x v="848"/>
    <s v="25/04/2016"/>
    <s v="Standard Class"/>
    <s v="Theresa Swint"/>
    <x v="666"/>
    <s v="Yes"/>
    <x v="0"/>
    <s v="Columbus"/>
    <x v="7"/>
    <x v="2"/>
    <x v="1421"/>
    <x v="1"/>
    <x v="9"/>
    <n v="287.97000000000003"/>
  </r>
  <r>
    <x v="2"/>
    <n v="124254"/>
    <x v="170"/>
    <s v="17/04/2017"/>
    <s v="Standard Class"/>
    <s v="Thomas Boland"/>
    <x v="667"/>
    <s v="Yes"/>
    <x v="0"/>
    <s v="Wilson"/>
    <x v="2"/>
    <x v="2"/>
    <x v="809"/>
    <x v="0"/>
    <x v="3"/>
    <n v="129.55199999999999"/>
  </r>
  <r>
    <x v="1"/>
    <n v="104773"/>
    <x v="849"/>
    <s v="13/12/2015"/>
    <s v="Standard Class"/>
    <s v="Thomas Boland"/>
    <x v="667"/>
    <s v="Yes"/>
    <x v="0"/>
    <s v="Houston"/>
    <x v="1"/>
    <x v="1"/>
    <x v="1422"/>
    <x v="0"/>
    <x v="3"/>
    <n v="60.415999999999997"/>
  </r>
  <r>
    <x v="0"/>
    <n v="143567"/>
    <x v="115"/>
    <s v="05/11/2018"/>
    <s v="Second Class"/>
    <s v="Thomas Boland"/>
    <x v="667"/>
    <s v="Yes"/>
    <x v="0"/>
    <s v="Henderson"/>
    <x v="12"/>
    <x v="2"/>
    <x v="1423"/>
    <x v="0"/>
    <x v="16"/>
    <n v="5.32"/>
  </r>
  <r>
    <x v="3"/>
    <n v="160059"/>
    <x v="227"/>
    <s v="01/12/2016"/>
    <s v="Standard Class"/>
    <s v="Thomas Brumley"/>
    <x v="668"/>
    <s v="No"/>
    <x v="1"/>
    <s v="Fayetteville"/>
    <x v="37"/>
    <x v="2"/>
    <x v="1424"/>
    <x v="0"/>
    <x v="7"/>
    <n v="6.24"/>
  </r>
  <r>
    <x v="1"/>
    <n v="120887"/>
    <x v="850"/>
    <s v="03/10/2015"/>
    <s v="Standard Class"/>
    <s v="Thomas Seio"/>
    <x v="669"/>
    <s v="Yes"/>
    <x v="0"/>
    <s v="Hackensack"/>
    <x v="35"/>
    <x v="0"/>
    <x v="1425"/>
    <x v="2"/>
    <x v="6"/>
    <n v="87.54"/>
  </r>
  <r>
    <x v="1"/>
    <n v="107405"/>
    <x v="240"/>
    <s v="25/03/2015"/>
    <s v="Standard Class"/>
    <s v="Thomas Seio"/>
    <x v="669"/>
    <s v="Yes"/>
    <x v="0"/>
    <s v="Asheville"/>
    <x v="2"/>
    <x v="2"/>
    <x v="1426"/>
    <x v="0"/>
    <x v="3"/>
    <n v="16.271999999999998"/>
  </r>
  <r>
    <x v="1"/>
    <n v="140662"/>
    <x v="682"/>
    <s v="19/11/2015"/>
    <s v="First Class"/>
    <s v="Thomas Seio"/>
    <x v="669"/>
    <s v="Yes"/>
    <x v="0"/>
    <s v="San Francisco"/>
    <x v="5"/>
    <x v="3"/>
    <x v="1427"/>
    <x v="1"/>
    <x v="4"/>
    <n v="99.98"/>
  </r>
  <r>
    <x v="2"/>
    <n v="132409"/>
    <x v="693"/>
    <s v="01/06/2017"/>
    <s v="Standard Class"/>
    <s v="Tiffany House"/>
    <x v="670"/>
    <s v="Yes"/>
    <x v="0"/>
    <s v="Philadelphia"/>
    <x v="0"/>
    <x v="0"/>
    <x v="1428"/>
    <x v="0"/>
    <x v="0"/>
    <n v="1.504"/>
  </r>
  <r>
    <x v="0"/>
    <n v="132682"/>
    <x v="410"/>
    <s v="10/06/2018"/>
    <s v="Second Class"/>
    <s v="Tiffany House"/>
    <x v="670"/>
    <s v="Yes"/>
    <x v="0"/>
    <s v="Dallas"/>
    <x v="1"/>
    <x v="1"/>
    <x v="1429"/>
    <x v="0"/>
    <x v="5"/>
    <n v="23.76"/>
  </r>
  <r>
    <x v="0"/>
    <n v="104661"/>
    <x v="795"/>
    <s v="18/01/2018"/>
    <s v="First Class"/>
    <s v="Tim Brockman"/>
    <x v="671"/>
    <s v="Yes"/>
    <x v="2"/>
    <s v="Austin"/>
    <x v="1"/>
    <x v="1"/>
    <x v="1430"/>
    <x v="0"/>
    <x v="7"/>
    <n v="32.783999999999999"/>
  </r>
  <r>
    <x v="2"/>
    <n v="162614"/>
    <x v="294"/>
    <s v="13/10/2017"/>
    <s v="Standard Class"/>
    <s v="Tim Brockman"/>
    <x v="671"/>
    <s v="Yes"/>
    <x v="2"/>
    <s v="Los Angeles"/>
    <x v="5"/>
    <x v="3"/>
    <x v="1431"/>
    <x v="0"/>
    <x v="7"/>
    <n v="27.263999999999999"/>
  </r>
  <r>
    <x v="3"/>
    <n v="141040"/>
    <x v="363"/>
    <s v="13/10/2016"/>
    <s v="Second Class"/>
    <s v="Tim Brockman"/>
    <x v="671"/>
    <s v="Yes"/>
    <x v="2"/>
    <s v="New York City"/>
    <x v="3"/>
    <x v="0"/>
    <x v="1432"/>
    <x v="1"/>
    <x v="9"/>
    <n v="631.96"/>
  </r>
  <r>
    <x v="2"/>
    <n v="157266"/>
    <x v="693"/>
    <s v="01/06/2017"/>
    <s v="Standard Class"/>
    <s v="Toby Braunhardt"/>
    <x v="672"/>
    <s v="Yes"/>
    <x v="2"/>
    <s v="Washington"/>
    <x v="43"/>
    <x v="0"/>
    <x v="1433"/>
    <x v="0"/>
    <x v="2"/>
    <n v="19.440000000000001"/>
  </r>
  <r>
    <x v="1"/>
    <n v="131527"/>
    <x v="87"/>
    <s v="07/12/2015"/>
    <s v="Standard Class"/>
    <s v="Toby Braunhardt"/>
    <x v="672"/>
    <s v="Yes"/>
    <x v="2"/>
    <s v="Jacksonville"/>
    <x v="2"/>
    <x v="2"/>
    <x v="1434"/>
    <x v="1"/>
    <x v="9"/>
    <n v="95.968000000000004"/>
  </r>
  <r>
    <x v="1"/>
    <n v="140816"/>
    <x v="14"/>
    <s v="20/12/2015"/>
    <s v="Same Day"/>
    <s v="Toby Carlisle"/>
    <x v="673"/>
    <s v="No"/>
    <x v="2"/>
    <s v="Thornton"/>
    <x v="20"/>
    <x v="3"/>
    <x v="510"/>
    <x v="1"/>
    <x v="4"/>
    <n v="447.94400000000002"/>
  </r>
  <r>
    <x v="2"/>
    <n v="146633"/>
    <x v="851"/>
    <s v="17/11/2017"/>
    <s v="Second Class"/>
    <s v="Toby Gnade"/>
    <x v="674"/>
    <s v="Yes"/>
    <x v="2"/>
    <s v="Los Angeles"/>
    <x v="5"/>
    <x v="3"/>
    <x v="1435"/>
    <x v="0"/>
    <x v="7"/>
    <n v="1016.792"/>
  </r>
  <r>
    <x v="0"/>
    <n v="104437"/>
    <x v="852"/>
    <s v="31/01/2018"/>
    <s v="Standard Class"/>
    <s v="Toby Gnade"/>
    <x v="674"/>
    <s v="Yes"/>
    <x v="2"/>
    <s v="New York City"/>
    <x v="3"/>
    <x v="0"/>
    <x v="1436"/>
    <x v="1"/>
    <x v="9"/>
    <n v="137.94"/>
  </r>
  <r>
    <x v="2"/>
    <n v="160815"/>
    <x v="402"/>
    <s v="06/09/2017"/>
    <s v="First Class"/>
    <s v="Toby Ritter"/>
    <x v="675"/>
    <s v="Yes"/>
    <x v="2"/>
    <s v="Cedar Rapids"/>
    <x v="32"/>
    <x v="1"/>
    <x v="721"/>
    <x v="1"/>
    <x v="9"/>
    <n v="278.39999999999998"/>
  </r>
  <r>
    <x v="0"/>
    <n v="101434"/>
    <x v="559"/>
    <s v="27/06/2018"/>
    <s v="Standard Class"/>
    <s v="Toby Ritter"/>
    <x v="675"/>
    <s v="Yes"/>
    <x v="2"/>
    <s v="Belleville"/>
    <x v="35"/>
    <x v="0"/>
    <x v="1437"/>
    <x v="1"/>
    <x v="4"/>
    <n v="239.97"/>
  </r>
  <r>
    <x v="0"/>
    <n v="117863"/>
    <x v="756"/>
    <s v="23/05/2018"/>
    <s v="Standard Class"/>
    <s v="Toby Swindell"/>
    <x v="676"/>
    <s v="Yes"/>
    <x v="2"/>
    <s v="New York City"/>
    <x v="3"/>
    <x v="0"/>
    <x v="1438"/>
    <x v="2"/>
    <x v="6"/>
    <n v="14.56"/>
  </r>
  <r>
    <x v="3"/>
    <n v="146829"/>
    <x v="853"/>
    <s v="10/03/2016"/>
    <s v="Same Day"/>
    <s v="Toby Swindell"/>
    <x v="676"/>
    <s v="Yes"/>
    <x v="2"/>
    <s v="Houston"/>
    <x v="1"/>
    <x v="1"/>
    <x v="237"/>
    <x v="0"/>
    <x v="7"/>
    <n v="1.1120000000000001"/>
  </r>
  <r>
    <x v="2"/>
    <n v="117919"/>
    <x v="432"/>
    <s v="29/08/2017"/>
    <s v="Second Class"/>
    <s v="Todd Boyes"/>
    <x v="677"/>
    <s v="Yes"/>
    <x v="0"/>
    <s v="Houston"/>
    <x v="1"/>
    <x v="1"/>
    <x v="1439"/>
    <x v="0"/>
    <x v="3"/>
    <n v="14.16"/>
  </r>
  <r>
    <x v="2"/>
    <n v="153346"/>
    <x v="854"/>
    <s v="27/01/2017"/>
    <s v="First Class"/>
    <s v="Todd Boyes"/>
    <x v="677"/>
    <s v="Yes"/>
    <x v="0"/>
    <s v="Plainfield"/>
    <x v="35"/>
    <x v="0"/>
    <x v="1440"/>
    <x v="0"/>
    <x v="0"/>
    <n v="9.2100000000000009"/>
  </r>
  <r>
    <x v="2"/>
    <n v="154711"/>
    <x v="792"/>
    <s v="26/11/2017"/>
    <s v="Standard Class"/>
    <s v="Todd Boyes"/>
    <x v="677"/>
    <s v="Yes"/>
    <x v="0"/>
    <s v="New York City"/>
    <x v="3"/>
    <x v="0"/>
    <x v="1441"/>
    <x v="2"/>
    <x v="6"/>
    <n v="39.880000000000003"/>
  </r>
  <r>
    <x v="0"/>
    <n v="159464"/>
    <x v="756"/>
    <s v="19/05/2018"/>
    <s v="First Class"/>
    <s v="Todd Boyes"/>
    <x v="677"/>
    <s v="Yes"/>
    <x v="0"/>
    <s v="Sandy Springs"/>
    <x v="7"/>
    <x v="2"/>
    <x v="1442"/>
    <x v="0"/>
    <x v="12"/>
    <n v="17.239999999999998"/>
  </r>
  <r>
    <x v="0"/>
    <n v="143112"/>
    <x v="855"/>
    <s v="09/10/2018"/>
    <s v="Standard Class"/>
    <s v="Todd Sumrall"/>
    <x v="678"/>
    <s v="Yes"/>
    <x v="0"/>
    <s v="New York City"/>
    <x v="3"/>
    <x v="0"/>
    <x v="1274"/>
    <x v="1"/>
    <x v="9"/>
    <n v="87.8"/>
  </r>
  <r>
    <x v="0"/>
    <n v="166436"/>
    <x v="499"/>
    <s v="28/11/2018"/>
    <s v="Standard Class"/>
    <s v="Todd Sumrall"/>
    <x v="678"/>
    <s v="Yes"/>
    <x v="0"/>
    <s v="New York City"/>
    <x v="3"/>
    <x v="0"/>
    <x v="1369"/>
    <x v="0"/>
    <x v="2"/>
    <n v="5.88"/>
  </r>
  <r>
    <x v="2"/>
    <n v="129847"/>
    <x v="606"/>
    <s v="04/09/2017"/>
    <s v="First Class"/>
    <s v="Tom Ashbrook"/>
    <x v="679"/>
    <s v="Yes"/>
    <x v="1"/>
    <s v="Chicago"/>
    <x v="10"/>
    <x v="1"/>
    <x v="1443"/>
    <x v="2"/>
    <x v="6"/>
    <n v="84.272000000000006"/>
  </r>
  <r>
    <x v="0"/>
    <n v="127180"/>
    <x v="199"/>
    <s v="24/10/2018"/>
    <s v="First Class"/>
    <s v="Tom Ashbrook"/>
    <x v="679"/>
    <s v="Yes"/>
    <x v="1"/>
    <s v="New York City"/>
    <x v="3"/>
    <x v="0"/>
    <x v="1444"/>
    <x v="1"/>
    <x v="11"/>
    <n v="11199.968000000001"/>
  </r>
  <r>
    <x v="1"/>
    <n v="145541"/>
    <x v="590"/>
    <s v="21/12/2015"/>
    <s v="Standard Class"/>
    <s v="Tom Boeckenhauer"/>
    <x v="680"/>
    <s v="Yes"/>
    <x v="2"/>
    <s v="New York City"/>
    <x v="3"/>
    <x v="0"/>
    <x v="1445"/>
    <x v="1"/>
    <x v="1"/>
    <n v="6999.96"/>
  </r>
  <r>
    <x v="0"/>
    <n v="134565"/>
    <x v="149"/>
    <s v="13/06/2018"/>
    <s v="Second Class"/>
    <s v="Tom Boeckenhauer"/>
    <x v="680"/>
    <s v="Yes"/>
    <x v="2"/>
    <s v="Seattle"/>
    <x v="15"/>
    <x v="3"/>
    <x v="1446"/>
    <x v="0"/>
    <x v="2"/>
    <n v="37.94"/>
  </r>
  <r>
    <x v="2"/>
    <n v="164735"/>
    <x v="768"/>
    <s v="19/04/2017"/>
    <s v="Second Class"/>
    <s v="Tom Boeckenhauer"/>
    <x v="680"/>
    <s v="Yes"/>
    <x v="2"/>
    <s v="Alexandria"/>
    <x v="4"/>
    <x v="2"/>
    <x v="1447"/>
    <x v="0"/>
    <x v="3"/>
    <n v="81.2"/>
  </r>
  <r>
    <x v="0"/>
    <n v="137470"/>
    <x v="32"/>
    <s v="17/09/2018"/>
    <s v="Same Day"/>
    <s v="Tom Prescott"/>
    <x v="681"/>
    <s v="No"/>
    <x v="2"/>
    <s v="Seattle"/>
    <x v="15"/>
    <x v="3"/>
    <x v="1338"/>
    <x v="0"/>
    <x v="2"/>
    <n v="12.96"/>
  </r>
  <r>
    <x v="3"/>
    <n v="135622"/>
    <x v="856"/>
    <s v="11/12/2016"/>
    <s v="Second Class"/>
    <s v="Tonja Turnell"/>
    <x v="682"/>
    <s v="Yes"/>
    <x v="1"/>
    <s v="Fort Worth"/>
    <x v="1"/>
    <x v="1"/>
    <x v="1448"/>
    <x v="0"/>
    <x v="2"/>
    <n v="360.71199999999999"/>
  </r>
  <r>
    <x v="2"/>
    <n v="109057"/>
    <x v="426"/>
    <s v="27/04/2017"/>
    <s v="Standard Class"/>
    <s v="Tonja Turnell"/>
    <x v="682"/>
    <s v="Yes"/>
    <x v="1"/>
    <s v="Aurora"/>
    <x v="10"/>
    <x v="1"/>
    <x v="1449"/>
    <x v="0"/>
    <x v="3"/>
    <n v="23.952000000000002"/>
  </r>
  <r>
    <x v="0"/>
    <n v="158736"/>
    <x v="0"/>
    <s v="24/12/2018"/>
    <s v="Standard Class"/>
    <s v="Tonja Turnell"/>
    <x v="682"/>
    <s v="Yes"/>
    <x v="1"/>
    <s v="San Francisco"/>
    <x v="5"/>
    <x v="3"/>
    <x v="704"/>
    <x v="0"/>
    <x v="0"/>
    <n v="5.76"/>
  </r>
  <r>
    <x v="2"/>
    <n v="100307"/>
    <x v="708"/>
    <s v="19/12/2017"/>
    <s v="Standard Class"/>
    <s v="Tony Chapman"/>
    <x v="683"/>
    <s v="Yes"/>
    <x v="1"/>
    <s v="Fayetteville"/>
    <x v="37"/>
    <x v="2"/>
    <x v="1450"/>
    <x v="0"/>
    <x v="2"/>
    <n v="19.440000000000001"/>
  </r>
  <r>
    <x v="1"/>
    <n v="112200"/>
    <x v="857"/>
    <s v="28/11/2015"/>
    <s v="Standard Class"/>
    <s v="Tony Chapman"/>
    <x v="683"/>
    <s v="Yes"/>
    <x v="1"/>
    <s v="Bolingbrook"/>
    <x v="10"/>
    <x v="1"/>
    <x v="1451"/>
    <x v="0"/>
    <x v="7"/>
    <n v="9.98"/>
  </r>
  <r>
    <x v="3"/>
    <n v="151680"/>
    <x v="858"/>
    <s v="21/11/2016"/>
    <s v="Second Class"/>
    <s v="Tony Chapman"/>
    <x v="683"/>
    <s v="Yes"/>
    <x v="1"/>
    <s v="Seattle"/>
    <x v="15"/>
    <x v="3"/>
    <x v="193"/>
    <x v="2"/>
    <x v="6"/>
    <n v="141.96"/>
  </r>
  <r>
    <x v="0"/>
    <n v="113474"/>
    <x v="859"/>
    <s v="31/03/2018"/>
    <s v="First Class"/>
    <s v="Tony Molinari"/>
    <x v="684"/>
    <s v="No"/>
    <x v="2"/>
    <s v="Oklahoma City"/>
    <x v="14"/>
    <x v="1"/>
    <x v="1452"/>
    <x v="0"/>
    <x v="16"/>
    <n v="325.86"/>
  </r>
  <r>
    <x v="0"/>
    <n v="152737"/>
    <x v="380"/>
    <s v="12/11/2018"/>
    <s v="Standard Class"/>
    <s v="Tony Sayre"/>
    <x v="685"/>
    <s v="No"/>
    <x v="2"/>
    <s v="San Francisco"/>
    <x v="5"/>
    <x v="3"/>
    <x v="1453"/>
    <x v="0"/>
    <x v="7"/>
    <n v="21.792000000000002"/>
  </r>
  <r>
    <x v="2"/>
    <n v="117912"/>
    <x v="860"/>
    <s v="08/02/2017"/>
    <s v="Standard Class"/>
    <s v="Tracy Blumstein"/>
    <x v="686"/>
    <s v="Yes"/>
    <x v="2"/>
    <s v="Sierra Vista"/>
    <x v="13"/>
    <x v="3"/>
    <x v="1454"/>
    <x v="2"/>
    <x v="6"/>
    <n v="14.368"/>
  </r>
  <r>
    <x v="3"/>
    <n v="150630"/>
    <x v="654"/>
    <s v="21/09/2016"/>
    <s v="Standard Class"/>
    <s v="Tracy Blumstein"/>
    <x v="686"/>
    <s v="Yes"/>
    <x v="2"/>
    <s v="Philadelphia"/>
    <x v="0"/>
    <x v="0"/>
    <x v="1455"/>
    <x v="2"/>
    <x v="13"/>
    <n v="3083.43"/>
  </r>
  <r>
    <x v="0"/>
    <n v="114440"/>
    <x v="662"/>
    <s v="17/09/2018"/>
    <s v="Second Class"/>
    <s v="Tracy Blumstein"/>
    <x v="686"/>
    <s v="Yes"/>
    <x v="2"/>
    <s v="Jackson"/>
    <x v="34"/>
    <x v="1"/>
    <x v="958"/>
    <x v="0"/>
    <x v="2"/>
    <n v="19.05"/>
  </r>
  <r>
    <x v="3"/>
    <n v="131128"/>
    <x v="794"/>
    <s v="20/10/2016"/>
    <s v="First Class"/>
    <s v="Tracy Blumstein"/>
    <x v="686"/>
    <s v="Yes"/>
    <x v="2"/>
    <s v="Concord"/>
    <x v="6"/>
    <x v="0"/>
    <x v="1456"/>
    <x v="0"/>
    <x v="2"/>
    <n v="34.44"/>
  </r>
  <r>
    <x v="3"/>
    <n v="130883"/>
    <x v="217"/>
    <s v="02/10/2016"/>
    <s v="Standard Class"/>
    <s v="Tracy Blumstein"/>
    <x v="686"/>
    <s v="Yes"/>
    <x v="2"/>
    <s v="Portland"/>
    <x v="25"/>
    <x v="3"/>
    <x v="31"/>
    <x v="0"/>
    <x v="2"/>
    <n v="141.76"/>
  </r>
  <r>
    <x v="0"/>
    <n v="112487"/>
    <x v="749"/>
    <s v="30/12/2018"/>
    <s v="Standard Class"/>
    <s v="Tracy Collins"/>
    <x v="687"/>
    <s v="Yes"/>
    <x v="1"/>
    <s v="Columbus"/>
    <x v="21"/>
    <x v="0"/>
    <x v="1457"/>
    <x v="0"/>
    <x v="7"/>
    <n v="3.1320000000000001"/>
  </r>
  <r>
    <x v="2"/>
    <n v="166226"/>
    <x v="130"/>
    <s v="22/11/2017"/>
    <s v="Standard Class"/>
    <s v="Tracy Collins"/>
    <x v="687"/>
    <s v="Yes"/>
    <x v="1"/>
    <s v="Los Angeles"/>
    <x v="5"/>
    <x v="3"/>
    <x v="1458"/>
    <x v="1"/>
    <x v="9"/>
    <n v="61.192"/>
  </r>
  <r>
    <x v="3"/>
    <n v="115847"/>
    <x v="737"/>
    <s v="24/09/2016"/>
    <s v="Second Class"/>
    <s v="Tracy Collins"/>
    <x v="687"/>
    <s v="Yes"/>
    <x v="1"/>
    <s v="Arlington"/>
    <x v="4"/>
    <x v="2"/>
    <x v="856"/>
    <x v="2"/>
    <x v="13"/>
    <n v="61.96"/>
  </r>
  <r>
    <x v="0"/>
    <n v="120390"/>
    <x v="525"/>
    <s v="26/10/2018"/>
    <s v="Standard Class"/>
    <s v="Tracy Hopkins"/>
    <x v="688"/>
    <s v="Yes"/>
    <x v="1"/>
    <s v="Burlington"/>
    <x v="2"/>
    <x v="2"/>
    <x v="1459"/>
    <x v="0"/>
    <x v="7"/>
    <n v="1633.1880000000001"/>
  </r>
  <r>
    <x v="3"/>
    <n v="120810"/>
    <x v="861"/>
    <s v="27/07/2016"/>
    <s v="Standard Class"/>
    <s v="Tracy Hopkins"/>
    <x v="688"/>
    <s v="Yes"/>
    <x v="1"/>
    <s v="New York City"/>
    <x v="3"/>
    <x v="0"/>
    <x v="1460"/>
    <x v="0"/>
    <x v="12"/>
    <n v="68.94"/>
  </r>
  <r>
    <x v="0"/>
    <n v="133256"/>
    <x v="267"/>
    <s v="27/06/2018"/>
    <s v="First Class"/>
    <s v="Tracy Hopkins"/>
    <x v="688"/>
    <s v="Yes"/>
    <x v="1"/>
    <s v="Detroit"/>
    <x v="34"/>
    <x v="1"/>
    <x v="1461"/>
    <x v="0"/>
    <x v="2"/>
    <n v="4.54"/>
  </r>
  <r>
    <x v="2"/>
    <n v="163328"/>
    <x v="44"/>
    <s v="06/11/2017"/>
    <s v="Second Class"/>
    <s v="Tracy Poddar"/>
    <x v="689"/>
    <s v="Yes"/>
    <x v="0"/>
    <s v="Eugene"/>
    <x v="25"/>
    <x v="3"/>
    <x v="1426"/>
    <x v="0"/>
    <x v="5"/>
    <n v="17.584"/>
  </r>
  <r>
    <x v="2"/>
    <n v="103919"/>
    <x v="438"/>
    <s v="07/10/2017"/>
    <s v="Standard Class"/>
    <s v="Tracy Poddar"/>
    <x v="689"/>
    <s v="Yes"/>
    <x v="0"/>
    <s v="Grand Prairie"/>
    <x v="1"/>
    <x v="1"/>
    <x v="1462"/>
    <x v="2"/>
    <x v="6"/>
    <n v="38.08"/>
  </r>
  <r>
    <x v="3"/>
    <n v="119508"/>
    <x v="820"/>
    <s v="09/12/2016"/>
    <s v="Standard Class"/>
    <s v="Tracy Zic"/>
    <x v="690"/>
    <s v="Yes"/>
    <x v="2"/>
    <s v="Lakewood"/>
    <x v="5"/>
    <x v="3"/>
    <x v="1463"/>
    <x v="0"/>
    <x v="0"/>
    <n v="16.899999999999999"/>
  </r>
  <r>
    <x v="1"/>
    <n v="163419"/>
    <x v="764"/>
    <s v="14/11/2015"/>
    <s v="Second Class"/>
    <s v="Tracy Zic"/>
    <x v="690"/>
    <s v="Yes"/>
    <x v="2"/>
    <s v="Louisville"/>
    <x v="20"/>
    <x v="3"/>
    <x v="1464"/>
    <x v="0"/>
    <x v="0"/>
    <n v="3.3919999999999999"/>
  </r>
  <r>
    <x v="0"/>
    <n v="154214"/>
    <x v="521"/>
    <s v="25/03/2018"/>
    <s v="Second Class"/>
    <s v="Troy Blackwell"/>
    <x v="691"/>
    <s v="No"/>
    <x v="2"/>
    <s v="Columbus"/>
    <x v="11"/>
    <x v="1"/>
    <x v="1465"/>
    <x v="2"/>
    <x v="6"/>
    <n v="2.91"/>
  </r>
  <r>
    <x v="2"/>
    <n v="131093"/>
    <x v="296"/>
    <s v="20/09/2017"/>
    <s v="Second Class"/>
    <s v="Troy Staebel"/>
    <x v="692"/>
    <s v="Yes"/>
    <x v="2"/>
    <s v="Springfield"/>
    <x v="21"/>
    <x v="0"/>
    <x v="631"/>
    <x v="0"/>
    <x v="3"/>
    <n v="295.39999999999998"/>
  </r>
  <r>
    <x v="0"/>
    <n v="163160"/>
    <x v="73"/>
    <s v="16/10/2018"/>
    <s v="First Class"/>
    <s v="Troy Staebel"/>
    <x v="692"/>
    <s v="Yes"/>
    <x v="2"/>
    <s v="Freeport"/>
    <x v="10"/>
    <x v="1"/>
    <x v="1466"/>
    <x v="0"/>
    <x v="2"/>
    <n v="63.311999999999998"/>
  </r>
  <r>
    <x v="0"/>
    <n v="107272"/>
    <x v="29"/>
    <s v="12/11/2018"/>
    <s v="Standard Class"/>
    <s v="Troy Staebel"/>
    <x v="692"/>
    <s v="Yes"/>
    <x v="2"/>
    <s v="Phoenix"/>
    <x v="13"/>
    <x v="3"/>
    <x v="395"/>
    <x v="0"/>
    <x v="7"/>
    <n v="2.3879999999999999"/>
  </r>
  <r>
    <x v="3"/>
    <n v="156377"/>
    <x v="543"/>
    <s v="05/01/2017"/>
    <s v="Standard Class"/>
    <s v="Trudy Brown"/>
    <x v="693"/>
    <s v="No"/>
    <x v="2"/>
    <s v="Grand Prairie"/>
    <x v="1"/>
    <x v="1"/>
    <x v="1467"/>
    <x v="2"/>
    <x v="6"/>
    <n v="14.76"/>
  </r>
  <r>
    <x v="3"/>
    <n v="141012"/>
    <x v="862"/>
    <s v="11/06/2016"/>
    <s v="Second Class"/>
    <s v="Trudy Glocke"/>
    <x v="694"/>
    <s v="No"/>
    <x v="2"/>
    <s v="Pocatello"/>
    <x v="45"/>
    <x v="3"/>
    <x v="1468"/>
    <x v="2"/>
    <x v="6"/>
    <n v="355.36"/>
  </r>
  <r>
    <x v="3"/>
    <n v="137064"/>
    <x v="532"/>
    <s v="13/02/2016"/>
    <s v="Standard Class"/>
    <s v="Trudy Schmidt"/>
    <x v="695"/>
    <s v="No"/>
    <x v="2"/>
    <s v="Houston"/>
    <x v="1"/>
    <x v="1"/>
    <x v="1084"/>
    <x v="0"/>
    <x v="7"/>
    <n v="2.9340000000000002"/>
  </r>
  <r>
    <x v="1"/>
    <n v="126361"/>
    <x v="863"/>
    <s v="09/08/2015"/>
    <s v="Second Class"/>
    <s v="Valerie Dominguez"/>
    <x v="696"/>
    <s v="Yes"/>
    <x v="2"/>
    <s v="Pleasant Grove"/>
    <x v="19"/>
    <x v="3"/>
    <x v="586"/>
    <x v="0"/>
    <x v="12"/>
    <n v="1089.75"/>
  </r>
  <r>
    <x v="3"/>
    <n v="145436"/>
    <x v="864"/>
    <s v="04/03/2016"/>
    <s v="Standard Class"/>
    <s v="Valerie Dominguez"/>
    <x v="696"/>
    <s v="Yes"/>
    <x v="2"/>
    <s v="Columbia"/>
    <x v="18"/>
    <x v="2"/>
    <x v="1469"/>
    <x v="2"/>
    <x v="10"/>
    <n v="161.56800000000001"/>
  </r>
  <r>
    <x v="0"/>
    <n v="107720"/>
    <x v="289"/>
    <s v="13/11/2018"/>
    <s v="Standard Class"/>
    <s v="Valerie Mitchum"/>
    <x v="697"/>
    <s v="Yes"/>
    <x v="1"/>
    <s v="Westfield"/>
    <x v="35"/>
    <x v="0"/>
    <x v="1470"/>
    <x v="0"/>
    <x v="3"/>
    <n v="46.26"/>
  </r>
  <r>
    <x v="0"/>
    <n v="101539"/>
    <x v="865"/>
    <s v="18/03/2018"/>
    <s v="Second Class"/>
    <s v="Valerie Mitchum"/>
    <x v="697"/>
    <s v="Yes"/>
    <x v="1"/>
    <s v="Seattle"/>
    <x v="15"/>
    <x v="3"/>
    <x v="549"/>
    <x v="0"/>
    <x v="2"/>
    <n v="6.48"/>
  </r>
  <r>
    <x v="2"/>
    <n v="113516"/>
    <x v="93"/>
    <s v="10/09/2017"/>
    <s v="Second Class"/>
    <s v="Valerie Mitchum"/>
    <x v="697"/>
    <s v="Yes"/>
    <x v="1"/>
    <s v="Lancaster"/>
    <x v="5"/>
    <x v="3"/>
    <x v="1471"/>
    <x v="0"/>
    <x v="7"/>
    <n v="33.024000000000001"/>
  </r>
  <r>
    <x v="0"/>
    <n v="138464"/>
    <x v="551"/>
    <s v="12/07/2018"/>
    <s v="Standard Class"/>
    <s v="Vicky Freymann"/>
    <x v="698"/>
    <s v="No"/>
    <x v="1"/>
    <s v="Seattle"/>
    <x v="15"/>
    <x v="3"/>
    <x v="1472"/>
    <x v="2"/>
    <x v="6"/>
    <n v="15.84"/>
  </r>
  <r>
    <x v="0"/>
    <n v="102946"/>
    <x v="474"/>
    <s v="05/07/2018"/>
    <s v="Standard Class"/>
    <s v="Victor Preis"/>
    <x v="699"/>
    <s v="Yes"/>
    <x v="1"/>
    <s v="Las Vegas"/>
    <x v="8"/>
    <x v="3"/>
    <x v="1473"/>
    <x v="0"/>
    <x v="7"/>
    <n v="75.792000000000002"/>
  </r>
  <r>
    <x v="3"/>
    <n v="130610"/>
    <x v="135"/>
    <s v="10/07/2016"/>
    <s v="Standard Class"/>
    <s v="Victor Preis"/>
    <x v="699"/>
    <s v="Yes"/>
    <x v="1"/>
    <s v="Sterling Heights"/>
    <x v="34"/>
    <x v="1"/>
    <x v="651"/>
    <x v="0"/>
    <x v="7"/>
    <n v="19"/>
  </r>
  <r>
    <x v="0"/>
    <n v="105333"/>
    <x v="509"/>
    <s v="04/12/2018"/>
    <s v="Standard Class"/>
    <s v="Victor Preis"/>
    <x v="699"/>
    <s v="Yes"/>
    <x v="1"/>
    <s v="New York City"/>
    <x v="3"/>
    <x v="0"/>
    <x v="1474"/>
    <x v="0"/>
    <x v="3"/>
    <n v="83.56"/>
  </r>
  <r>
    <x v="2"/>
    <n v="120369"/>
    <x v="45"/>
    <s v="28/10/2017"/>
    <s v="Same Day"/>
    <s v="Victoria Brennan"/>
    <x v="700"/>
    <s v="Yes"/>
    <x v="0"/>
    <s v="Rochester"/>
    <x v="3"/>
    <x v="0"/>
    <x v="1475"/>
    <x v="2"/>
    <x v="6"/>
    <n v="756.8"/>
  </r>
  <r>
    <x v="0"/>
    <n v="155698"/>
    <x v="866"/>
    <s v="11/03/2018"/>
    <s v="First Class"/>
    <s v="Victoria Brennan"/>
    <x v="700"/>
    <s v="Yes"/>
    <x v="0"/>
    <s v="Columbus"/>
    <x v="7"/>
    <x v="2"/>
    <x v="1476"/>
    <x v="0"/>
    <x v="12"/>
    <n v="647.84"/>
  </r>
  <r>
    <x v="0"/>
    <n v="154816"/>
    <x v="289"/>
    <s v="10/11/2018"/>
    <s v="Standard Class"/>
    <s v="Victoria Brennan"/>
    <x v="700"/>
    <s v="Yes"/>
    <x v="0"/>
    <s v="Richmond"/>
    <x v="12"/>
    <x v="2"/>
    <x v="1409"/>
    <x v="0"/>
    <x v="2"/>
    <n v="5.78"/>
  </r>
  <r>
    <x v="2"/>
    <n v="162313"/>
    <x v="314"/>
    <s v="30/11/2017"/>
    <s v="First Class"/>
    <s v="Victoria Brennan"/>
    <x v="700"/>
    <s v="Yes"/>
    <x v="0"/>
    <s v="Lincoln Park"/>
    <x v="34"/>
    <x v="1"/>
    <x v="1477"/>
    <x v="0"/>
    <x v="12"/>
    <n v="167.292"/>
  </r>
  <r>
    <x v="3"/>
    <n v="111395"/>
    <x v="867"/>
    <s v="27/11/2016"/>
    <s v="Standard Class"/>
    <s v="Victoria Brennan"/>
    <x v="700"/>
    <s v="Yes"/>
    <x v="0"/>
    <s v="San Antonio"/>
    <x v="1"/>
    <x v="1"/>
    <x v="1478"/>
    <x v="0"/>
    <x v="2"/>
    <n v="335.52"/>
  </r>
  <r>
    <x v="3"/>
    <n v="146262"/>
    <x v="300"/>
    <s v="09/01/2016"/>
    <s v="Standard Class"/>
    <s v="Victoria Wilson"/>
    <x v="701"/>
    <s v="Yes"/>
    <x v="0"/>
    <s v="Medina"/>
    <x v="21"/>
    <x v="0"/>
    <x v="1479"/>
    <x v="0"/>
    <x v="8"/>
    <n v="23.68"/>
  </r>
  <r>
    <x v="3"/>
    <n v="111507"/>
    <x v="532"/>
    <s v="13/02/2016"/>
    <s v="Standard Class"/>
    <s v="Victoria Wilson"/>
    <x v="701"/>
    <s v="Yes"/>
    <x v="0"/>
    <s v="Bellevue"/>
    <x v="15"/>
    <x v="3"/>
    <x v="1480"/>
    <x v="0"/>
    <x v="0"/>
    <n v="5.28"/>
  </r>
  <r>
    <x v="1"/>
    <n v="158540"/>
    <x v="448"/>
    <s v="26/11/2015"/>
    <s v="First Class"/>
    <s v="Vivek Gonzalez"/>
    <x v="702"/>
    <s v="Yes"/>
    <x v="2"/>
    <s v="San Diego"/>
    <x v="5"/>
    <x v="3"/>
    <x v="1481"/>
    <x v="2"/>
    <x v="6"/>
    <n v="151.72"/>
  </r>
  <r>
    <x v="0"/>
    <n v="150189"/>
    <x v="551"/>
    <s v="10/07/2018"/>
    <s v="First Class"/>
    <s v="Vivek Gonzalez"/>
    <x v="702"/>
    <s v="Yes"/>
    <x v="2"/>
    <s v="San Mateo"/>
    <x v="5"/>
    <x v="3"/>
    <x v="1482"/>
    <x v="0"/>
    <x v="8"/>
    <n v="75.180000000000007"/>
  </r>
  <r>
    <x v="2"/>
    <n v="113803"/>
    <x v="868"/>
    <s v="26/03/2017"/>
    <s v="First Class"/>
    <s v="Vivek Grady"/>
    <x v="703"/>
    <s v="Yes"/>
    <x v="0"/>
    <s v="Richmond"/>
    <x v="11"/>
    <x v="1"/>
    <x v="1483"/>
    <x v="0"/>
    <x v="2"/>
    <n v="22.48"/>
  </r>
  <r>
    <x v="2"/>
    <n v="132094"/>
    <x v="651"/>
    <s v="02/09/2017"/>
    <s v="Standard Class"/>
    <s v="Vivek Grady"/>
    <x v="703"/>
    <s v="Yes"/>
    <x v="0"/>
    <s v="Philadelphia"/>
    <x v="0"/>
    <x v="0"/>
    <x v="694"/>
    <x v="0"/>
    <x v="0"/>
    <n v="5.4720000000000004"/>
  </r>
  <r>
    <x v="2"/>
    <n v="123610"/>
    <x v="869"/>
    <s v="16/05/2017"/>
    <s v="Standard Class"/>
    <s v="Vivian Mathis"/>
    <x v="704"/>
    <s v="No"/>
    <x v="2"/>
    <s v="Mission Viejo"/>
    <x v="5"/>
    <x v="3"/>
    <x v="1484"/>
    <x v="1"/>
    <x v="4"/>
    <n v="120"/>
  </r>
  <r>
    <x v="0"/>
    <n v="120327"/>
    <x v="442"/>
    <s v="16/11/2018"/>
    <s v="Standard Class"/>
    <s v="William Brown"/>
    <x v="705"/>
    <s v="No"/>
    <x v="2"/>
    <s v="Urbandale"/>
    <x v="32"/>
    <x v="1"/>
    <x v="1485"/>
    <x v="0"/>
    <x v="15"/>
    <n v="45.92"/>
  </r>
  <r>
    <x v="2"/>
    <n v="109365"/>
    <x v="304"/>
    <s v="08/11/2017"/>
    <s v="Standard Class"/>
    <s v="Xylona Preis"/>
    <x v="706"/>
    <s v="Yes"/>
    <x v="2"/>
    <s v="Los Angeles"/>
    <x v="5"/>
    <x v="3"/>
    <x v="1486"/>
    <x v="0"/>
    <x v="15"/>
    <n v="15.26"/>
  </r>
  <r>
    <x v="1"/>
    <n v="134677"/>
    <x v="53"/>
    <s v="10/10/2015"/>
    <s v="Standard Class"/>
    <s v="Xylona Preis"/>
    <x v="706"/>
    <s v="Yes"/>
    <x v="2"/>
    <s v="San Diego"/>
    <x v="5"/>
    <x v="3"/>
    <x v="1487"/>
    <x v="1"/>
    <x v="4"/>
    <n v="9.09"/>
  </r>
  <r>
    <x v="0"/>
    <n v="124828"/>
    <x v="293"/>
    <s v="04/07/2018"/>
    <s v="First Class"/>
    <s v="Yana Sorensen"/>
    <x v="707"/>
    <s v="No"/>
    <x v="0"/>
    <s v="Burlington"/>
    <x v="2"/>
    <x v="2"/>
    <x v="1488"/>
    <x v="0"/>
    <x v="0"/>
    <n v="9.5519999999999996"/>
  </r>
  <r>
    <x v="3"/>
    <n v="153220"/>
    <x v="94"/>
    <s v="14/11/2016"/>
    <s v="First Class"/>
    <s v="Yoseph Carroll"/>
    <x v="708"/>
    <s v="Yes"/>
    <x v="0"/>
    <s v="Los Angeles"/>
    <x v="5"/>
    <x v="3"/>
    <x v="1489"/>
    <x v="0"/>
    <x v="2"/>
    <n v="15.7"/>
  </r>
  <r>
    <x v="2"/>
    <n v="123932"/>
    <x v="435"/>
    <s v="12/09/2017"/>
    <s v="Standard Class"/>
    <s v="Yoseph Carroll"/>
    <x v="708"/>
    <s v="Yes"/>
    <x v="0"/>
    <s v="Dallas"/>
    <x v="1"/>
    <x v="1"/>
    <x v="15"/>
    <x v="0"/>
    <x v="2"/>
    <n v="41.92"/>
  </r>
  <r>
    <x v="2"/>
    <n v="110499"/>
    <x v="409"/>
    <s v="09/04/2017"/>
    <s v="First Class"/>
    <s v="Yoseph Carroll"/>
    <x v="708"/>
    <s v="Yes"/>
    <x v="0"/>
    <s v="San Francisco"/>
    <x v="5"/>
    <x v="3"/>
    <x v="1490"/>
    <x v="1"/>
    <x v="11"/>
    <n v="1199.9760000000001"/>
  </r>
  <r>
    <x v="2"/>
    <n v="130946"/>
    <x v="459"/>
    <s v="12/04/2017"/>
    <s v="Standard Class"/>
    <s v="Zuschuss Carroll"/>
    <x v="709"/>
    <s v="Yes"/>
    <x v="2"/>
    <s v="Houston"/>
    <x v="1"/>
    <x v="1"/>
    <x v="1292"/>
    <x v="1"/>
    <x v="4"/>
    <n v="431.928"/>
  </r>
  <r>
    <x v="0"/>
    <n v="115322"/>
    <x v="870"/>
    <s v="16/05/2018"/>
    <s v="Second Class"/>
    <s v="Zuschuss Carroll"/>
    <x v="709"/>
    <s v="Yes"/>
    <x v="2"/>
    <s v="New York City"/>
    <x v="3"/>
    <x v="0"/>
    <x v="1491"/>
    <x v="0"/>
    <x v="0"/>
    <n v="43.92"/>
  </r>
  <r>
    <x v="2"/>
    <n v="156986"/>
    <x v="765"/>
    <s v="24/03/2017"/>
    <s v="Standard Class"/>
    <s v="Zuschuss Carroll"/>
    <x v="709"/>
    <s v="Yes"/>
    <x v="2"/>
    <s v="Salem"/>
    <x v="25"/>
    <x v="3"/>
    <x v="1492"/>
    <x v="1"/>
    <x v="9"/>
    <n v="84.784000000000006"/>
  </r>
  <r>
    <x v="0"/>
    <n v="102288"/>
    <x v="62"/>
    <s v="23/06/2018"/>
    <s v="Standard Class"/>
    <s v="Zuschuss Carroll"/>
    <x v="709"/>
    <s v="Yes"/>
    <x v="2"/>
    <s v="Houston"/>
    <x v="1"/>
    <x v="1"/>
    <x v="1493"/>
    <x v="0"/>
    <x v="12"/>
    <n v="2.2639999999999998"/>
  </r>
  <r>
    <x v="1"/>
    <n v="126802"/>
    <x v="113"/>
    <s v="05/01/2016"/>
    <s v="Standard Class"/>
    <s v="Zuschuss Carroll"/>
    <x v="709"/>
    <s v="Yes"/>
    <x v="2"/>
    <s v="Chicago"/>
    <x v="10"/>
    <x v="1"/>
    <x v="1436"/>
    <x v="2"/>
    <x v="6"/>
    <n v="38.975999999999999"/>
  </r>
  <r>
    <x v="1"/>
    <n v="151995"/>
    <x v="709"/>
    <s v="15/10/2015"/>
    <s v="First Class"/>
    <s v="Zuschuss Carroll"/>
    <x v="709"/>
    <s v="Yes"/>
    <x v="2"/>
    <s v="Edmonds"/>
    <x v="15"/>
    <x v="3"/>
    <x v="89"/>
    <x v="0"/>
    <x v="0"/>
    <n v="11.52"/>
  </r>
  <r>
    <x v="3"/>
    <n v="133452"/>
    <x v="871"/>
    <s v="19/04/2016"/>
    <s v="Standard Class"/>
    <s v="Zuschuss Carroll"/>
    <x v="709"/>
    <s v="Yes"/>
    <x v="2"/>
    <s v="Pomona"/>
    <x v="5"/>
    <x v="3"/>
    <x v="1494"/>
    <x v="1"/>
    <x v="4"/>
    <n v="199.96"/>
  </r>
  <r>
    <x v="1"/>
    <n v="143336"/>
    <x v="308"/>
    <s v="01/09/2015"/>
    <s v="Second Class"/>
    <s v="Zuschuss Donatelli"/>
    <x v="710"/>
    <s v="Yes"/>
    <x v="2"/>
    <s v="San Francisco"/>
    <x v="5"/>
    <x v="3"/>
    <x v="1495"/>
    <x v="0"/>
    <x v="0"/>
    <n v="8.56"/>
  </r>
  <r>
    <x v="2"/>
    <n v="167682"/>
    <x v="872"/>
    <s v="09/04/2017"/>
    <s v="Standard Class"/>
    <s v="Zuschuss Donatelli"/>
    <x v="710"/>
    <s v="Yes"/>
    <x v="2"/>
    <s v="Richmond"/>
    <x v="11"/>
    <x v="1"/>
    <x v="1496"/>
    <x v="2"/>
    <x v="6"/>
    <n v="71.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F15A3-85C3-4763-B8B2-C21DF2BBB268}" name="PivotTable8" cacheId="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rowHeaderCaption="States">
  <location ref="H10:I57"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axis="axisRow" showAll="0">
      <items count="47">
        <item x="30"/>
        <item x="13"/>
        <item x="37"/>
        <item x="5"/>
        <item x="20"/>
        <item x="28"/>
        <item x="39"/>
        <item x="43"/>
        <item x="17"/>
        <item x="7"/>
        <item x="45"/>
        <item x="10"/>
        <item x="11"/>
        <item x="32"/>
        <item x="36"/>
        <item x="12"/>
        <item x="27"/>
        <item x="44"/>
        <item x="31"/>
        <item x="23"/>
        <item x="34"/>
        <item x="26"/>
        <item x="41"/>
        <item x="9"/>
        <item x="16"/>
        <item x="24"/>
        <item x="8"/>
        <item x="6"/>
        <item x="35"/>
        <item x="22"/>
        <item x="3"/>
        <item x="2"/>
        <item x="38"/>
        <item x="21"/>
        <item x="14"/>
        <item x="25"/>
        <item x="0"/>
        <item x="33"/>
        <item x="40"/>
        <item x="42"/>
        <item x="18"/>
        <item x="1"/>
        <item x="19"/>
        <item x="4"/>
        <item x="15"/>
        <item x="29"/>
        <item t="default"/>
      </items>
    </pivotField>
    <pivotField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1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Sales" fld="15" baseField="0" baseItem="0" numFmtId="2"/>
  </dataFields>
  <formats count="1">
    <format dxfId="31">
      <pivotArea outline="0" collapsedLevelsAreSubtotals="1" fieldPosition="0"/>
    </format>
  </formats>
  <chartFormats count="8">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3" format="4" series="1">
      <pivotArea type="data" outline="0" fieldPosition="0">
        <references count="1">
          <reference field="4294967294" count="1" selected="0">
            <x v="0"/>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E9AAF-3AB9-495C-8603-319C9CF3AE59}" name="Monthly Sales" cacheId="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Yearly Sales Trend ">
  <location ref="H3:I8" firstHeaderRow="1" firstDataRow="1" firstDataCol="1"/>
  <pivotFields count="16">
    <pivotField axis="axisRow" showAll="0">
      <items count="5">
        <item x="1"/>
        <item x="3"/>
        <item x="2"/>
        <item x="0"/>
        <item t="default"/>
      </items>
    </pivotField>
    <pivotField showAll="0"/>
    <pivotField showAll="0">
      <items count="874">
        <item x="501"/>
        <item x="188"/>
        <item x="506"/>
        <item x="780"/>
        <item x="743"/>
        <item x="634"/>
        <item x="136"/>
        <item x="677"/>
        <item x="553"/>
        <item x="270"/>
        <item x="239"/>
        <item x="311"/>
        <item x="137"/>
        <item x="411"/>
        <item x="547"/>
        <item x="85"/>
        <item x="760"/>
        <item x="1"/>
        <item x="636"/>
        <item x="412"/>
        <item x="329"/>
        <item x="191"/>
        <item x="729"/>
        <item x="494"/>
        <item x="313"/>
        <item x="725"/>
        <item x="503"/>
        <item x="295"/>
        <item x="817"/>
        <item x="87"/>
        <item x="664"/>
        <item x="481"/>
        <item x="302"/>
        <item x="300"/>
        <item x="2"/>
        <item x="325"/>
        <item x="16"/>
        <item x="407"/>
        <item x="362"/>
        <item x="679"/>
        <item x="578"/>
        <item x="536"/>
        <item x="213"/>
        <item x="276"/>
        <item x="428"/>
        <item x="42"/>
        <item x="783"/>
        <item x="485"/>
        <item x="736"/>
        <item x="348"/>
        <item x="140"/>
        <item x="77"/>
        <item x="606"/>
        <item x="178"/>
        <item x="422"/>
        <item x="152"/>
        <item x="441"/>
        <item x="115"/>
        <item x="612"/>
        <item x="33"/>
        <item x="11"/>
        <item x="789"/>
        <item x="98"/>
        <item x="48"/>
        <item x="425"/>
        <item x="872"/>
        <item x="611"/>
        <item x="587"/>
        <item x="835"/>
        <item x="515"/>
        <item x="210"/>
        <item x="504"/>
        <item x="293"/>
        <item x="167"/>
        <item x="262"/>
        <item x="59"/>
        <item x="552"/>
        <item x="556"/>
        <item x="126"/>
        <item x="61"/>
        <item x="214"/>
        <item x="438"/>
        <item x="67"/>
        <item x="100"/>
        <item x="271"/>
        <item x="304"/>
        <item x="346"/>
        <item x="726"/>
        <item x="182"/>
        <item x="237"/>
        <item x="301"/>
        <item x="772"/>
        <item x="447"/>
        <item x="379"/>
        <item x="860"/>
        <item x="303"/>
        <item x="703"/>
        <item x="839"/>
        <item x="754"/>
        <item x="722"/>
        <item x="676"/>
        <item x="356"/>
        <item x="71"/>
        <item x="35"/>
        <item x="656"/>
        <item x="153"/>
        <item x="605"/>
        <item x="335"/>
        <item x="23"/>
        <item x="863"/>
        <item x="653"/>
        <item x="513"/>
        <item x="373"/>
        <item x="522"/>
        <item x="370"/>
        <item x="49"/>
        <item x="727"/>
        <item x="44"/>
        <item x="274"/>
        <item x="249"/>
        <item x="820"/>
        <item x="433"/>
        <item x="357"/>
        <item x="112"/>
        <item x="757"/>
        <item x="613"/>
        <item x="763"/>
        <item x="230"/>
        <item x="479"/>
        <item x="139"/>
        <item x="350"/>
        <item x="196"/>
        <item x="538"/>
        <item x="13"/>
        <item x="700"/>
        <item x="135"/>
        <item x="255"/>
        <item x="734"/>
        <item x="127"/>
        <item x="402"/>
        <item x="562"/>
        <item x="855"/>
        <item x="630"/>
        <item x="46"/>
        <item x="29"/>
        <item x="197"/>
        <item x="47"/>
        <item x="21"/>
        <item x="831"/>
        <item x="386"/>
        <item x="532"/>
        <item x="603"/>
        <item x="828"/>
        <item x="581"/>
        <item x="467"/>
        <item x="80"/>
        <item x="508"/>
        <item x="484"/>
        <item x="404"/>
        <item x="216"/>
        <item x="358"/>
        <item x="473"/>
        <item x="601"/>
        <item x="82"/>
        <item x="797"/>
        <item x="480"/>
        <item x="171"/>
        <item x="435"/>
        <item x="53"/>
        <item x="639"/>
        <item x="735"/>
        <item x="696"/>
        <item x="289"/>
        <item x="121"/>
        <item x="497"/>
        <item x="187"/>
        <item x="399"/>
        <item x="321"/>
        <item x="183"/>
        <item x="421"/>
        <item x="702"/>
        <item x="767"/>
        <item x="409"/>
        <item x="286"/>
        <item x="268"/>
        <item x="238"/>
        <item x="5"/>
        <item x="145"/>
        <item x="251"/>
        <item x="101"/>
        <item x="392"/>
        <item x="257"/>
        <item x="90"/>
        <item x="685"/>
        <item x="294"/>
        <item x="381"/>
        <item x="416"/>
        <item x="298"/>
        <item x="380"/>
        <item x="349"/>
        <item x="382"/>
        <item x="782"/>
        <item x="658"/>
        <item x="247"/>
        <item x="747"/>
        <item x="866"/>
        <item x="572"/>
        <item x="459"/>
        <item x="388"/>
        <item x="55"/>
        <item x="305"/>
        <item x="400"/>
        <item x="228"/>
        <item x="410"/>
        <item x="424"/>
        <item x="354"/>
        <item x="269"/>
        <item x="551"/>
        <item x="650"/>
        <item x="246"/>
        <item x="150"/>
        <item x="732"/>
        <item x="93"/>
        <item x="403"/>
        <item x="419"/>
        <item x="147"/>
        <item x="439"/>
        <item x="793"/>
        <item x="297"/>
        <item x="849"/>
        <item x="856"/>
        <item x="482"/>
        <item x="34"/>
        <item x="697"/>
        <item x="637"/>
        <item x="465"/>
        <item x="657"/>
        <item x="548"/>
        <item x="822"/>
        <item x="218"/>
        <item x="745"/>
        <item x="594"/>
        <item x="209"/>
        <item x="862"/>
        <item x="493"/>
        <item x="695"/>
        <item x="299"/>
        <item x="579"/>
        <item x="76"/>
        <item x="372"/>
        <item x="518"/>
        <item x="344"/>
        <item x="118"/>
        <item x="363"/>
        <item x="830"/>
        <item x="248"/>
        <item x="564"/>
        <item x="10"/>
        <item x="203"/>
        <item x="624"/>
        <item x="333"/>
        <item x="81"/>
        <item x="108"/>
        <item x="706"/>
        <item x="707"/>
        <item x="619"/>
        <item x="853"/>
        <item x="234"/>
        <item x="221"/>
        <item x="206"/>
        <item x="495"/>
        <item x="483"/>
        <item x="744"/>
        <item x="160"/>
        <item x="445"/>
        <item x="57"/>
        <item x="154"/>
        <item x="596"/>
        <item x="18"/>
        <item x="242"/>
        <item x="626"/>
        <item x="317"/>
        <item x="309"/>
        <item x="31"/>
        <item x="292"/>
        <item x="699"/>
        <item x="807"/>
        <item x="602"/>
        <item x="384"/>
        <item x="51"/>
        <item x="823"/>
        <item x="378"/>
        <item x="773"/>
        <item x="223"/>
        <item x="265"/>
        <item x="742"/>
        <item x="550"/>
        <item x="812"/>
        <item x="668"/>
        <item x="507"/>
        <item x="844"/>
        <item x="870"/>
        <item x="684"/>
        <item x="149"/>
        <item x="824"/>
        <item x="492"/>
        <item x="771"/>
        <item x="841"/>
        <item x="486"/>
        <item x="12"/>
        <item x="241"/>
        <item x="566"/>
        <item x="821"/>
        <item x="764"/>
        <item x="194"/>
        <item x="442"/>
        <item x="529"/>
        <item x="114"/>
        <item x="390"/>
        <item x="811"/>
        <item x="717"/>
        <item x="170"/>
        <item x="173"/>
        <item x="618"/>
        <item x="103"/>
        <item x="869"/>
        <item x="488"/>
        <item x="319"/>
        <item x="647"/>
        <item x="64"/>
        <item x="471"/>
        <item x="631"/>
        <item x="417"/>
        <item x="645"/>
        <item x="786"/>
        <item x="186"/>
        <item x="110"/>
        <item x="143"/>
        <item x="418"/>
        <item x="345"/>
        <item x="690"/>
        <item x="94"/>
        <item x="397"/>
        <item x="367"/>
        <item x="741"/>
        <item x="391"/>
        <item x="250"/>
        <item x="801"/>
        <item x="558"/>
        <item x="675"/>
        <item x="7"/>
        <item x="161"/>
        <item x="156"/>
        <item x="871"/>
        <item x="365"/>
        <item x="43"/>
        <item x="200"/>
        <item x="464"/>
        <item x="361"/>
        <item x="808"/>
        <item x="826"/>
        <item x="490"/>
        <item x="728"/>
        <item x="681"/>
        <item x="456"/>
        <item x="705"/>
        <item x="337"/>
        <item x="511"/>
        <item x="709"/>
        <item x="123"/>
        <item x="649"/>
        <item x="73"/>
        <item x="517"/>
        <item x="288"/>
        <item x="284"/>
        <item x="434"/>
        <item x="686"/>
        <item x="625"/>
        <item x="92"/>
        <item x="790"/>
        <item x="523"/>
        <item x="768"/>
        <item x="111"/>
        <item x="353"/>
        <item x="24"/>
        <item x="420"/>
        <item x="769"/>
        <item x="215"/>
        <item x="567"/>
        <item x="133"/>
        <item x="273"/>
        <item x="662"/>
        <item x="527"/>
        <item x="279"/>
        <item x="165"/>
        <item x="219"/>
        <item x="692"/>
        <item x="54"/>
        <item x="307"/>
        <item x="590"/>
        <item x="413"/>
        <item x="698"/>
        <item x="478"/>
        <item x="795"/>
        <item x="599"/>
        <item x="746"/>
        <item x="37"/>
        <item x="607"/>
        <item x="755"/>
        <item x="175"/>
        <item x="9"/>
        <item x="834"/>
        <item x="589"/>
        <item x="623"/>
        <item x="69"/>
        <item x="672"/>
        <item x="836"/>
        <item x="788"/>
        <item x="673"/>
        <item x="281"/>
        <item x="320"/>
        <item x="179"/>
        <item x="233"/>
        <item x="374"/>
        <item x="193"/>
        <item x="88"/>
        <item x="502"/>
        <item x="324"/>
        <item x="468"/>
        <item x="766"/>
        <item x="851"/>
        <item x="343"/>
        <item x="715"/>
        <item x="570"/>
        <item x="708"/>
        <item x="815"/>
        <item x="385"/>
        <item x="444"/>
        <item x="454"/>
        <item x="633"/>
        <item x="282"/>
        <item x="865"/>
        <item x="832"/>
        <item x="642"/>
        <item x="181"/>
        <item x="427"/>
        <item x="394"/>
        <item x="266"/>
        <item x="670"/>
        <item x="535"/>
        <item x="40"/>
        <item x="431"/>
        <item x="52"/>
        <item x="809"/>
        <item x="585"/>
        <item x="777"/>
        <item x="138"/>
        <item x="671"/>
        <item x="106"/>
        <item x="19"/>
        <item x="802"/>
        <item x="263"/>
        <item x="616"/>
        <item x="315"/>
        <item x="586"/>
        <item x="291"/>
        <item x="330"/>
        <item x="278"/>
        <item x="510"/>
        <item x="306"/>
        <item x="260"/>
        <item x="762"/>
        <item x="669"/>
        <item x="531"/>
        <item x="610"/>
        <item x="565"/>
        <item x="70"/>
        <item x="39"/>
        <item x="401"/>
        <item x="429"/>
        <item x="105"/>
        <item x="654"/>
        <item x="296"/>
        <item x="32"/>
        <item x="731"/>
        <item x="132"/>
        <item x="682"/>
        <item x="204"/>
        <item x="280"/>
        <item x="119"/>
        <item x="83"/>
        <item x="327"/>
        <item x="819"/>
        <item x="799"/>
        <item x="231"/>
        <item x="580"/>
        <item x="352"/>
        <item x="211"/>
        <item x="756"/>
        <item x="621"/>
        <item x="184"/>
        <item x="17"/>
        <item x="798"/>
        <item x="557"/>
        <item x="519"/>
        <item x="724"/>
        <item x="600"/>
        <item x="524"/>
        <item x="142"/>
        <item x="667"/>
        <item x="84"/>
        <item x="130"/>
        <item x="122"/>
        <item x="28"/>
        <item x="0"/>
        <item x="340"/>
        <item x="738"/>
        <item x="688"/>
        <item x="166"/>
        <item x="185"/>
        <item x="243"/>
        <item x="477"/>
        <item x="641"/>
        <item x="102"/>
        <item x="604"/>
        <item x="62"/>
        <item x="845"/>
        <item x="591"/>
        <item x="180"/>
        <item x="466"/>
        <item x="737"/>
        <item x="97"/>
        <item x="364"/>
        <item x="560"/>
        <item x="794"/>
        <item x="525"/>
        <item x="25"/>
        <item x="858"/>
        <item x="414"/>
        <item x="15"/>
        <item x="144"/>
        <item x="549"/>
        <item x="457"/>
        <item x="68"/>
        <item x="528"/>
        <item x="326"/>
        <item x="652"/>
        <item x="622"/>
        <item x="30"/>
        <item x="520"/>
        <item x="146"/>
        <item x="765"/>
        <item x="521"/>
        <item x="848"/>
        <item x="813"/>
        <item x="778"/>
        <item x="825"/>
        <item x="574"/>
        <item x="723"/>
        <item x="244"/>
        <item x="559"/>
        <item x="818"/>
        <item x="776"/>
        <item x="229"/>
        <item x="398"/>
        <item x="659"/>
        <item x="405"/>
        <item x="752"/>
        <item x="721"/>
        <item x="423"/>
        <item x="202"/>
        <item x="60"/>
        <item x="205"/>
        <item x="14"/>
        <item x="120"/>
        <item x="376"/>
        <item x="355"/>
        <item x="689"/>
        <item x="240"/>
        <item x="593"/>
        <item x="617"/>
        <item x="843"/>
        <item x="58"/>
        <item x="595"/>
        <item x="829"/>
        <item x="588"/>
        <item x="718"/>
        <item x="710"/>
        <item x="277"/>
        <item x="359"/>
        <item x="36"/>
        <item x="711"/>
        <item x="545"/>
        <item x="816"/>
        <item x="371"/>
        <item x="784"/>
        <item x="498"/>
        <item x="533"/>
        <item x="256"/>
        <item x="437"/>
        <item x="840"/>
        <item x="704"/>
        <item x="730"/>
        <item x="458"/>
        <item x="264"/>
        <item x="162"/>
        <item x="577"/>
        <item x="436"/>
        <item x="190"/>
        <item x="109"/>
        <item x="27"/>
        <item x="759"/>
        <item x="168"/>
        <item x="472"/>
        <item x="674"/>
        <item x="426"/>
        <item x="475"/>
        <item x="396"/>
        <item x="629"/>
        <item x="336"/>
        <item x="235"/>
        <item x="470"/>
        <item x="555"/>
        <item x="366"/>
        <item x="318"/>
        <item x="678"/>
        <item x="347"/>
        <item x="774"/>
        <item x="450"/>
        <item x="691"/>
        <item x="661"/>
        <item x="443"/>
        <item x="199"/>
        <item x="857"/>
        <item x="78"/>
        <item x="792"/>
        <item x="192"/>
        <item x="544"/>
        <item x="224"/>
        <item x="177"/>
        <item x="847"/>
        <item x="491"/>
        <item x="805"/>
        <item x="74"/>
        <item x="452"/>
        <item x="99"/>
        <item x="628"/>
        <item x="387"/>
        <item x="785"/>
        <item x="530"/>
        <item x="124"/>
        <item x="861"/>
        <item x="554"/>
        <item x="128"/>
        <item x="694"/>
        <item x="748"/>
        <item x="201"/>
        <item x="220"/>
        <item x="129"/>
        <item x="316"/>
        <item x="516"/>
        <item x="573"/>
        <item x="867"/>
        <item x="666"/>
        <item x="541"/>
        <item x="663"/>
        <item x="463"/>
        <item x="846"/>
        <item x="225"/>
        <item x="393"/>
        <item x="868"/>
        <item x="245"/>
        <item x="332"/>
        <item x="781"/>
        <item x="460"/>
        <item x="174"/>
        <item x="236"/>
        <item x="408"/>
        <item x="615"/>
        <item x="377"/>
        <item x="89"/>
        <item x="56"/>
        <item x="440"/>
        <item x="448"/>
        <item x="351"/>
        <item x="65"/>
        <item x="499"/>
        <item x="158"/>
        <item x="368"/>
        <item x="800"/>
        <item x="79"/>
        <item x="854"/>
        <item x="713"/>
        <item x="104"/>
        <item x="275"/>
        <item x="648"/>
        <item x="568"/>
        <item x="582"/>
        <item x="539"/>
        <item x="598"/>
        <item x="592"/>
        <item x="716"/>
        <item x="739"/>
        <item x="22"/>
        <item x="38"/>
        <item x="95"/>
        <item x="712"/>
        <item x="287"/>
        <item x="406"/>
        <item x="804"/>
        <item x="500"/>
        <item x="714"/>
        <item x="96"/>
        <item x="614"/>
        <item x="461"/>
        <item x="514"/>
        <item x="687"/>
        <item x="810"/>
        <item x="189"/>
        <item x="597"/>
        <item x="489"/>
        <item x="328"/>
        <item x="827"/>
        <item x="151"/>
        <item x="334"/>
        <item x="163"/>
        <item x="375"/>
        <item x="476"/>
        <item x="576"/>
        <item x="389"/>
        <item x="693"/>
        <item x="638"/>
        <item x="41"/>
        <item x="267"/>
        <item x="323"/>
        <item x="469"/>
        <item x="651"/>
        <item x="285"/>
        <item x="217"/>
        <item x="261"/>
        <item x="814"/>
        <item x="72"/>
        <item x="753"/>
        <item x="575"/>
        <item x="453"/>
        <item x="680"/>
        <item x="8"/>
        <item x="26"/>
        <item x="198"/>
        <item x="195"/>
        <item x="749"/>
        <item x="852"/>
        <item x="740"/>
        <item x="339"/>
        <item x="683"/>
        <item x="644"/>
        <item x="496"/>
        <item x="640"/>
        <item x="148"/>
        <item x="3"/>
        <item x="308"/>
        <item x="770"/>
        <item x="432"/>
        <item x="63"/>
        <item x="850"/>
        <item x="512"/>
        <item x="761"/>
        <item x="534"/>
        <item x="227"/>
        <item x="314"/>
        <item x="415"/>
        <item x="66"/>
        <item x="125"/>
        <item x="341"/>
        <item x="172"/>
        <item x="864"/>
        <item x="646"/>
        <item x="20"/>
        <item x="4"/>
        <item x="360"/>
        <item x="720"/>
        <item x="803"/>
        <item x="451"/>
        <item x="609"/>
        <item x="751"/>
        <item x="322"/>
        <item x="272"/>
        <item x="833"/>
        <item x="254"/>
        <item x="632"/>
        <item x="620"/>
        <item x="719"/>
        <item x="259"/>
        <item x="791"/>
        <item x="45"/>
        <item x="665"/>
        <item x="207"/>
        <item x="342"/>
        <item x="806"/>
        <item x="383"/>
        <item x="838"/>
        <item x="446"/>
        <item x="283"/>
        <item x="395"/>
        <item x="540"/>
        <item x="796"/>
        <item x="643"/>
        <item x="462"/>
        <item x="583"/>
        <item x="779"/>
        <item x="505"/>
        <item x="338"/>
        <item x="232"/>
        <item x="775"/>
        <item x="91"/>
        <item x="526"/>
        <item x="6"/>
        <item x="701"/>
        <item x="252"/>
        <item x="542"/>
        <item x="837"/>
        <item x="571"/>
        <item x="487"/>
        <item x="312"/>
        <item x="117"/>
        <item x="733"/>
        <item x="113"/>
        <item x="226"/>
        <item x="212"/>
        <item x="258"/>
        <item x="369"/>
        <item x="164"/>
        <item x="635"/>
        <item x="859"/>
        <item x="842"/>
        <item x="758"/>
        <item x="157"/>
        <item x="86"/>
        <item x="430"/>
        <item x="208"/>
        <item x="116"/>
        <item x="474"/>
        <item x="310"/>
        <item x="655"/>
        <item x="546"/>
        <item x="750"/>
        <item x="159"/>
        <item x="134"/>
        <item x="141"/>
        <item x="537"/>
        <item x="563"/>
        <item x="584"/>
        <item x="509"/>
        <item x="131"/>
        <item x="290"/>
        <item x="660"/>
        <item x="608"/>
        <item x="50"/>
        <item x="449"/>
        <item x="253"/>
        <item x="569"/>
        <item x="176"/>
        <item x="169"/>
        <item x="787"/>
        <item x="627"/>
        <item x="455"/>
        <item x="75"/>
        <item x="561"/>
        <item x="107"/>
        <item x="331"/>
        <item x="222"/>
        <item x="543"/>
        <item x="155"/>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0"/>
  </rowFields>
  <rowItems count="5">
    <i>
      <x/>
    </i>
    <i>
      <x v="1"/>
    </i>
    <i>
      <x v="2"/>
    </i>
    <i>
      <x v="3"/>
    </i>
    <i t="grand">
      <x/>
    </i>
  </rowItems>
  <colItems count="1">
    <i/>
  </colItems>
  <dataFields count="1">
    <dataField name="Sum of Sales" fld="15" baseField="0" baseItem="0"/>
  </dataFields>
  <formats count="1">
    <format dxfId="30">
      <pivotArea dataOnly="0" labelOnly="1" grandRow="1" outline="0" fieldPosition="0"/>
    </format>
  </formats>
  <chartFormats count="3">
    <chartFormat chart="23" format="3"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46BF0-297C-4C7C-B2A6-134725B90B2F}" name="Regiona" cacheId="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egions">
  <location ref="E3:F8"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11"/>
  </rowFields>
  <rowItems count="5">
    <i>
      <x/>
    </i>
    <i>
      <x v="1"/>
    </i>
    <i>
      <x v="2"/>
    </i>
    <i>
      <x v="3"/>
    </i>
    <i t="grand">
      <x/>
    </i>
  </rowItems>
  <colItems count="1">
    <i/>
  </colItems>
  <dataFields count="1">
    <dataField name="Sum of Sales" fld="15" baseField="0" baseItem="0" numFmtId="2"/>
  </dataFields>
  <formats count="2">
    <format dxfId="28">
      <pivotArea collapsedLevelsAreSubtotals="1" fieldPosition="0">
        <references count="1">
          <reference field="11" count="1">
            <x v="0"/>
          </reference>
        </references>
      </pivotArea>
    </format>
    <format dxfId="29">
      <pivotArea outline="0" collapsedLevelsAreSubtotals="1" fieldPosition="0"/>
    </format>
  </formats>
  <chartFormats count="16">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1" count="1" selected="0">
            <x v="0"/>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5" format="4">
      <pivotArea type="data" outline="0" fieldPosition="0">
        <references count="2">
          <reference field="4294967294" count="1" selected="0">
            <x v="0"/>
          </reference>
          <reference field="11" count="1" selected="0">
            <x v="2"/>
          </reference>
        </references>
      </pivotArea>
    </chartFormat>
    <chartFormat chart="5" format="5">
      <pivotArea type="data" outline="0" fieldPosition="0">
        <references count="2">
          <reference field="4294967294" count="1" selected="0">
            <x v="0"/>
          </reference>
          <reference field="11"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 chart="6" format="9">
      <pivotArea type="data" outline="0" fieldPosition="0">
        <references count="2">
          <reference field="4294967294" count="1" selected="0">
            <x v="0"/>
          </reference>
          <reference field="11" count="1" selected="0">
            <x v="2"/>
          </reference>
        </references>
      </pivotArea>
    </chartFormat>
    <chartFormat chart="6" format="10">
      <pivotArea type="data" outline="0" fieldPosition="0">
        <references count="2">
          <reference field="4294967294" count="1" selected="0">
            <x v="0"/>
          </reference>
          <reference field="11"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1" count="1" selected="0">
            <x v="0"/>
          </reference>
        </references>
      </pivotArea>
    </chartFormat>
    <chartFormat chart="17" format="18">
      <pivotArea type="data" outline="0" fieldPosition="0">
        <references count="2">
          <reference field="4294967294" count="1" selected="0">
            <x v="0"/>
          </reference>
          <reference field="11" count="1" selected="0">
            <x v="1"/>
          </reference>
        </references>
      </pivotArea>
    </chartFormat>
    <chartFormat chart="17" format="19">
      <pivotArea type="data" outline="0" fieldPosition="0">
        <references count="2">
          <reference field="4294967294" count="1" selected="0">
            <x v="0"/>
          </reference>
          <reference field="11" count="1" selected="0">
            <x v="2"/>
          </reference>
        </references>
      </pivotArea>
    </chartFormat>
    <chartFormat chart="17" format="20">
      <pivotArea type="data" outline="0" fieldPosition="0">
        <references count="2">
          <reference field="4294967294" count="1" selected="0">
            <x v="0"/>
          </reference>
          <reference field="11" count="1" selected="0">
            <x v="3"/>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2B87B-1E47-4ECF-9E28-D5001829887E}" name="Category" cacheId="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Categories">
  <location ref="A3:B24"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5">
        <item x="1"/>
        <item x="0"/>
        <item x="2"/>
        <item x="3"/>
        <item t="default"/>
      </items>
    </pivotField>
    <pivotField showAll="0"/>
    <pivotField axis="axisRow" showAll="0">
      <items count="4">
        <item x="2"/>
        <item x="0"/>
        <item x="1"/>
        <item t="default"/>
      </items>
    </pivotField>
    <pivotField axis="axisRow" showAll="0">
      <items count="18">
        <item x="4"/>
        <item x="12"/>
        <item x="0"/>
        <item x="7"/>
        <item x="13"/>
        <item x="10"/>
        <item x="11"/>
        <item x="16"/>
        <item x="15"/>
        <item x="6"/>
        <item x="8"/>
        <item x="1"/>
        <item x="2"/>
        <item x="9"/>
        <item x="3"/>
        <item x="5"/>
        <item x="14"/>
        <item t="default"/>
      </items>
    </pivotField>
    <pivotField dataField="1" showAll="0"/>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5" baseField="0" baseItem="0" numFmtId="2"/>
  </dataFields>
  <formats count="7">
    <format dxfId="21">
      <pivotArea collapsedLevelsAreSubtotals="1" fieldPosition="0">
        <references count="2">
          <reference field="13" count="1" selected="0">
            <x v="0"/>
          </reference>
          <reference field="14" count="4">
            <x v="4"/>
            <x v="5"/>
            <x v="9"/>
            <x v="16"/>
          </reference>
        </references>
      </pivotArea>
    </format>
    <format dxfId="22">
      <pivotArea collapsedLevelsAreSubtotals="1" fieldPosition="0">
        <references count="1">
          <reference field="13" count="1">
            <x v="1"/>
          </reference>
        </references>
      </pivotArea>
    </format>
    <format dxfId="23">
      <pivotArea collapsedLevelsAreSubtotals="1" fieldPosition="0">
        <references count="2">
          <reference field="13" count="1" selected="0">
            <x v="1"/>
          </reference>
          <reference field="14" count="9">
            <x v="1"/>
            <x v="2"/>
            <x v="3"/>
            <x v="7"/>
            <x v="8"/>
            <x v="10"/>
            <x v="12"/>
            <x v="14"/>
            <x v="15"/>
          </reference>
        </references>
      </pivotArea>
    </format>
    <format dxfId="24">
      <pivotArea collapsedLevelsAreSubtotals="1" fieldPosition="0">
        <references count="1">
          <reference field="13" count="1">
            <x v="2"/>
          </reference>
        </references>
      </pivotArea>
    </format>
    <format dxfId="25">
      <pivotArea collapsedLevelsAreSubtotals="1" fieldPosition="0">
        <references count="2">
          <reference field="13" count="1" selected="0">
            <x v="2"/>
          </reference>
          <reference field="14" count="4">
            <x v="0"/>
            <x v="6"/>
            <x v="11"/>
            <x v="13"/>
          </reference>
        </references>
      </pivotArea>
    </format>
    <format dxfId="26">
      <pivotArea collapsedLevelsAreSubtotals="1" fieldPosition="0">
        <references count="1">
          <reference field="13" count="1">
            <x v="0"/>
          </reference>
        </references>
      </pivotArea>
    </format>
    <format dxfId="27">
      <pivotArea outline="0" collapsedLevelsAreSubtotals="1" fieldPosition="0"/>
    </format>
  </formats>
  <chartFormats count="5">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E2051-F923-491C-8585-370223691FFC}" name="Segments" cacheId="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egments">
  <location ref="E11:F15"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items count="5">
        <item x="1"/>
        <item x="0"/>
        <item x="2"/>
        <item x="3"/>
        <item t="default"/>
      </items>
    </pivotField>
    <pivotField showAll="0"/>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8"/>
  </rowFields>
  <rowItems count="4">
    <i>
      <x/>
    </i>
    <i>
      <x v="1"/>
    </i>
    <i>
      <x v="2"/>
    </i>
    <i t="grand">
      <x/>
    </i>
  </rowItems>
  <colItems count="1">
    <i/>
  </colItems>
  <dataFields count="1">
    <dataField name="Sum of Sales" fld="15" baseField="0" baseItem="0" numFmtId="2"/>
  </dataFields>
  <formats count="2">
    <format dxfId="19">
      <pivotArea dataOnly="0" labelOnly="1" outline="0" axis="axisValues" fieldPosition="0"/>
    </format>
    <format dxfId="20">
      <pivotArea outline="0" collapsedLevelsAreSubtotals="1" fieldPosition="0"/>
    </format>
  </formats>
  <chartFormats count="1">
    <chartFormat chart="17" format="6" series="1">
      <pivotArea type="data" outline="0" fieldPosition="0">
        <references count="1">
          <reference field="4294967294" count="1" selected="0">
            <x v="0"/>
          </reference>
        </references>
      </pivotArea>
    </chartFormat>
  </chartFormats>
  <pivotTableStyleInfo name="PivotStyleMedium2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25458-86C4-47F9-8A92-C245487B00BF}" name="Top 10 Products" cacheId="4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Top 10 Products">
  <location ref="K3:L14" firstHeaderRow="1" firstDataRow="1" firstDataCol="1"/>
  <pivotFields count="16">
    <pivotField showAll="0">
      <items count="5">
        <item x="1"/>
        <item x="3"/>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items count="5">
        <item x="1"/>
        <item x="0"/>
        <item x="2"/>
        <item x="3"/>
        <item t="default"/>
      </items>
    </pivotField>
    <pivotField axis="axisRow" showAll="0" measureFilter="1">
      <items count="1498">
        <item x="1191"/>
        <item x="152"/>
        <item x="1337"/>
        <item x="348"/>
        <item x="346"/>
        <item x="1104"/>
        <item x="1114"/>
        <item x="1273"/>
        <item x="265"/>
        <item x="1306"/>
        <item x="758"/>
        <item x="925"/>
        <item x="1464"/>
        <item x="254"/>
        <item x="1245"/>
        <item x="440"/>
        <item x="1299"/>
        <item x="698"/>
        <item x="1087"/>
        <item x="1418"/>
        <item x="553"/>
        <item x="420"/>
        <item x="155"/>
        <item x="111"/>
        <item x="363"/>
        <item x="621"/>
        <item x="1155"/>
        <item x="868"/>
        <item x="467"/>
        <item x="994"/>
        <item x="177"/>
        <item x="234"/>
        <item x="1448"/>
        <item x="45"/>
        <item x="431"/>
        <item x="676"/>
        <item x="1385"/>
        <item x="804"/>
        <item x="1216"/>
        <item x="57"/>
        <item x="220"/>
        <item x="671"/>
        <item x="627"/>
        <item x="974"/>
        <item x="559"/>
        <item x="105"/>
        <item x="596"/>
        <item x="332"/>
        <item x="1424"/>
        <item x="1097"/>
        <item x="896"/>
        <item x="50"/>
        <item x="85"/>
        <item x="515"/>
        <item x="871"/>
        <item x="1268"/>
        <item x="780"/>
        <item x="1076"/>
        <item x="1146"/>
        <item x="768"/>
        <item x="450"/>
        <item x="425"/>
        <item x="269"/>
        <item x="1436"/>
        <item x="1059"/>
        <item x="1052"/>
        <item x="1206"/>
        <item x="737"/>
        <item x="1465"/>
        <item x="167"/>
        <item x="832"/>
        <item x="409"/>
        <item x="1033"/>
        <item x="1008"/>
        <item x="1241"/>
        <item x="1315"/>
        <item x="415"/>
        <item x="131"/>
        <item x="263"/>
        <item x="516"/>
        <item x="1213"/>
        <item x="1009"/>
        <item x="1302"/>
        <item x="1117"/>
        <item x="283"/>
        <item x="273"/>
        <item x="536"/>
        <item x="1267"/>
        <item x="1443"/>
        <item x="971"/>
        <item x="914"/>
        <item x="1208"/>
        <item x="361"/>
        <item x="451"/>
        <item x="506"/>
        <item x="955"/>
        <item x="308"/>
        <item x="369"/>
        <item x="193"/>
        <item x="19"/>
        <item x="270"/>
        <item x="318"/>
        <item x="1440"/>
        <item x="649"/>
        <item x="1037"/>
        <item x="1406"/>
        <item x="399"/>
        <item x="133"/>
        <item x="595"/>
        <item x="747"/>
        <item x="44"/>
        <item x="197"/>
        <item x="844"/>
        <item x="1152"/>
        <item x="475"/>
        <item x="527"/>
        <item x="466"/>
        <item x="788"/>
        <item x="252"/>
        <item x="250"/>
        <item x="6"/>
        <item x="659"/>
        <item x="850"/>
        <item x="1441"/>
        <item x="18"/>
        <item x="1390"/>
        <item x="854"/>
        <item x="1357"/>
        <item x="861"/>
        <item x="770"/>
        <item x="909"/>
        <item x="829"/>
        <item x="230"/>
        <item x="534"/>
        <item x="251"/>
        <item x="908"/>
        <item x="922"/>
        <item x="723"/>
        <item x="354"/>
        <item x="493"/>
        <item x="350"/>
        <item x="99"/>
        <item x="1176"/>
        <item x="1212"/>
        <item x="713"/>
        <item x="1336"/>
        <item x="31"/>
        <item x="923"/>
        <item x="20"/>
        <item x="845"/>
        <item x="842"/>
        <item x="929"/>
        <item x="1391"/>
        <item x="1"/>
        <item x="893"/>
        <item x="1457"/>
        <item x="1247"/>
        <item x="779"/>
        <item x="992"/>
        <item x="812"/>
        <item x="598"/>
        <item x="214"/>
        <item x="1405"/>
        <item x="1393"/>
        <item x="274"/>
        <item x="1169"/>
        <item x="1242"/>
        <item x="118"/>
        <item x="762"/>
        <item x="647"/>
        <item x="290"/>
        <item x="1161"/>
        <item x="1094"/>
        <item x="860"/>
        <item x="1354"/>
        <item x="314"/>
        <item x="684"/>
        <item x="390"/>
        <item x="1334"/>
        <item x="185"/>
        <item x="794"/>
        <item x="972"/>
        <item x="1219"/>
        <item x="864"/>
        <item x="485"/>
        <item x="574"/>
        <item x="1410"/>
        <item x="205"/>
        <item x="771"/>
        <item x="1053"/>
        <item x="172"/>
        <item x="472"/>
        <item x="1301"/>
        <item x="578"/>
        <item x="1150"/>
        <item x="264"/>
        <item x="1144"/>
        <item x="1001"/>
        <item x="814"/>
        <item x="120"/>
        <item x="4"/>
        <item x="533"/>
        <item x="786"/>
        <item x="286"/>
        <item x="783"/>
        <item x="1188"/>
        <item x="256"/>
        <item x="76"/>
        <item x="405"/>
        <item x="496"/>
        <item x="1134"/>
        <item x="98"/>
        <item x="962"/>
        <item x="40"/>
        <item x="1296"/>
        <item x="1324"/>
        <item x="594"/>
        <item x="366"/>
        <item x="933"/>
        <item x="1133"/>
        <item x="644"/>
        <item x="843"/>
        <item x="1086"/>
        <item x="897"/>
        <item x="828"/>
        <item x="1370"/>
        <item x="5"/>
        <item x="1154"/>
        <item x="1010"/>
        <item x="83"/>
        <item x="296"/>
        <item x="820"/>
        <item x="749"/>
        <item x="191"/>
        <item x="1196"/>
        <item x="163"/>
        <item x="1085"/>
        <item x="1422"/>
        <item x="30"/>
        <item x="664"/>
        <item x="1035"/>
        <item x="123"/>
        <item x="885"/>
        <item x="604"/>
        <item x="1322"/>
        <item x="1368"/>
        <item x="262"/>
        <item x="697"/>
        <item x="1249"/>
        <item x="720"/>
        <item x="840"/>
        <item x="1407"/>
        <item x="1101"/>
        <item x="1321"/>
        <item x="728"/>
        <item x="34"/>
        <item x="670"/>
        <item x="892"/>
        <item x="1186"/>
        <item x="382"/>
        <item x="77"/>
        <item x="1205"/>
        <item x="124"/>
        <item x="1162"/>
        <item x="863"/>
        <item x="316"/>
        <item x="1072"/>
        <item x="1088"/>
        <item x="92"/>
        <item x="731"/>
        <item x="535"/>
        <item x="1323"/>
        <item x="568"/>
        <item x="554"/>
        <item x="902"/>
        <item x="722"/>
        <item x="738"/>
        <item x="418"/>
        <item x="744"/>
        <item x="672"/>
        <item x="592"/>
        <item x="1174"/>
        <item x="1304"/>
        <item x="352"/>
        <item x="1116"/>
        <item x="1244"/>
        <item x="62"/>
        <item x="1214"/>
        <item x="910"/>
        <item x="546"/>
        <item x="982"/>
        <item x="1024"/>
        <item x="855"/>
        <item x="512"/>
        <item x="194"/>
        <item x="88"/>
        <item x="1478"/>
        <item x="1236"/>
        <item x="890"/>
        <item x="1264"/>
        <item x="178"/>
        <item x="669"/>
        <item x="430"/>
        <item x="973"/>
        <item x="662"/>
        <item x="941"/>
        <item x="1145"/>
        <item x="175"/>
        <item x="504"/>
        <item x="743"/>
        <item x="1021"/>
        <item x="1402"/>
        <item x="229"/>
        <item x="195"/>
        <item x="498"/>
        <item x="653"/>
        <item x="1311"/>
        <item x="692"/>
        <item x="949"/>
        <item x="353"/>
        <item x="577"/>
        <item x="513"/>
        <item x="993"/>
        <item x="839"/>
        <item x="562"/>
        <item x="1018"/>
        <item x="454"/>
        <item x="169"/>
        <item x="238"/>
        <item x="689"/>
        <item x="87"/>
        <item x="555"/>
        <item x="1416"/>
        <item x="1380"/>
        <item x="612"/>
        <item x="680"/>
        <item x="1476"/>
        <item x="174"/>
        <item x="1445"/>
        <item x="364"/>
        <item x="1138"/>
        <item x="581"/>
        <item x="106"/>
        <item x="305"/>
        <item x="724"/>
        <item x="479"/>
        <item x="1246"/>
        <item x="1177"/>
        <item x="602"/>
        <item x="870"/>
        <item x="765"/>
        <item x="1278"/>
        <item x="862"/>
        <item x="42"/>
        <item x="443"/>
        <item x="1130"/>
        <item x="61"/>
        <item x="1310"/>
        <item x="742"/>
        <item x="817"/>
        <item x="1203"/>
        <item x="695"/>
        <item x="457"/>
        <item x="638"/>
        <item x="625"/>
        <item x="1179"/>
        <item x="271"/>
        <item x="566"/>
        <item x="326"/>
        <item x="1198"/>
        <item x="135"/>
        <item x="1092"/>
        <item x="330"/>
        <item x="453"/>
        <item x="463"/>
        <item x="1389"/>
        <item x="1056"/>
        <item x="1398"/>
        <item x="97"/>
        <item x="816"/>
        <item x="1227"/>
        <item x="1062"/>
        <item x="827"/>
        <item x="785"/>
        <item x="403"/>
        <item x="1030"/>
        <item x="938"/>
        <item x="325"/>
        <item x="975"/>
        <item x="434"/>
        <item x="1232"/>
        <item x="563"/>
        <item x="987"/>
        <item x="1148"/>
        <item x="1272"/>
        <item x="67"/>
        <item x="834"/>
        <item x="690"/>
        <item x="572"/>
        <item x="1327"/>
        <item x="1427"/>
        <item x="1480"/>
        <item x="419"/>
        <item x="59"/>
        <item x="54"/>
        <item x="729"/>
        <item x="377"/>
        <item x="948"/>
        <item x="1419"/>
        <item x="502"/>
        <item x="69"/>
        <item x="301"/>
        <item x="1064"/>
        <item x="344"/>
        <item x="121"/>
        <item x="181"/>
        <item x="613"/>
        <item x="158"/>
        <item x="599"/>
        <item x="1470"/>
        <item x="1305"/>
        <item x="716"/>
        <item x="1172"/>
        <item x="921"/>
        <item x="297"/>
        <item x="1199"/>
        <item x="206"/>
        <item x="1285"/>
        <item x="985"/>
        <item x="1487"/>
        <item x="11"/>
        <item x="980"/>
        <item x="324"/>
        <item x="1128"/>
        <item x="869"/>
        <item x="1159"/>
        <item x="1396"/>
        <item x="1165"/>
        <item x="830"/>
        <item x="809"/>
        <item x="72"/>
        <item x="74"/>
        <item x="900"/>
        <item x="114"/>
        <item x="936"/>
        <item x="468"/>
        <item x="231"/>
        <item x="623"/>
        <item x="39"/>
        <item x="1442"/>
        <item x="192"/>
        <item x="712"/>
        <item x="304"/>
        <item x="147"/>
        <item x="1005"/>
        <item x="1050"/>
        <item x="1051"/>
        <item x="1259"/>
        <item x="879"/>
        <item x="1355"/>
        <item x="1280"/>
        <item x="442"/>
        <item x="104"/>
        <item x="1063"/>
        <item x="776"/>
        <item x="1158"/>
        <item x="1166"/>
        <item x="617"/>
        <item x="474"/>
        <item x="510"/>
        <item x="1384"/>
        <item x="183"/>
        <item x="928"/>
        <item x="1120"/>
        <item x="130"/>
        <item x="571"/>
        <item x="1421"/>
        <item x="1447"/>
        <item x="707"/>
        <item x="1486"/>
        <item x="107"/>
        <item x="951"/>
        <item x="351"/>
        <item x="551"/>
        <item x="775"/>
        <item x="1388"/>
        <item x="1211"/>
        <item x="1281"/>
        <item x="462"/>
        <item x="96"/>
        <item x="27"/>
        <item x="1425"/>
        <item x="51"/>
        <item x="396"/>
        <item x="1356"/>
        <item x="1430"/>
        <item x="378"/>
        <item x="1481"/>
        <item x="1381"/>
        <item x="1220"/>
        <item x="341"/>
        <item x="989"/>
        <item x="926"/>
        <item x="23"/>
        <item x="13"/>
        <item x="1461"/>
        <item x="127"/>
        <item x="1093"/>
        <item x="461"/>
        <item x="1012"/>
        <item x="1066"/>
        <item x="1352"/>
        <item x="1170"/>
        <item x="1434"/>
        <item x="313"/>
        <item x="1359"/>
        <item x="319"/>
        <item x="1261"/>
        <item x="616"/>
        <item x="991"/>
        <item x="381"/>
        <item x="552"/>
        <item x="438"/>
        <item x="645"/>
        <item x="995"/>
        <item x="148"/>
        <item x="915"/>
        <item x="75"/>
        <item x="323"/>
        <item x="1386"/>
        <item x="699"/>
        <item x="1163"/>
        <item x="117"/>
        <item x="1372"/>
        <item x="857"/>
        <item x="956"/>
        <item x="706"/>
        <item x="1230"/>
        <item x="276"/>
        <item x="1300"/>
        <item x="1164"/>
        <item x="665"/>
        <item x="1017"/>
        <item x="1462"/>
        <item x="1289"/>
        <item x="1132"/>
        <item x="1263"/>
        <item x="300"/>
        <item x="1383"/>
        <item x="1339"/>
        <item x="961"/>
        <item x="1325"/>
        <item x="970"/>
        <item x="417"/>
        <item x="140"/>
        <item x="509"/>
        <item x="886"/>
        <item x="1397"/>
        <item x="436"/>
        <item x="1113"/>
        <item x="642"/>
        <item x="518"/>
        <item x="411"/>
        <item x="337"/>
        <item x="203"/>
        <item x="1095"/>
        <item x="932"/>
        <item x="141"/>
        <item x="136"/>
        <item x="1000"/>
        <item x="576"/>
        <item x="1290"/>
        <item x="1348"/>
        <item x="1432"/>
        <item x="134"/>
        <item x="1369"/>
        <item x="374"/>
        <item x="735"/>
        <item x="1414"/>
        <item x="339"/>
        <item x="1223"/>
        <item x="935"/>
        <item x="1279"/>
        <item x="711"/>
        <item x="226"/>
        <item x="63"/>
        <item x="26"/>
        <item x="1180"/>
        <item x="486"/>
        <item x="162"/>
        <item x="291"/>
        <item x="584"/>
        <item x="357"/>
        <item x="1054"/>
        <item x="1307"/>
        <item x="821"/>
        <item x="1123"/>
        <item x="1295"/>
        <item x="945"/>
        <item x="906"/>
        <item x="168"/>
        <item x="1428"/>
        <item x="497"/>
        <item x="376"/>
        <item x="277"/>
        <item x="153"/>
        <item x="119"/>
        <item x="1102"/>
        <item x="769"/>
        <item x="761"/>
        <item x="912"/>
        <item x="470"/>
        <item x="1229"/>
        <item x="302"/>
        <item x="1100"/>
        <item x="539"/>
        <item x="736"/>
        <item x="1344"/>
        <item x="636"/>
        <item x="1365"/>
        <item x="597"/>
        <item x="482"/>
        <item x="550"/>
        <item x="549"/>
        <item x="129"/>
        <item x="128"/>
        <item x="759"/>
        <item x="12"/>
        <item x="1346"/>
        <item x="1022"/>
        <item x="1292"/>
        <item x="1483"/>
        <item x="1168"/>
        <item x="1338"/>
        <item x="1210"/>
        <item x="1061"/>
        <item x="1200"/>
        <item x="345"/>
        <item x="1400"/>
        <item x="21"/>
        <item x="808"/>
        <item x="188"/>
        <item x="969"/>
        <item x="1040"/>
        <item x="919"/>
        <item x="1234"/>
        <item x="648"/>
        <item x="1127"/>
        <item x="873"/>
        <item x="529"/>
        <item x="1041"/>
        <item x="1084"/>
        <item x="507"/>
        <item x="1067"/>
        <item x="1351"/>
        <item x="763"/>
        <item x="397"/>
        <item x="464"/>
        <item x="1139"/>
        <item x="94"/>
        <item x="1016"/>
        <item x="1454"/>
        <item x="1490"/>
        <item x="310"/>
        <item x="805"/>
        <item x="258"/>
        <item x="1048"/>
        <item x="358"/>
        <item x="1262"/>
        <item x="1313"/>
        <item x="1378"/>
        <item x="523"/>
        <item x="619"/>
        <item x="1349"/>
        <item x="93"/>
        <item x="1135"/>
        <item x="874"/>
        <item x="1375"/>
        <item x="184"/>
        <item x="934"/>
        <item x="976"/>
        <item x="2"/>
        <item x="1474"/>
        <item x="1240"/>
        <item x="349"/>
        <item x="488"/>
        <item x="362"/>
        <item x="811"/>
        <item x="628"/>
        <item x="202"/>
        <item x="494"/>
        <item x="1149"/>
        <item x="80"/>
        <item x="207"/>
        <item x="691"/>
        <item x="726"/>
        <item x="1157"/>
        <item x="267"/>
        <item x="688"/>
        <item x="1471"/>
        <item x="867"/>
        <item x="211"/>
        <item x="846"/>
        <item x="1192"/>
        <item x="285"/>
        <item x="622"/>
        <item x="22"/>
        <item x="1276"/>
        <item x="800"/>
        <item x="696"/>
        <item x="1330"/>
        <item x="560"/>
        <item x="750"/>
        <item x="86"/>
        <item x="939"/>
        <item x="1293"/>
        <item x="500"/>
        <item x="145"/>
        <item x="1011"/>
        <item x="491"/>
        <item x="880"/>
        <item x="1426"/>
        <item x="1373"/>
        <item x="841"/>
        <item x="1288"/>
        <item x="641"/>
        <item x="656"/>
        <item x="567"/>
        <item x="556"/>
        <item x="1226"/>
        <item x="190"/>
        <item x="585"/>
        <item x="1105"/>
        <item x="423"/>
        <item x="1175"/>
        <item x="1257"/>
        <item x="831"/>
        <item x="1007"/>
        <item x="943"/>
        <item x="370"/>
        <item x="1467"/>
        <item x="73"/>
        <item x="165"/>
        <item x="242"/>
        <item x="17"/>
        <item x="171"/>
        <item x="150"/>
        <item x="157"/>
        <item x="10"/>
        <item x="835"/>
        <item x="79"/>
        <item x="1332"/>
        <item x="1437"/>
        <item x="311"/>
        <item x="1449"/>
        <item x="1049"/>
        <item x="1218"/>
        <item x="903"/>
        <item x="1025"/>
        <item x="355"/>
        <item x="541"/>
        <item x="1237"/>
        <item x="200"/>
        <item x="109"/>
        <item x="448"/>
        <item x="1284"/>
        <item x="1438"/>
        <item x="327"/>
        <item x="1055"/>
        <item x="1366"/>
        <item x="815"/>
        <item x="521"/>
        <item x="1140"/>
        <item x="424"/>
        <item x="360"/>
        <item x="1255"/>
        <item x="1147"/>
        <item x="380"/>
        <item x="591"/>
        <item x="1314"/>
        <item x="916"/>
        <item x="606"/>
        <item x="1251"/>
        <item x="391"/>
        <item x="503"/>
        <item x="1136"/>
        <item x="1222"/>
        <item x="1235"/>
        <item x="807"/>
        <item x="819"/>
        <item x="635"/>
        <item x="1353"/>
        <item x="1329"/>
        <item x="1207"/>
        <item x="1403"/>
        <item x="1450"/>
        <item x="1217"/>
        <item x="331"/>
        <item x="1335"/>
        <item x="587"/>
        <item x="347"/>
        <item x="1004"/>
        <item x="219"/>
        <item x="1151"/>
        <item x="1341"/>
        <item x="1451"/>
        <item x="655"/>
        <item x="772"/>
        <item x="704"/>
        <item x="180"/>
        <item x="294"/>
        <item x="603"/>
        <item x="81"/>
        <item x="891"/>
        <item x="340"/>
        <item x="1107"/>
        <item x="1038"/>
        <item x="1112"/>
        <item x="1122"/>
        <item x="1032"/>
        <item x="1069"/>
        <item x="998"/>
        <item x="146"/>
        <item x="967"/>
        <item x="605"/>
        <item x="279"/>
        <item x="1408"/>
        <item x="1046"/>
        <item x="257"/>
        <item x="1193"/>
        <item x="241"/>
        <item x="570"/>
        <item x="907"/>
        <item x="979"/>
        <item x="36"/>
        <item x="37"/>
        <item x="1361"/>
        <item x="766"/>
        <item x="1350"/>
        <item x="1433"/>
        <item x="1231"/>
        <item x="1312"/>
        <item x="58"/>
        <item x="3"/>
        <item x="1182"/>
        <item x="71"/>
        <item x="1254"/>
        <item x="668"/>
        <item x="558"/>
        <item x="752"/>
        <item x="1111"/>
        <item x="1411"/>
        <item x="441"/>
        <item x="259"/>
        <item x="1036"/>
        <item x="1482"/>
        <item x="968"/>
        <item x="306"/>
        <item x="1228"/>
        <item x="458"/>
        <item x="727"/>
        <item x="580"/>
        <item x="437"/>
        <item x="565"/>
        <item x="631"/>
        <item x="894"/>
        <item x="1265"/>
        <item x="1494"/>
        <item x="1340"/>
        <item x="1277"/>
        <item x="799"/>
        <item x="216"/>
        <item x="1363"/>
        <item x="582"/>
        <item x="429"/>
        <item x="489"/>
        <item x="583"/>
        <item x="385"/>
        <item x="452"/>
        <item x="1070"/>
        <item x="806"/>
        <item x="1253"/>
        <item x="49"/>
        <item x="1178"/>
        <item x="629"/>
        <item x="217"/>
        <item x="793"/>
        <item x="564"/>
        <item x="383"/>
        <item x="709"/>
        <item x="789"/>
        <item x="182"/>
        <item x="70"/>
        <item x="233"/>
        <item x="398"/>
        <item x="1460"/>
        <item x="253"/>
        <item x="1096"/>
        <item x="718"/>
        <item x="1221"/>
        <item x="222"/>
        <item x="810"/>
        <item x="1382"/>
        <item x="813"/>
        <item x="847"/>
        <item x="1215"/>
        <item x="730"/>
        <item x="35"/>
        <item x="282"/>
        <item x="959"/>
        <item x="379"/>
        <item x="1098"/>
        <item x="1399"/>
        <item x="734"/>
        <item x="401"/>
        <item x="367"/>
        <item x="667"/>
        <item x="866"/>
        <item x="710"/>
        <item x="964"/>
        <item x="685"/>
        <item x="260"/>
        <item x="633"/>
        <item x="60"/>
        <item x="1453"/>
        <item x="1129"/>
        <item x="1286"/>
        <item x="289"/>
        <item x="1042"/>
        <item x="1331"/>
        <item x="1006"/>
        <item x="1417"/>
        <item x="407"/>
        <item x="307"/>
        <item x="701"/>
        <item x="1489"/>
        <item x="1029"/>
        <item x="459"/>
        <item x="755"/>
        <item x="663"/>
        <item x="626"/>
        <item x="1243"/>
        <item x="293"/>
        <item x="652"/>
        <item x="122"/>
        <item x="1091"/>
        <item x="548"/>
        <item x="791"/>
        <item x="853"/>
        <item x="1495"/>
        <item x="1298"/>
        <item x="911"/>
        <item x="733"/>
        <item x="309"/>
        <item x="610"/>
        <item x="682"/>
        <item x="708"/>
        <item x="895"/>
        <item x="517"/>
        <item x="944"/>
        <item x="1392"/>
        <item x="1274"/>
        <item x="1225"/>
        <item x="538"/>
        <item x="144"/>
        <item x="673"/>
        <item x="275"/>
        <item x="287"/>
        <item x="1466"/>
        <item x="946"/>
        <item x="43"/>
        <item x="201"/>
        <item x="1472"/>
        <item x="1360"/>
        <item x="1185"/>
        <item x="579"/>
        <item x="757"/>
        <item x="1065"/>
        <item x="1173"/>
        <item x="359"/>
        <item x="848"/>
        <item x="1078"/>
        <item x="225"/>
        <item x="333"/>
        <item x="852"/>
        <item x="609"/>
        <item x="0"/>
        <item x="48"/>
        <item x="89"/>
        <item x="1468"/>
        <item x="778"/>
        <item x="544"/>
        <item x="838"/>
        <item x="531"/>
        <item x="1345"/>
        <item x="899"/>
        <item x="53"/>
        <item x="600"/>
        <item x="204"/>
        <item x="1201"/>
        <item x="881"/>
        <item x="29"/>
        <item x="1270"/>
        <item x="639"/>
        <item x="1131"/>
        <item x="371"/>
        <item x="1233"/>
        <item x="1256"/>
        <item x="702"/>
        <item x="1075"/>
        <item x="266"/>
        <item x="1266"/>
        <item x="395"/>
        <item x="179"/>
        <item x="212"/>
        <item x="798"/>
        <item x="561"/>
        <item x="299"/>
        <item x="160"/>
        <item x="446"/>
        <item x="439"/>
        <item x="221"/>
        <item x="1319"/>
        <item x="888"/>
        <item x="499"/>
        <item x="412"/>
        <item x="278"/>
        <item x="520"/>
        <item x="66"/>
        <item x="525"/>
        <item x="966"/>
        <item x="790"/>
        <item x="1317"/>
        <item x="715"/>
        <item x="889"/>
        <item x="495"/>
        <item x="851"/>
        <item x="1458"/>
        <item x="1376"/>
        <item x="1294"/>
        <item x="1387"/>
        <item x="1248"/>
        <item x="1153"/>
        <item x="1121"/>
        <item x="947"/>
        <item x="46"/>
        <item x="199"/>
        <item x="375"/>
        <item x="386"/>
        <item x="102"/>
        <item x="593"/>
        <item x="856"/>
        <item x="239"/>
        <item x="78"/>
        <item x="607"/>
        <item x="236"/>
        <item x="404"/>
        <item x="101"/>
        <item x="428"/>
        <item x="679"/>
        <item x="872"/>
        <item x="198"/>
        <item x="746"/>
        <item x="402"/>
        <item x="137"/>
        <item x="1167"/>
        <item x="315"/>
        <item x="764"/>
        <item x="1367"/>
        <item x="1291"/>
        <item x="1204"/>
        <item x="1309"/>
        <item x="983"/>
        <item x="705"/>
        <item x="1260"/>
        <item x="589"/>
        <item x="714"/>
        <item x="8"/>
        <item x="721"/>
        <item x="693"/>
        <item x="1488"/>
        <item x="1435"/>
        <item x="719"/>
        <item x="484"/>
        <item x="1189"/>
        <item x="756"/>
        <item x="394"/>
        <item x="963"/>
        <item x="138"/>
        <item x="240"/>
        <item x="1106"/>
        <item x="1439"/>
        <item x="280"/>
        <item x="356"/>
        <item x="519"/>
        <item x="725"/>
        <item x="586"/>
        <item x="1456"/>
        <item x="608"/>
        <item x="338"/>
        <item x="1108"/>
        <item x="537"/>
        <item x="176"/>
        <item x="1013"/>
        <item x="826"/>
        <item x="1333"/>
        <item x="674"/>
        <item x="573"/>
        <item x="1275"/>
        <item x="1103"/>
        <item x="1160"/>
        <item x="634"/>
        <item x="433"/>
        <item x="651"/>
        <item x="321"/>
        <item x="545"/>
        <item x="748"/>
        <item x="988"/>
        <item x="960"/>
        <item x="588"/>
        <item x="590"/>
        <item x="1156"/>
        <item x="654"/>
        <item x="637"/>
        <item x="792"/>
        <item x="422"/>
        <item x="478"/>
        <item x="739"/>
        <item x="82"/>
        <item x="1118"/>
        <item x="110"/>
        <item x="389"/>
        <item x="511"/>
        <item x="824"/>
        <item x="196"/>
        <item x="646"/>
        <item x="14"/>
        <item x="795"/>
        <item x="1463"/>
        <item x="456"/>
        <item x="1019"/>
        <item x="342"/>
        <item x="542"/>
        <item x="1358"/>
        <item x="823"/>
        <item x="918"/>
        <item x="801"/>
        <item x="957"/>
        <item x="878"/>
        <item x="91"/>
        <item x="480"/>
        <item x="1141"/>
        <item x="996"/>
        <item x="432"/>
        <item x="1045"/>
        <item x="1003"/>
        <item x="557"/>
        <item x="483"/>
        <item x="292"/>
        <item x="1496"/>
        <item x="1492"/>
        <item x="1115"/>
        <item x="1475"/>
        <item x="208"/>
        <item x="760"/>
        <item x="547"/>
        <item x="508"/>
        <item x="143"/>
        <item x="460"/>
        <item x="767"/>
        <item x="1477"/>
        <item x="1409"/>
        <item x="125"/>
        <item x="624"/>
        <item x="1099"/>
        <item x="924"/>
        <item x="1252"/>
        <item x="1124"/>
        <item x="920"/>
        <item x="1238"/>
        <item x="643"/>
        <item x="388"/>
        <item x="997"/>
        <item x="64"/>
        <item x="336"/>
        <item x="1126"/>
        <item x="875"/>
        <item x="1342"/>
        <item x="1043"/>
        <item x="368"/>
        <item x="678"/>
        <item x="1074"/>
        <item x="1089"/>
        <item x="526"/>
        <item x="950"/>
        <item x="753"/>
        <item x="1082"/>
        <item x="112"/>
        <item x="232"/>
        <item x="1080"/>
        <item x="322"/>
        <item x="447"/>
        <item x="954"/>
        <item x="213"/>
        <item x="528"/>
        <item x="261"/>
        <item x="514"/>
        <item x="298"/>
        <item x="154"/>
        <item x="657"/>
        <item x="858"/>
        <item x="859"/>
        <item x="16"/>
        <item x="774"/>
        <item x="295"/>
        <item x="1431"/>
        <item x="1023"/>
        <item x="410"/>
        <item x="751"/>
        <item x="990"/>
        <item x="473"/>
        <item x="1209"/>
        <item x="328"/>
        <item x="284"/>
        <item x="677"/>
        <item x="237"/>
        <item x="1401"/>
        <item x="303"/>
        <item x="317"/>
        <item x="95"/>
        <item x="611"/>
        <item x="1364"/>
        <item x="666"/>
        <item x="687"/>
        <item x="487"/>
        <item x="243"/>
        <item x="24"/>
        <item x="28"/>
        <item x="1031"/>
        <item x="421"/>
        <item x="1039"/>
        <item x="151"/>
        <item x="218"/>
        <item x="675"/>
        <item x="877"/>
        <item x="1283"/>
        <item x="522"/>
        <item x="977"/>
        <item x="55"/>
        <item x="501"/>
        <item x="797"/>
        <item x="782"/>
        <item x="1415"/>
        <item x="618"/>
        <item x="471"/>
        <item x="632"/>
        <item x="100"/>
        <item x="139"/>
        <item x="917"/>
        <item x="1224"/>
        <item x="530"/>
        <item x="56"/>
        <item x="901"/>
        <item x="620"/>
        <item x="942"/>
        <item x="883"/>
        <item x="601"/>
        <item x="694"/>
        <item x="392"/>
        <item x="490"/>
        <item x="312"/>
        <item x="882"/>
        <item x="1190"/>
        <item x="1090"/>
        <item x="400"/>
        <item x="41"/>
        <item x="1452"/>
        <item x="661"/>
        <item x="445"/>
        <item x="1326"/>
        <item x="1015"/>
        <item x="444"/>
        <item x="1429"/>
        <item x="164"/>
        <item x="1395"/>
        <item x="505"/>
        <item x="426"/>
        <item x="1446"/>
        <item x="1071"/>
        <item x="408"/>
        <item x="1287"/>
        <item x="1362"/>
        <item x="1044"/>
        <item x="108"/>
        <item x="540"/>
        <item x="904"/>
        <item x="416"/>
        <item x="1125"/>
        <item x="113"/>
        <item x="836"/>
        <item x="658"/>
        <item x="235"/>
        <item x="953"/>
        <item x="116"/>
        <item x="1187"/>
        <item x="777"/>
        <item x="825"/>
        <item x="1073"/>
        <item x="387"/>
        <item x="1184"/>
        <item x="1183"/>
        <item x="268"/>
        <item x="887"/>
        <item x="732"/>
        <item x="543"/>
        <item x="1412"/>
        <item x="640"/>
        <item x="1077"/>
        <item x="1404"/>
        <item x="849"/>
        <item x="186"/>
        <item x="1079"/>
        <item x="965"/>
        <item x="884"/>
        <item x="52"/>
        <item x="1068"/>
        <item x="754"/>
        <item x="787"/>
        <item x="406"/>
        <item x="38"/>
        <item x="1142"/>
        <item x="68"/>
        <item x="90"/>
        <item x="161"/>
        <item x="159"/>
        <item x="802"/>
        <item x="532"/>
        <item x="1027"/>
        <item x="1491"/>
        <item x="335"/>
        <item x="481"/>
        <item x="9"/>
        <item x="865"/>
        <item x="1303"/>
        <item x="33"/>
        <item x="1308"/>
        <item x="686"/>
        <item x="1258"/>
        <item x="384"/>
        <item x="822"/>
        <item x="833"/>
        <item x="1473"/>
        <item x="248"/>
        <item x="288"/>
        <item x="700"/>
        <item x="898"/>
        <item x="1047"/>
        <item x="1379"/>
        <item x="1484"/>
        <item x="745"/>
        <item x="999"/>
        <item x="524"/>
        <item x="930"/>
        <item x="1250"/>
        <item x="1197"/>
        <item x="413"/>
        <item x="414"/>
        <item x="986"/>
        <item x="1479"/>
        <item x="1194"/>
        <item x="149"/>
        <item x="372"/>
        <item x="246"/>
        <item x="876"/>
        <item x="937"/>
        <item x="1137"/>
        <item x="1297"/>
        <item x="1282"/>
        <item x="741"/>
        <item x="984"/>
        <item x="630"/>
        <item x="1318"/>
        <item x="1394"/>
        <item x="393"/>
        <item x="1034"/>
        <item x="244"/>
        <item x="681"/>
        <item x="796"/>
        <item x="1143"/>
        <item x="1020"/>
        <item x="132"/>
        <item x="614"/>
        <item x="717"/>
        <item x="905"/>
        <item x="1377"/>
        <item x="223"/>
        <item x="683"/>
        <item x="1493"/>
        <item x="660"/>
        <item x="189"/>
        <item x="492"/>
        <item x="1371"/>
        <item x="15"/>
        <item x="1014"/>
        <item x="1316"/>
        <item x="958"/>
        <item x="142"/>
        <item x="228"/>
        <item x="272"/>
        <item x="427"/>
        <item x="650"/>
        <item x="575"/>
        <item x="781"/>
        <item x="103"/>
        <item x="320"/>
        <item x="913"/>
        <item x="1060"/>
        <item x="1057"/>
        <item x="837"/>
        <item x="1444"/>
        <item x="224"/>
        <item x="249"/>
        <item x="47"/>
        <item x="343"/>
        <item x="245"/>
        <item x="1269"/>
        <item x="703"/>
        <item x="1026"/>
        <item x="978"/>
        <item x="1110"/>
        <item x="1002"/>
        <item x="173"/>
        <item x="952"/>
        <item x="247"/>
        <item x="927"/>
        <item x="1058"/>
        <item x="740"/>
        <item x="465"/>
        <item x="215"/>
        <item x="1347"/>
        <item x="25"/>
        <item x="818"/>
        <item x="1109"/>
        <item x="1239"/>
        <item x="187"/>
        <item x="1455"/>
        <item x="1181"/>
        <item x="1271"/>
        <item x="1423"/>
        <item x="803"/>
        <item x="940"/>
        <item x="1485"/>
        <item x="1171"/>
        <item x="435"/>
        <item x="1469"/>
        <item x="7"/>
        <item x="981"/>
        <item x="1320"/>
        <item x="1420"/>
        <item x="115"/>
        <item x="1195"/>
        <item x="170"/>
        <item x="365"/>
        <item x="1202"/>
        <item x="1028"/>
        <item x="931"/>
        <item x="476"/>
        <item x="156"/>
        <item x="1343"/>
        <item x="1328"/>
        <item x="65"/>
        <item x="1413"/>
        <item x="477"/>
        <item x="773"/>
        <item x="210"/>
        <item x="126"/>
        <item x="255"/>
        <item x="334"/>
        <item x="455"/>
        <item x="569"/>
        <item x="1119"/>
        <item x="209"/>
        <item x="1083"/>
        <item x="84"/>
        <item x="1374"/>
        <item x="1081"/>
        <item x="329"/>
        <item x="469"/>
        <item x="166"/>
        <item x="784"/>
        <item x="615"/>
        <item x="227"/>
        <item x="281"/>
        <item x="1459"/>
        <item x="32"/>
        <item x="373"/>
        <item x="449"/>
        <item t="default"/>
      </items>
    </pivotField>
    <pivotField showAll="0">
      <items count="4">
        <item x="2"/>
        <item x="0"/>
        <item x="1"/>
        <item t="default"/>
      </items>
    </pivotField>
    <pivotField showAll="0">
      <items count="18">
        <item x="4"/>
        <item x="12"/>
        <item x="0"/>
        <item x="7"/>
        <item x="13"/>
        <item x="10"/>
        <item x="11"/>
        <item x="16"/>
        <item x="15"/>
        <item x="6"/>
        <item x="8"/>
        <item x="1"/>
        <item x="2"/>
        <item x="9"/>
        <item x="3"/>
        <item x="5"/>
        <item x="14"/>
        <item t="default"/>
      </items>
    </pivotField>
    <pivotField dataField="1" showAll="0"/>
  </pivotFields>
  <rowFields count="1">
    <field x="12"/>
  </rowFields>
  <rowItems count="11">
    <i>
      <x v="51"/>
    </i>
    <i>
      <x v="223"/>
    </i>
    <i>
      <x v="291"/>
    </i>
    <i>
      <x v="313"/>
    </i>
    <i>
      <x v="338"/>
    </i>
    <i>
      <x v="435"/>
    </i>
    <i>
      <x v="656"/>
    </i>
    <i>
      <x v="1120"/>
    </i>
    <i>
      <x v="1255"/>
    </i>
    <i>
      <x v="1419"/>
    </i>
    <i t="grand">
      <x/>
    </i>
  </rowItems>
  <colItems count="1">
    <i/>
  </colItems>
  <dataFields count="1">
    <dataField name="Sum of Sales" fld="15" baseField="0" baseItem="0"/>
  </dataFields>
  <chartFormats count="11">
    <chartFormat chart="24" format="93" series="1">
      <pivotArea type="data" outline="0" fieldPosition="0">
        <references count="1">
          <reference field="4294967294" count="1" selected="0">
            <x v="0"/>
          </reference>
        </references>
      </pivotArea>
    </chartFormat>
    <chartFormat chart="24" format="94">
      <pivotArea type="data" outline="0" fieldPosition="0">
        <references count="2">
          <reference field="4294967294" count="1" selected="0">
            <x v="0"/>
          </reference>
          <reference field="12" count="1" selected="0">
            <x v="51"/>
          </reference>
        </references>
      </pivotArea>
    </chartFormat>
    <chartFormat chart="24" format="95">
      <pivotArea type="data" outline="0" fieldPosition="0">
        <references count="2">
          <reference field="4294967294" count="1" selected="0">
            <x v="0"/>
          </reference>
          <reference field="12" count="1" selected="0">
            <x v="223"/>
          </reference>
        </references>
      </pivotArea>
    </chartFormat>
    <chartFormat chart="24" format="96">
      <pivotArea type="data" outline="0" fieldPosition="0">
        <references count="2">
          <reference field="4294967294" count="1" selected="0">
            <x v="0"/>
          </reference>
          <reference field="12" count="1" selected="0">
            <x v="291"/>
          </reference>
        </references>
      </pivotArea>
    </chartFormat>
    <chartFormat chart="24" format="97">
      <pivotArea type="data" outline="0" fieldPosition="0">
        <references count="2">
          <reference field="4294967294" count="1" selected="0">
            <x v="0"/>
          </reference>
          <reference field="12" count="1" selected="0">
            <x v="313"/>
          </reference>
        </references>
      </pivotArea>
    </chartFormat>
    <chartFormat chart="24" format="98">
      <pivotArea type="data" outline="0" fieldPosition="0">
        <references count="2">
          <reference field="4294967294" count="1" selected="0">
            <x v="0"/>
          </reference>
          <reference field="12" count="1" selected="0">
            <x v="338"/>
          </reference>
        </references>
      </pivotArea>
    </chartFormat>
    <chartFormat chart="24" format="99">
      <pivotArea type="data" outline="0" fieldPosition="0">
        <references count="2">
          <reference field="4294967294" count="1" selected="0">
            <x v="0"/>
          </reference>
          <reference field="12" count="1" selected="0">
            <x v="435"/>
          </reference>
        </references>
      </pivotArea>
    </chartFormat>
    <chartFormat chart="24" format="100">
      <pivotArea type="data" outline="0" fieldPosition="0">
        <references count="2">
          <reference field="4294967294" count="1" selected="0">
            <x v="0"/>
          </reference>
          <reference field="12" count="1" selected="0">
            <x v="656"/>
          </reference>
        </references>
      </pivotArea>
    </chartFormat>
    <chartFormat chart="24" format="101">
      <pivotArea type="data" outline="0" fieldPosition="0">
        <references count="2">
          <reference field="4294967294" count="1" selected="0">
            <x v="0"/>
          </reference>
          <reference field="12" count="1" selected="0">
            <x v="1120"/>
          </reference>
        </references>
      </pivotArea>
    </chartFormat>
    <chartFormat chart="24" format="102">
      <pivotArea type="data" outline="0" fieldPosition="0">
        <references count="2">
          <reference field="4294967294" count="1" selected="0">
            <x v="0"/>
          </reference>
          <reference field="12" count="1" selected="0">
            <x v="1255"/>
          </reference>
        </references>
      </pivotArea>
    </chartFormat>
    <chartFormat chart="24" format="103">
      <pivotArea type="data" outline="0" fieldPosition="0">
        <references count="2">
          <reference field="4294967294" count="1" selected="0">
            <x v="0"/>
          </reference>
          <reference field="12" count="1" selected="0">
            <x v="1419"/>
          </reference>
        </references>
      </pivotArea>
    </chartFormat>
  </chartFormats>
  <pivotTableStyleInfo name="PivotStyleMedium21"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6AEADB-DCEB-43F2-BE68-31644C15A320}" autoFormatId="16" applyNumberFormats="0" applyBorderFormats="0" applyFontFormats="0" applyPatternFormats="0" applyAlignmentFormats="0" applyWidthHeightFormats="0">
  <queryTableRefresh nextId="41">
    <queryTableFields count="16">
      <queryTableField id="39" name="Order Year" tableColumnId="2"/>
      <queryTableField id="18" name="Order ID" tableColumnId="18"/>
      <queryTableField id="19" name="Order Date" tableColumnId="19"/>
      <queryTableField id="20" name="Ship Date" tableColumnId="20"/>
      <queryTableField id="21" name="Ship Mode" tableColumnId="21"/>
      <queryTableField id="22" name="Customer Name" tableColumnId="22"/>
      <queryTableField id="6" name="Customer ID" tableColumnId="6"/>
      <queryTableField id="36" name="Repear Customers" tableColumnId="1"/>
      <queryTableField id="23" name="Segment" tableColumnId="23"/>
      <queryTableField id="24" name="City" tableColumnId="24"/>
      <queryTableField id="25" name="State" tableColumnId="25"/>
      <queryTableField id="26" name="Region" tableColumnId="26"/>
      <queryTableField id="27" name="Product ID" tableColumnId="27"/>
      <queryTableField id="28" name="Category" tableColumnId="28"/>
      <queryTableField id="29" name="Sub-Category" tableColumnId="29"/>
      <queryTableField id="30" name="Sales"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5E93DD9-C8C7-4A23-AE25-E2AA44F350DE}" sourceName="Order Year">
  <pivotTables>
    <pivotTable tabId="8" name="Regiona"/>
    <pivotTable tabId="8" name="Segments"/>
    <pivotTable tabId="8" name="Category"/>
    <pivotTable tabId="8" name="Monthly Sales"/>
    <pivotTable tabId="8" name="Top 10 Products"/>
    <pivotTable tabId="8" name="PivotTable8"/>
  </pivotTables>
  <data>
    <tabular pivotCacheId="84798039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9935BE1-D31D-4C07-A18A-0E60966CBF5A}" sourceName="Segment">
  <pivotTables>
    <pivotTable tabId="8" name="Regiona"/>
    <pivotTable tabId="8" name="Segments"/>
    <pivotTable tabId="8" name="Category"/>
    <pivotTable tabId="8" name="Monthly Sales"/>
    <pivotTable tabId="8" name="Top 10 Products"/>
    <pivotTable tabId="8" name="PivotTable8"/>
  </pivotTables>
  <data>
    <tabular pivotCacheId="84798039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1F9723-2802-4AAA-B3FF-695861E082BB}" sourceName="Region">
  <pivotTables>
    <pivotTable tabId="8" name="Regiona"/>
    <pivotTable tabId="8" name="Segments"/>
    <pivotTable tabId="8" name="Category"/>
    <pivotTable tabId="8" name="Monthly Sales"/>
    <pivotTable tabId="8" name="Top 10 Products"/>
    <pivotTable tabId="8" name="PivotTable8"/>
  </pivotTables>
  <data>
    <tabular pivotCacheId="84798039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F6A0337A-5C1B-4EC4-9ED2-1F5D2851F287}" cache="Slicer_Order_Year" caption="Order Year" columnCount="2" rowHeight="247650"/>
  <slicer name="Segment" xr10:uid="{3B5A8CEB-0B94-4C25-B712-9571494B2126}" cache="Slicer_Segment" caption="Segment" rowHeight="247650"/>
  <slicer name="Region" xr10:uid="{F0359781-7104-4E2C-B8C8-45088D2B9FA5}" cache="Slicer_Region" caption="Region"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2" xr10:uid="{30663A2D-D556-4C2A-8D0D-3D9FA0ABA8A6}" cache="Slicer_Order_Year" caption="Order Year" columnCount="4" style="SlicerStyleLight6" rowHeight="247650"/>
  <slicer name="Segment 2" xr10:uid="{BF3A8C41-4549-490B-BFE3-26D2395F8B41}" cache="Slicer_Segment" caption="Segment" columnCount="3" style="SlicerStyleLight6" rowHeight="247650"/>
  <slicer name="Region 2" xr10:uid="{1A7B86A2-3403-424F-AC98-57F1A365ACE5}" cache="Slicer_Region" caption="Region" columnCount="4"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A3064-C097-4F86-9115-E8197A9135BA}" name="Superstore_Sales_ProjectProject" displayName="Superstore_Sales_ProjectProject" ref="A1:P1724" tableType="queryTable" totalsRowCount="1">
  <autoFilter ref="A1:P1723" xr:uid="{15CA3064-C097-4F86-9115-E8197A9135BA}"/>
  <tableColumns count="16">
    <tableColumn id="2" xr3:uid="{5D6050B2-2A45-49DE-BECA-9BAB4F992073}" uniqueName="2" name="Order Year" queryTableFieldId="39" dataDxfId="18"/>
    <tableColumn id="18" xr3:uid="{D424557C-DF0F-4F27-A549-6C2E4B0B737F}" uniqueName="18" name="Order ID" queryTableFieldId="18" dataDxfId="17"/>
    <tableColumn id="19" xr3:uid="{A482041B-8218-4E85-AA5B-0E45FFDDD18A}" uniqueName="19" name="Order Date" queryTableFieldId="19" dataDxfId="16"/>
    <tableColumn id="20" xr3:uid="{9037A970-0BB9-40E8-AF48-B507025EB96C}" uniqueName="20" name="Ship Date" queryTableFieldId="20" dataDxfId="15"/>
    <tableColumn id="21" xr3:uid="{05C954F2-525A-47B0-B69A-3FAD97E9B7D7}" uniqueName="21" name="Ship Mode" queryTableFieldId="21" dataDxfId="14"/>
    <tableColumn id="22" xr3:uid="{6EEABF59-D319-4DD6-870D-777F83CBE778}" uniqueName="22" name="Customer Name" queryTableFieldId="22" dataDxfId="13"/>
    <tableColumn id="6" xr3:uid="{1002BF84-58BB-4287-84FB-7F4C0FC2DD35}" uniqueName="6" name="Customer ID" queryTableFieldId="6" dataDxfId="12"/>
    <tableColumn id="1" xr3:uid="{11AC0ACC-1A11-468D-AA8A-00BF115A32D9}" uniqueName="1" name="Repear Customers" queryTableFieldId="36" dataDxfId="11"/>
    <tableColumn id="23" xr3:uid="{DCF609FD-0DE6-4D0B-8010-56849DBFA8BC}" uniqueName="23" name="Segment" queryTableFieldId="23" dataDxfId="10"/>
    <tableColumn id="24" xr3:uid="{46DBCB32-19E1-4939-B5A5-FF04B5B19B66}" uniqueName="24" name="City" queryTableFieldId="24" dataDxfId="9"/>
    <tableColumn id="25" xr3:uid="{4C0A1B89-B2C5-4599-92A7-4F681F1B2545}" uniqueName="25" name="State" queryTableFieldId="25" dataDxfId="8"/>
    <tableColumn id="26" xr3:uid="{2055E5DD-3C38-4C2B-8895-A30D1AAE9274}" uniqueName="26" name="Region" queryTableFieldId="26" dataDxfId="7"/>
    <tableColumn id="27" xr3:uid="{3F16B875-59DA-496F-9DBA-0F235AFEB7EA}" uniqueName="27" name="Product ID" queryTableFieldId="27" dataDxfId="6"/>
    <tableColumn id="28" xr3:uid="{DD5F4BC7-4DCB-4790-80EF-4FB0703834BD}" uniqueName="28" name="Category" queryTableFieldId="28" dataDxfId="5"/>
    <tableColumn id="29" xr3:uid="{BFE11F9F-0239-4846-B42A-2AC9F66BB8D2}" uniqueName="29" name="Sub-Category" queryTableFieldId="29" dataDxfId="4"/>
    <tableColumn id="30" xr3:uid="{4AFA3AEE-8835-4D22-A3D0-5A661CECE21A}" uniqueName="30" name="Sales" queryTableFieldId="30"/>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17B1FB-6440-4467-B47C-C01CBDDCF703}" name="Table4" displayName="Table4" ref="A3:B11" totalsRowShown="0" headerRowDxfId="3" dataDxfId="2">
  <autoFilter ref="A3:B11" xr:uid="{4117B1FB-6440-4467-B47C-C01CBDDCF703}"/>
  <tableColumns count="2">
    <tableColumn id="1" xr3:uid="{8BF5228C-0B6B-4B7B-9FF3-55CF632A6BAF}" name="KPI's" dataDxfId="1"/>
    <tableColumn id="2" xr3:uid="{AF419E81-7A09-4952-A3E2-59D88A742777}" name="Amoun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6E62-7A58-4E40-9D4A-1B3AFF7ACED2}">
  <dimension ref="A1:P1723"/>
  <sheetViews>
    <sheetView zoomScale="90" zoomScaleNormal="90" workbookViewId="0">
      <selection activeCell="Q1710" sqref="Q1710"/>
    </sheetView>
  </sheetViews>
  <sheetFormatPr defaultRowHeight="14.45"/>
  <cols>
    <col min="1" max="1" width="14.7109375" customWidth="1"/>
    <col min="2" max="2" width="14.85546875" customWidth="1"/>
    <col min="3" max="3" width="14" customWidth="1"/>
    <col min="4" max="4" width="11.7109375" bestFit="1" customWidth="1"/>
    <col min="5" max="5" width="13.85546875" bestFit="1" customWidth="1"/>
    <col min="6" max="6" width="21.28515625" bestFit="1" customWidth="1"/>
    <col min="7" max="7" width="13.85546875" customWidth="1"/>
    <col min="8" max="8" width="9.7109375" customWidth="1"/>
    <col min="9" max="9" width="11.5703125" bestFit="1" customWidth="1"/>
    <col min="10" max="10" width="18" bestFit="1" customWidth="1"/>
    <col min="11" max="11" width="17.42578125" bestFit="1" customWidth="1"/>
    <col min="12" max="12" width="13.28515625" customWidth="1"/>
    <col min="13" max="13" width="12.28515625" bestFit="1" customWidth="1"/>
    <col min="14" max="14" width="13.7109375" bestFit="1" customWidth="1"/>
    <col min="15" max="15" width="15" bestFit="1" customWidth="1"/>
    <col min="16" max="16" width="10.42578125" bestFit="1" customWidth="1"/>
    <col min="17" max="17" width="13.5703125" bestFit="1" customWidth="1"/>
    <col min="18" max="18" width="13.28515625" bestFit="1" customWidth="1"/>
    <col min="19" max="19" width="11.28515625" bestFit="1" customWidth="1"/>
    <col min="20" max="20" width="13.140625" bestFit="1" customWidth="1"/>
    <col min="21" max="21" width="20.42578125" bestFit="1" customWidth="1"/>
    <col min="22" max="22" width="13.42578125" bestFit="1" customWidth="1"/>
    <col min="23" max="23" width="11.140625" bestFit="1" customWidth="1"/>
    <col min="24" max="24" width="15.28515625" bestFit="1" customWidth="1"/>
    <col min="25" max="25" width="16.7109375" bestFit="1" customWidth="1"/>
    <col min="26" max="26" width="8.7109375" bestFit="1" customWidth="1"/>
    <col min="27" max="27" width="11.85546875" bestFit="1" customWidth="1"/>
    <col min="28" max="28" width="13.140625" bestFit="1" customWidth="1"/>
    <col min="29" max="29" width="14.42578125" bestFit="1" customWidth="1"/>
    <col min="30" max="30" width="80.85546875" bestFit="1" customWidth="1"/>
    <col min="31" max="31" width="10"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4">
        <v>2018</v>
      </c>
      <c r="B2" s="4">
        <v>164000</v>
      </c>
      <c r="C2" t="s">
        <v>16</v>
      </c>
      <c r="D2" t="s">
        <v>17</v>
      </c>
      <c r="E2" t="s">
        <v>18</v>
      </c>
      <c r="F2" t="s">
        <v>19</v>
      </c>
      <c r="G2" t="s">
        <v>20</v>
      </c>
      <c r="H2" t="s">
        <v>21</v>
      </c>
      <c r="I2" t="s">
        <v>22</v>
      </c>
      <c r="J2" t="s">
        <v>23</v>
      </c>
      <c r="K2" t="s">
        <v>24</v>
      </c>
      <c r="L2" t="s">
        <v>25</v>
      </c>
      <c r="M2" t="s">
        <v>26</v>
      </c>
      <c r="N2" t="s">
        <v>27</v>
      </c>
      <c r="O2" t="s">
        <v>28</v>
      </c>
      <c r="P2">
        <v>18.704000000000001</v>
      </c>
    </row>
    <row r="3" spans="1:16">
      <c r="A3" s="4">
        <v>2018</v>
      </c>
      <c r="B3" s="4">
        <v>162691</v>
      </c>
      <c r="C3" t="s">
        <v>29</v>
      </c>
      <c r="D3" t="s">
        <v>30</v>
      </c>
      <c r="E3" t="s">
        <v>18</v>
      </c>
      <c r="F3" t="s">
        <v>31</v>
      </c>
      <c r="G3" t="s">
        <v>32</v>
      </c>
      <c r="H3" t="s">
        <v>33</v>
      </c>
      <c r="I3" t="s">
        <v>22</v>
      </c>
      <c r="J3" t="s">
        <v>34</v>
      </c>
      <c r="K3" t="s">
        <v>35</v>
      </c>
      <c r="L3" t="s">
        <v>36</v>
      </c>
      <c r="M3" t="s">
        <v>37</v>
      </c>
      <c r="N3" t="s">
        <v>38</v>
      </c>
      <c r="O3" t="s">
        <v>39</v>
      </c>
      <c r="P3">
        <v>1439.982</v>
      </c>
    </row>
    <row r="4" spans="1:16">
      <c r="A4" s="4">
        <v>2018</v>
      </c>
      <c r="B4" s="4">
        <v>113481</v>
      </c>
      <c r="C4" t="s">
        <v>40</v>
      </c>
      <c r="D4" t="s">
        <v>41</v>
      </c>
      <c r="E4" t="s">
        <v>42</v>
      </c>
      <c r="F4" t="s">
        <v>31</v>
      </c>
      <c r="G4" t="s">
        <v>32</v>
      </c>
      <c r="H4" t="s">
        <v>33</v>
      </c>
      <c r="I4" t="s">
        <v>22</v>
      </c>
      <c r="J4" t="s">
        <v>43</v>
      </c>
      <c r="K4" t="s">
        <v>44</v>
      </c>
      <c r="L4" t="s">
        <v>45</v>
      </c>
      <c r="M4" t="s">
        <v>46</v>
      </c>
      <c r="N4" t="s">
        <v>38</v>
      </c>
      <c r="O4" t="s">
        <v>39</v>
      </c>
      <c r="P4">
        <v>695.7</v>
      </c>
    </row>
    <row r="5" spans="1:16">
      <c r="A5" s="4">
        <v>2015</v>
      </c>
      <c r="B5" s="4">
        <v>150126</v>
      </c>
      <c r="C5" t="s">
        <v>47</v>
      </c>
      <c r="D5" t="s">
        <v>48</v>
      </c>
      <c r="E5" t="s">
        <v>18</v>
      </c>
      <c r="F5" t="s">
        <v>31</v>
      </c>
      <c r="G5" t="s">
        <v>32</v>
      </c>
      <c r="H5" t="s">
        <v>33</v>
      </c>
      <c r="I5" t="s">
        <v>22</v>
      </c>
      <c r="J5" t="s">
        <v>49</v>
      </c>
      <c r="K5" t="s">
        <v>50</v>
      </c>
      <c r="L5" t="s">
        <v>25</v>
      </c>
      <c r="M5" t="s">
        <v>51</v>
      </c>
      <c r="N5" t="s">
        <v>27</v>
      </c>
      <c r="O5" t="s">
        <v>52</v>
      </c>
      <c r="P5">
        <v>65.78</v>
      </c>
    </row>
    <row r="6" spans="1:16">
      <c r="A6" s="4">
        <v>2017</v>
      </c>
      <c r="B6" s="4">
        <v>162901</v>
      </c>
      <c r="C6" t="s">
        <v>53</v>
      </c>
      <c r="D6" t="s">
        <v>54</v>
      </c>
      <c r="E6" t="s">
        <v>42</v>
      </c>
      <c r="F6" t="s">
        <v>31</v>
      </c>
      <c r="G6" t="s">
        <v>32</v>
      </c>
      <c r="H6" t="s">
        <v>33</v>
      </c>
      <c r="I6" t="s">
        <v>22</v>
      </c>
      <c r="J6" t="s">
        <v>55</v>
      </c>
      <c r="K6" t="s">
        <v>56</v>
      </c>
      <c r="L6" t="s">
        <v>45</v>
      </c>
      <c r="M6" t="s">
        <v>57</v>
      </c>
      <c r="N6" t="s">
        <v>27</v>
      </c>
      <c r="O6" t="s">
        <v>58</v>
      </c>
      <c r="P6">
        <v>31.4</v>
      </c>
    </row>
    <row r="7" spans="1:16">
      <c r="A7" s="4">
        <v>2018</v>
      </c>
      <c r="B7" s="4">
        <v>159688</v>
      </c>
      <c r="C7" t="s">
        <v>59</v>
      </c>
      <c r="D7" t="s">
        <v>60</v>
      </c>
      <c r="E7" t="s">
        <v>18</v>
      </c>
      <c r="F7" t="s">
        <v>61</v>
      </c>
      <c r="G7" t="s">
        <v>62</v>
      </c>
      <c r="H7" t="s">
        <v>33</v>
      </c>
      <c r="I7" t="s">
        <v>63</v>
      </c>
      <c r="J7" t="s">
        <v>64</v>
      </c>
      <c r="K7" t="s">
        <v>65</v>
      </c>
      <c r="L7" t="s">
        <v>66</v>
      </c>
      <c r="M7" t="s">
        <v>67</v>
      </c>
      <c r="N7" t="s">
        <v>38</v>
      </c>
      <c r="O7" t="s">
        <v>68</v>
      </c>
      <c r="P7">
        <v>79.989999999999995</v>
      </c>
    </row>
    <row r="8" spans="1:16">
      <c r="A8" s="4">
        <v>2017</v>
      </c>
      <c r="B8" s="4">
        <v>161207</v>
      </c>
      <c r="C8" t="s">
        <v>69</v>
      </c>
      <c r="D8" t="s">
        <v>70</v>
      </c>
      <c r="E8" t="s">
        <v>18</v>
      </c>
      <c r="F8" t="s">
        <v>61</v>
      </c>
      <c r="G8" t="s">
        <v>62</v>
      </c>
      <c r="H8" t="s">
        <v>33</v>
      </c>
      <c r="I8" t="s">
        <v>63</v>
      </c>
      <c r="J8" t="s">
        <v>71</v>
      </c>
      <c r="K8" t="s">
        <v>72</v>
      </c>
      <c r="L8" t="s">
        <v>25</v>
      </c>
      <c r="M8" t="s">
        <v>73</v>
      </c>
      <c r="N8" t="s">
        <v>27</v>
      </c>
      <c r="O8" t="s">
        <v>74</v>
      </c>
      <c r="P8">
        <v>27.93</v>
      </c>
    </row>
    <row r="9" spans="1:16">
      <c r="A9" s="4">
        <v>2017</v>
      </c>
      <c r="B9" s="4">
        <v>108637</v>
      </c>
      <c r="C9" t="s">
        <v>75</v>
      </c>
      <c r="D9" t="s">
        <v>76</v>
      </c>
      <c r="E9" t="s">
        <v>18</v>
      </c>
      <c r="F9" t="s">
        <v>61</v>
      </c>
      <c r="G9" t="s">
        <v>62</v>
      </c>
      <c r="H9" t="s">
        <v>33</v>
      </c>
      <c r="I9" t="s">
        <v>63</v>
      </c>
      <c r="J9" t="s">
        <v>77</v>
      </c>
      <c r="K9" t="s">
        <v>56</v>
      </c>
      <c r="L9" t="s">
        <v>45</v>
      </c>
      <c r="M9" t="s">
        <v>78</v>
      </c>
      <c r="N9" t="s">
        <v>79</v>
      </c>
      <c r="O9" t="s">
        <v>80</v>
      </c>
      <c r="P9">
        <v>127.88</v>
      </c>
    </row>
    <row r="10" spans="1:16">
      <c r="A10" s="4">
        <v>2018</v>
      </c>
      <c r="B10" s="4">
        <v>165029</v>
      </c>
      <c r="C10" t="s">
        <v>81</v>
      </c>
      <c r="D10" t="s">
        <v>82</v>
      </c>
      <c r="E10" t="s">
        <v>18</v>
      </c>
      <c r="F10" t="s">
        <v>83</v>
      </c>
      <c r="G10" t="s">
        <v>84</v>
      </c>
      <c r="H10" t="s">
        <v>33</v>
      </c>
      <c r="I10" t="s">
        <v>22</v>
      </c>
      <c r="J10" t="s">
        <v>85</v>
      </c>
      <c r="K10" t="s">
        <v>86</v>
      </c>
      <c r="L10" t="s">
        <v>45</v>
      </c>
      <c r="M10" t="s">
        <v>87</v>
      </c>
      <c r="N10" t="s">
        <v>27</v>
      </c>
      <c r="O10" t="s">
        <v>28</v>
      </c>
      <c r="P10">
        <v>12.84</v>
      </c>
    </row>
    <row r="11" spans="1:16">
      <c r="A11" s="4">
        <v>2018</v>
      </c>
      <c r="B11" s="4">
        <v>118857</v>
      </c>
      <c r="C11" t="s">
        <v>88</v>
      </c>
      <c r="D11" t="s">
        <v>89</v>
      </c>
      <c r="E11" t="s">
        <v>42</v>
      </c>
      <c r="F11" t="s">
        <v>83</v>
      </c>
      <c r="G11" t="s">
        <v>84</v>
      </c>
      <c r="H11" t="s">
        <v>33</v>
      </c>
      <c r="I11" t="s">
        <v>22</v>
      </c>
      <c r="J11" t="s">
        <v>90</v>
      </c>
      <c r="K11" t="s">
        <v>91</v>
      </c>
      <c r="L11" t="s">
        <v>66</v>
      </c>
      <c r="M11" t="s">
        <v>92</v>
      </c>
      <c r="N11" t="s">
        <v>79</v>
      </c>
      <c r="O11" t="s">
        <v>80</v>
      </c>
      <c r="P11">
        <v>196.45</v>
      </c>
    </row>
    <row r="12" spans="1:16">
      <c r="A12" s="4">
        <v>2016</v>
      </c>
      <c r="B12" s="4">
        <v>127509</v>
      </c>
      <c r="C12" t="s">
        <v>93</v>
      </c>
      <c r="D12" t="s">
        <v>94</v>
      </c>
      <c r="E12" t="s">
        <v>18</v>
      </c>
      <c r="F12" t="s">
        <v>95</v>
      </c>
      <c r="G12" t="s">
        <v>96</v>
      </c>
      <c r="H12" t="s">
        <v>33</v>
      </c>
      <c r="I12" t="s">
        <v>97</v>
      </c>
      <c r="J12" t="s">
        <v>98</v>
      </c>
      <c r="K12" t="s">
        <v>99</v>
      </c>
      <c r="L12" t="s">
        <v>36</v>
      </c>
      <c r="M12" t="s">
        <v>100</v>
      </c>
      <c r="N12" t="s">
        <v>27</v>
      </c>
      <c r="O12" t="s">
        <v>101</v>
      </c>
      <c r="P12">
        <v>17.22</v>
      </c>
    </row>
    <row r="13" spans="1:16">
      <c r="A13" s="4">
        <v>2018</v>
      </c>
      <c r="B13" s="4">
        <v>108063</v>
      </c>
      <c r="C13" t="s">
        <v>102</v>
      </c>
      <c r="D13" t="s">
        <v>103</v>
      </c>
      <c r="E13" t="s">
        <v>42</v>
      </c>
      <c r="F13" t="s">
        <v>95</v>
      </c>
      <c r="G13" t="s">
        <v>96</v>
      </c>
      <c r="H13" t="s">
        <v>33</v>
      </c>
      <c r="I13" t="s">
        <v>97</v>
      </c>
      <c r="J13" t="s">
        <v>104</v>
      </c>
      <c r="K13" t="s">
        <v>56</v>
      </c>
      <c r="L13" t="s">
        <v>45</v>
      </c>
      <c r="M13" t="s">
        <v>105</v>
      </c>
      <c r="N13" t="s">
        <v>27</v>
      </c>
      <c r="O13" t="s">
        <v>28</v>
      </c>
      <c r="P13">
        <v>34.65</v>
      </c>
    </row>
    <row r="14" spans="1:16">
      <c r="A14" s="4">
        <v>2017</v>
      </c>
      <c r="B14" s="4">
        <v>150007</v>
      </c>
      <c r="C14" t="s">
        <v>106</v>
      </c>
      <c r="D14" t="s">
        <v>107</v>
      </c>
      <c r="E14" t="s">
        <v>18</v>
      </c>
      <c r="F14" t="s">
        <v>95</v>
      </c>
      <c r="G14" t="s">
        <v>96</v>
      </c>
      <c r="H14" t="s">
        <v>33</v>
      </c>
      <c r="I14" t="s">
        <v>97</v>
      </c>
      <c r="J14" t="s">
        <v>108</v>
      </c>
      <c r="K14" t="s">
        <v>109</v>
      </c>
      <c r="L14" t="s">
        <v>36</v>
      </c>
      <c r="M14" t="s">
        <v>110</v>
      </c>
      <c r="N14" t="s">
        <v>27</v>
      </c>
      <c r="O14" t="s">
        <v>111</v>
      </c>
      <c r="P14">
        <v>6</v>
      </c>
    </row>
    <row r="15" spans="1:16">
      <c r="A15" s="4">
        <v>2018</v>
      </c>
      <c r="B15" s="4">
        <v>126788</v>
      </c>
      <c r="C15" t="s">
        <v>112</v>
      </c>
      <c r="D15" t="s">
        <v>113</v>
      </c>
      <c r="E15" t="s">
        <v>42</v>
      </c>
      <c r="F15" t="s">
        <v>114</v>
      </c>
      <c r="G15" t="s">
        <v>115</v>
      </c>
      <c r="H15" t="s">
        <v>33</v>
      </c>
      <c r="I15" t="s">
        <v>97</v>
      </c>
      <c r="J15" t="s">
        <v>116</v>
      </c>
      <c r="K15" t="s">
        <v>35</v>
      </c>
      <c r="L15" t="s">
        <v>36</v>
      </c>
      <c r="M15" t="s">
        <v>117</v>
      </c>
      <c r="N15" t="s">
        <v>38</v>
      </c>
      <c r="O15" t="s">
        <v>118</v>
      </c>
      <c r="P15">
        <v>470.37599999999998</v>
      </c>
    </row>
    <row r="16" spans="1:16">
      <c r="A16" s="4">
        <v>2015</v>
      </c>
      <c r="B16" s="4">
        <v>103100</v>
      </c>
      <c r="C16" t="s">
        <v>119</v>
      </c>
      <c r="D16" t="s">
        <v>120</v>
      </c>
      <c r="E16" t="s">
        <v>42</v>
      </c>
      <c r="F16" t="s">
        <v>114</v>
      </c>
      <c r="G16" t="s">
        <v>115</v>
      </c>
      <c r="H16" t="s">
        <v>33</v>
      </c>
      <c r="I16" t="s">
        <v>97</v>
      </c>
      <c r="J16" t="s">
        <v>121</v>
      </c>
      <c r="K16" t="s">
        <v>122</v>
      </c>
      <c r="L16" t="s">
        <v>36</v>
      </c>
      <c r="M16" t="s">
        <v>123</v>
      </c>
      <c r="N16" t="s">
        <v>27</v>
      </c>
      <c r="O16" t="s">
        <v>111</v>
      </c>
      <c r="P16">
        <v>3.69</v>
      </c>
    </row>
    <row r="17" spans="1:16">
      <c r="A17" s="4">
        <v>2018</v>
      </c>
      <c r="B17" s="4">
        <v>101042</v>
      </c>
      <c r="C17" t="s">
        <v>124</v>
      </c>
      <c r="D17" t="s">
        <v>125</v>
      </c>
      <c r="E17" t="s">
        <v>18</v>
      </c>
      <c r="F17" t="s">
        <v>114</v>
      </c>
      <c r="G17" t="s">
        <v>115</v>
      </c>
      <c r="H17" t="s">
        <v>33</v>
      </c>
      <c r="I17" t="s">
        <v>97</v>
      </c>
      <c r="J17" t="s">
        <v>90</v>
      </c>
      <c r="K17" t="s">
        <v>126</v>
      </c>
      <c r="L17" t="s">
        <v>45</v>
      </c>
      <c r="M17" t="s">
        <v>127</v>
      </c>
      <c r="N17" t="s">
        <v>79</v>
      </c>
      <c r="O17" t="s">
        <v>80</v>
      </c>
      <c r="P17">
        <v>821.88</v>
      </c>
    </row>
    <row r="18" spans="1:16">
      <c r="A18" s="4">
        <v>2017</v>
      </c>
      <c r="B18" s="4">
        <v>147431</v>
      </c>
      <c r="C18" t="s">
        <v>128</v>
      </c>
      <c r="D18" t="s">
        <v>129</v>
      </c>
      <c r="E18" t="s">
        <v>18</v>
      </c>
      <c r="F18" t="s">
        <v>114</v>
      </c>
      <c r="G18" t="s">
        <v>115</v>
      </c>
      <c r="H18" t="s">
        <v>33</v>
      </c>
      <c r="I18" t="s">
        <v>97</v>
      </c>
      <c r="J18" t="s">
        <v>49</v>
      </c>
      <c r="K18" t="s">
        <v>50</v>
      </c>
      <c r="L18" t="s">
        <v>25</v>
      </c>
      <c r="M18" t="s">
        <v>130</v>
      </c>
      <c r="N18" t="s">
        <v>27</v>
      </c>
      <c r="O18" t="s">
        <v>58</v>
      </c>
      <c r="P18">
        <v>117.96</v>
      </c>
    </row>
    <row r="19" spans="1:16">
      <c r="A19" s="4">
        <v>2015</v>
      </c>
      <c r="B19" s="4">
        <v>123295</v>
      </c>
      <c r="C19" t="s">
        <v>131</v>
      </c>
      <c r="D19" t="s">
        <v>131</v>
      </c>
      <c r="E19" t="s">
        <v>132</v>
      </c>
      <c r="F19" t="s">
        <v>133</v>
      </c>
      <c r="G19" t="s">
        <v>134</v>
      </c>
      <c r="H19" t="s">
        <v>21</v>
      </c>
      <c r="I19" t="s">
        <v>63</v>
      </c>
      <c r="J19" t="s">
        <v>135</v>
      </c>
      <c r="K19" t="s">
        <v>136</v>
      </c>
      <c r="L19" t="s">
        <v>66</v>
      </c>
      <c r="M19" t="s">
        <v>137</v>
      </c>
      <c r="N19" t="s">
        <v>79</v>
      </c>
      <c r="O19" t="s">
        <v>138</v>
      </c>
      <c r="P19">
        <v>259.13600000000002</v>
      </c>
    </row>
    <row r="20" spans="1:16">
      <c r="A20" s="4">
        <v>2018</v>
      </c>
      <c r="B20" s="4">
        <v>162929</v>
      </c>
      <c r="C20" t="s">
        <v>124</v>
      </c>
      <c r="D20" t="s">
        <v>139</v>
      </c>
      <c r="E20" t="s">
        <v>42</v>
      </c>
      <c r="F20" t="s">
        <v>140</v>
      </c>
      <c r="G20" t="s">
        <v>141</v>
      </c>
      <c r="H20" t="s">
        <v>21</v>
      </c>
      <c r="I20" t="s">
        <v>63</v>
      </c>
      <c r="J20" t="s">
        <v>49</v>
      </c>
      <c r="K20" t="s">
        <v>50</v>
      </c>
      <c r="L20" t="s">
        <v>25</v>
      </c>
      <c r="M20" t="s">
        <v>142</v>
      </c>
      <c r="N20" t="s">
        <v>27</v>
      </c>
      <c r="O20" t="s">
        <v>101</v>
      </c>
      <c r="P20">
        <v>41.28</v>
      </c>
    </row>
    <row r="21" spans="1:16">
      <c r="A21" s="4">
        <v>2018</v>
      </c>
      <c r="B21" s="4">
        <v>158876</v>
      </c>
      <c r="C21" t="s">
        <v>124</v>
      </c>
      <c r="D21" t="s">
        <v>143</v>
      </c>
      <c r="E21" t="s">
        <v>144</v>
      </c>
      <c r="F21" t="s">
        <v>145</v>
      </c>
      <c r="G21" t="s">
        <v>146</v>
      </c>
      <c r="H21" t="s">
        <v>33</v>
      </c>
      <c r="I21" t="s">
        <v>97</v>
      </c>
      <c r="J21" t="s">
        <v>147</v>
      </c>
      <c r="K21" t="s">
        <v>35</v>
      </c>
      <c r="L21" t="s">
        <v>36</v>
      </c>
      <c r="M21" t="s">
        <v>148</v>
      </c>
      <c r="N21" t="s">
        <v>27</v>
      </c>
      <c r="O21" t="s">
        <v>52</v>
      </c>
      <c r="P21">
        <v>16.896000000000001</v>
      </c>
    </row>
    <row r="22" spans="1:16">
      <c r="A22" s="4">
        <v>2016</v>
      </c>
      <c r="B22" s="4">
        <v>168186</v>
      </c>
      <c r="C22" t="s">
        <v>149</v>
      </c>
      <c r="D22" t="s">
        <v>150</v>
      </c>
      <c r="E22" t="s">
        <v>18</v>
      </c>
      <c r="F22" t="s">
        <v>145</v>
      </c>
      <c r="G22" t="s">
        <v>146</v>
      </c>
      <c r="H22" t="s">
        <v>33</v>
      </c>
      <c r="I22" t="s">
        <v>97</v>
      </c>
      <c r="J22" t="s">
        <v>151</v>
      </c>
      <c r="K22" t="s">
        <v>152</v>
      </c>
      <c r="L22" t="s">
        <v>36</v>
      </c>
      <c r="M22" t="s">
        <v>153</v>
      </c>
      <c r="N22" t="s">
        <v>27</v>
      </c>
      <c r="O22" t="s">
        <v>52</v>
      </c>
      <c r="P22">
        <v>14.94</v>
      </c>
    </row>
    <row r="23" spans="1:16">
      <c r="A23" s="4">
        <v>2015</v>
      </c>
      <c r="B23" s="4">
        <v>139500</v>
      </c>
      <c r="C23" t="s">
        <v>154</v>
      </c>
      <c r="D23" t="s">
        <v>155</v>
      </c>
      <c r="E23" t="s">
        <v>18</v>
      </c>
      <c r="F23" t="s">
        <v>156</v>
      </c>
      <c r="G23" t="s">
        <v>157</v>
      </c>
      <c r="H23" t="s">
        <v>33</v>
      </c>
      <c r="I23" t="s">
        <v>97</v>
      </c>
      <c r="J23" t="s">
        <v>158</v>
      </c>
      <c r="K23" t="s">
        <v>109</v>
      </c>
      <c r="L23" t="s">
        <v>36</v>
      </c>
      <c r="M23" t="s">
        <v>159</v>
      </c>
      <c r="N23" t="s">
        <v>79</v>
      </c>
      <c r="O23" t="s">
        <v>138</v>
      </c>
      <c r="P23">
        <v>37.295999999999999</v>
      </c>
    </row>
    <row r="24" spans="1:16">
      <c r="A24" s="4">
        <v>2016</v>
      </c>
      <c r="B24" s="4">
        <v>131534</v>
      </c>
      <c r="C24" t="s">
        <v>160</v>
      </c>
      <c r="D24" t="s">
        <v>161</v>
      </c>
      <c r="E24" t="s">
        <v>18</v>
      </c>
      <c r="F24" t="s">
        <v>156</v>
      </c>
      <c r="G24" t="s">
        <v>157</v>
      </c>
      <c r="H24" t="s">
        <v>33</v>
      </c>
      <c r="I24" t="s">
        <v>97</v>
      </c>
      <c r="J24" t="s">
        <v>64</v>
      </c>
      <c r="K24" t="s">
        <v>65</v>
      </c>
      <c r="L24" t="s">
        <v>66</v>
      </c>
      <c r="M24" t="s">
        <v>162</v>
      </c>
      <c r="N24" t="s">
        <v>38</v>
      </c>
      <c r="O24" t="s">
        <v>68</v>
      </c>
      <c r="P24">
        <v>166.24</v>
      </c>
    </row>
    <row r="25" spans="1:16">
      <c r="A25" s="4">
        <v>2018</v>
      </c>
      <c r="B25" s="4">
        <v>131212</v>
      </c>
      <c r="C25" t="s">
        <v>103</v>
      </c>
      <c r="D25" t="s">
        <v>163</v>
      </c>
      <c r="E25" t="s">
        <v>18</v>
      </c>
      <c r="F25" t="s">
        <v>156</v>
      </c>
      <c r="G25" t="s">
        <v>157</v>
      </c>
      <c r="H25" t="s">
        <v>33</v>
      </c>
      <c r="I25" t="s">
        <v>97</v>
      </c>
      <c r="J25" t="s">
        <v>164</v>
      </c>
      <c r="K25" t="s">
        <v>165</v>
      </c>
      <c r="L25" t="s">
        <v>66</v>
      </c>
      <c r="M25" t="s">
        <v>166</v>
      </c>
      <c r="N25" t="s">
        <v>27</v>
      </c>
      <c r="O25" t="s">
        <v>101</v>
      </c>
      <c r="P25">
        <v>24.815999999999999</v>
      </c>
    </row>
    <row r="26" spans="1:16">
      <c r="A26" s="4">
        <v>2016</v>
      </c>
      <c r="B26" s="4">
        <v>115945</v>
      </c>
      <c r="C26" t="s">
        <v>167</v>
      </c>
      <c r="D26" t="s">
        <v>168</v>
      </c>
      <c r="E26" t="s">
        <v>18</v>
      </c>
      <c r="F26" t="s">
        <v>156</v>
      </c>
      <c r="G26" t="s">
        <v>157</v>
      </c>
      <c r="H26" t="s">
        <v>33</v>
      </c>
      <c r="I26" t="s">
        <v>97</v>
      </c>
      <c r="J26" t="s">
        <v>64</v>
      </c>
      <c r="K26" t="s">
        <v>65</v>
      </c>
      <c r="L26" t="s">
        <v>66</v>
      </c>
      <c r="M26" t="s">
        <v>169</v>
      </c>
      <c r="N26" t="s">
        <v>27</v>
      </c>
      <c r="O26" t="s">
        <v>28</v>
      </c>
      <c r="P26">
        <v>20.96</v>
      </c>
    </row>
    <row r="27" spans="1:16">
      <c r="A27" s="4">
        <v>2016</v>
      </c>
      <c r="B27" s="4">
        <v>124268</v>
      </c>
      <c r="C27" t="s">
        <v>170</v>
      </c>
      <c r="D27" t="s">
        <v>171</v>
      </c>
      <c r="E27" t="s">
        <v>18</v>
      </c>
      <c r="F27" t="s">
        <v>172</v>
      </c>
      <c r="G27" t="s">
        <v>173</v>
      </c>
      <c r="H27" t="s">
        <v>33</v>
      </c>
      <c r="I27" t="s">
        <v>63</v>
      </c>
      <c r="J27" t="s">
        <v>49</v>
      </c>
      <c r="K27" t="s">
        <v>50</v>
      </c>
      <c r="L27" t="s">
        <v>25</v>
      </c>
      <c r="M27" t="s">
        <v>174</v>
      </c>
      <c r="N27" t="s">
        <v>27</v>
      </c>
      <c r="O27" t="s">
        <v>28</v>
      </c>
      <c r="P27">
        <v>15.48</v>
      </c>
    </row>
    <row r="28" spans="1:16">
      <c r="A28" s="4">
        <v>2016</v>
      </c>
      <c r="B28" s="4">
        <v>120439</v>
      </c>
      <c r="C28" t="s">
        <v>175</v>
      </c>
      <c r="D28" t="s">
        <v>176</v>
      </c>
      <c r="E28" t="s">
        <v>18</v>
      </c>
      <c r="F28" t="s">
        <v>172</v>
      </c>
      <c r="G28" t="s">
        <v>173</v>
      </c>
      <c r="H28" t="s">
        <v>33</v>
      </c>
      <c r="I28" t="s">
        <v>63</v>
      </c>
      <c r="J28" t="s">
        <v>23</v>
      </c>
      <c r="K28" t="s">
        <v>24</v>
      </c>
      <c r="L28" t="s">
        <v>25</v>
      </c>
      <c r="M28" t="s">
        <v>177</v>
      </c>
      <c r="N28" t="s">
        <v>79</v>
      </c>
      <c r="O28" t="s">
        <v>80</v>
      </c>
      <c r="P28">
        <v>51.072000000000003</v>
      </c>
    </row>
    <row r="29" spans="1:16">
      <c r="A29" s="4">
        <v>2015</v>
      </c>
      <c r="B29" s="4">
        <v>128062</v>
      </c>
      <c r="C29" t="s">
        <v>178</v>
      </c>
      <c r="D29" t="s">
        <v>179</v>
      </c>
      <c r="E29" t="s">
        <v>144</v>
      </c>
      <c r="F29" t="s">
        <v>172</v>
      </c>
      <c r="G29" t="s">
        <v>173</v>
      </c>
      <c r="H29" t="s">
        <v>33</v>
      </c>
      <c r="I29" t="s">
        <v>63</v>
      </c>
      <c r="J29" t="s">
        <v>23</v>
      </c>
      <c r="K29" t="s">
        <v>24</v>
      </c>
      <c r="L29" t="s">
        <v>25</v>
      </c>
      <c r="M29" t="s">
        <v>180</v>
      </c>
      <c r="N29" t="s">
        <v>27</v>
      </c>
      <c r="O29" t="s">
        <v>52</v>
      </c>
      <c r="P29">
        <v>5.88</v>
      </c>
    </row>
    <row r="30" spans="1:16">
      <c r="A30" s="4">
        <v>2015</v>
      </c>
      <c r="B30" s="4">
        <v>152030</v>
      </c>
      <c r="C30" t="s">
        <v>181</v>
      </c>
      <c r="D30" t="s">
        <v>182</v>
      </c>
      <c r="E30" t="s">
        <v>144</v>
      </c>
      <c r="F30" t="s">
        <v>172</v>
      </c>
      <c r="G30" t="s">
        <v>173</v>
      </c>
      <c r="H30" t="s">
        <v>33</v>
      </c>
      <c r="I30" t="s">
        <v>63</v>
      </c>
      <c r="J30" t="s">
        <v>183</v>
      </c>
      <c r="K30" t="s">
        <v>35</v>
      </c>
      <c r="L30" t="s">
        <v>36</v>
      </c>
      <c r="M30" t="s">
        <v>184</v>
      </c>
      <c r="N30" t="s">
        <v>79</v>
      </c>
      <c r="O30" t="s">
        <v>138</v>
      </c>
      <c r="P30">
        <v>600.55799999999999</v>
      </c>
    </row>
    <row r="31" spans="1:16">
      <c r="A31" s="4">
        <v>2018</v>
      </c>
      <c r="B31" s="4">
        <v>127432</v>
      </c>
      <c r="C31" t="s">
        <v>185</v>
      </c>
      <c r="D31" t="s">
        <v>186</v>
      </c>
      <c r="E31" t="s">
        <v>18</v>
      </c>
      <c r="F31" t="s">
        <v>172</v>
      </c>
      <c r="G31" t="s">
        <v>173</v>
      </c>
      <c r="H31" t="s">
        <v>33</v>
      </c>
      <c r="I31" t="s">
        <v>63</v>
      </c>
      <c r="J31" t="s">
        <v>187</v>
      </c>
      <c r="K31" t="s">
        <v>188</v>
      </c>
      <c r="L31" t="s">
        <v>66</v>
      </c>
      <c r="M31" t="s">
        <v>189</v>
      </c>
      <c r="N31" t="s">
        <v>38</v>
      </c>
      <c r="O31" t="s">
        <v>190</v>
      </c>
      <c r="P31">
        <v>2999.95</v>
      </c>
    </row>
    <row r="32" spans="1:16">
      <c r="A32" s="4">
        <v>2017</v>
      </c>
      <c r="B32" s="4">
        <v>112697</v>
      </c>
      <c r="C32" t="s">
        <v>191</v>
      </c>
      <c r="D32" t="s">
        <v>192</v>
      </c>
      <c r="E32" t="s">
        <v>144</v>
      </c>
      <c r="F32" t="s">
        <v>193</v>
      </c>
      <c r="G32" t="s">
        <v>194</v>
      </c>
      <c r="H32" t="s">
        <v>33</v>
      </c>
      <c r="I32" t="s">
        <v>22</v>
      </c>
      <c r="J32" t="s">
        <v>195</v>
      </c>
      <c r="K32" t="s">
        <v>196</v>
      </c>
      <c r="L32" t="s">
        <v>45</v>
      </c>
      <c r="M32" t="s">
        <v>197</v>
      </c>
      <c r="N32" t="s">
        <v>27</v>
      </c>
      <c r="O32" t="s">
        <v>101</v>
      </c>
      <c r="P32">
        <v>254.05799999999999</v>
      </c>
    </row>
    <row r="33" spans="1:16">
      <c r="A33" s="4">
        <v>2018</v>
      </c>
      <c r="B33" s="4">
        <v>154732</v>
      </c>
      <c r="C33" t="s">
        <v>198</v>
      </c>
      <c r="D33" t="s">
        <v>199</v>
      </c>
      <c r="E33" t="s">
        <v>42</v>
      </c>
      <c r="F33" t="s">
        <v>193</v>
      </c>
      <c r="G33" t="s">
        <v>194</v>
      </c>
      <c r="H33" t="s">
        <v>33</v>
      </c>
      <c r="I33" t="s">
        <v>22</v>
      </c>
      <c r="J33" t="s">
        <v>108</v>
      </c>
      <c r="K33" t="s">
        <v>109</v>
      </c>
      <c r="L33" t="s">
        <v>36</v>
      </c>
      <c r="M33" t="s">
        <v>200</v>
      </c>
      <c r="N33" t="s">
        <v>27</v>
      </c>
      <c r="O33" t="s">
        <v>101</v>
      </c>
      <c r="P33">
        <v>16.03</v>
      </c>
    </row>
    <row r="34" spans="1:16">
      <c r="A34" s="4">
        <v>2017</v>
      </c>
      <c r="B34" s="4">
        <v>166485</v>
      </c>
      <c r="C34" t="s">
        <v>201</v>
      </c>
      <c r="D34" t="s">
        <v>202</v>
      </c>
      <c r="E34" t="s">
        <v>18</v>
      </c>
      <c r="F34" t="s">
        <v>203</v>
      </c>
      <c r="G34" t="s">
        <v>204</v>
      </c>
      <c r="H34" t="s">
        <v>33</v>
      </c>
      <c r="I34" t="s">
        <v>97</v>
      </c>
      <c r="J34" t="s">
        <v>205</v>
      </c>
      <c r="K34" t="s">
        <v>206</v>
      </c>
      <c r="L34" t="s">
        <v>45</v>
      </c>
      <c r="M34" t="s">
        <v>207</v>
      </c>
      <c r="N34" t="s">
        <v>27</v>
      </c>
      <c r="O34" t="s">
        <v>52</v>
      </c>
      <c r="P34">
        <v>16.495999999999999</v>
      </c>
    </row>
    <row r="35" spans="1:16">
      <c r="A35" s="4">
        <v>2016</v>
      </c>
      <c r="B35" s="4">
        <v>155040</v>
      </c>
      <c r="C35" t="s">
        <v>208</v>
      </c>
      <c r="D35" t="s">
        <v>209</v>
      </c>
      <c r="E35" t="s">
        <v>18</v>
      </c>
      <c r="F35" t="s">
        <v>203</v>
      </c>
      <c r="G35" t="s">
        <v>204</v>
      </c>
      <c r="H35" t="s">
        <v>33</v>
      </c>
      <c r="I35" t="s">
        <v>97</v>
      </c>
      <c r="J35" t="s">
        <v>210</v>
      </c>
      <c r="K35" t="s">
        <v>65</v>
      </c>
      <c r="L35" t="s">
        <v>66</v>
      </c>
      <c r="M35" t="s">
        <v>211</v>
      </c>
      <c r="N35" t="s">
        <v>38</v>
      </c>
      <c r="O35" t="s">
        <v>68</v>
      </c>
      <c r="P35">
        <v>79.900000000000006</v>
      </c>
    </row>
    <row r="36" spans="1:16">
      <c r="A36" s="4">
        <v>2018</v>
      </c>
      <c r="B36" s="4">
        <v>112515</v>
      </c>
      <c r="C36" t="s">
        <v>212</v>
      </c>
      <c r="D36" t="s">
        <v>213</v>
      </c>
      <c r="E36" t="s">
        <v>144</v>
      </c>
      <c r="F36" t="s">
        <v>214</v>
      </c>
      <c r="G36" t="s">
        <v>215</v>
      </c>
      <c r="H36" t="s">
        <v>33</v>
      </c>
      <c r="I36" t="s">
        <v>22</v>
      </c>
      <c r="J36" t="s">
        <v>216</v>
      </c>
      <c r="K36" t="s">
        <v>217</v>
      </c>
      <c r="L36" t="s">
        <v>66</v>
      </c>
      <c r="M36" t="s">
        <v>218</v>
      </c>
      <c r="N36" t="s">
        <v>27</v>
      </c>
      <c r="O36" t="s">
        <v>101</v>
      </c>
      <c r="P36">
        <v>10.776</v>
      </c>
    </row>
    <row r="37" spans="1:16">
      <c r="A37" s="4">
        <v>2017</v>
      </c>
      <c r="B37" s="4">
        <v>143154</v>
      </c>
      <c r="C37" t="s">
        <v>219</v>
      </c>
      <c r="D37" t="s">
        <v>220</v>
      </c>
      <c r="E37" t="s">
        <v>18</v>
      </c>
      <c r="F37" t="s">
        <v>214</v>
      </c>
      <c r="G37" t="s">
        <v>215</v>
      </c>
      <c r="H37" t="s">
        <v>33</v>
      </c>
      <c r="I37" t="s">
        <v>22</v>
      </c>
      <c r="J37" t="s">
        <v>221</v>
      </c>
      <c r="K37" t="s">
        <v>222</v>
      </c>
      <c r="L37" t="s">
        <v>66</v>
      </c>
      <c r="M37" t="s">
        <v>223</v>
      </c>
      <c r="N37" t="s">
        <v>38</v>
      </c>
      <c r="O37" t="s">
        <v>68</v>
      </c>
      <c r="P37">
        <v>165.6</v>
      </c>
    </row>
    <row r="38" spans="1:16">
      <c r="A38" s="4">
        <v>2018</v>
      </c>
      <c r="B38" s="4">
        <v>117926</v>
      </c>
      <c r="C38" t="s">
        <v>224</v>
      </c>
      <c r="D38" t="s">
        <v>225</v>
      </c>
      <c r="E38" t="s">
        <v>144</v>
      </c>
      <c r="F38" t="s">
        <v>214</v>
      </c>
      <c r="G38" t="s">
        <v>215</v>
      </c>
      <c r="H38" t="s">
        <v>33</v>
      </c>
      <c r="I38" t="s">
        <v>22</v>
      </c>
      <c r="J38" t="s">
        <v>226</v>
      </c>
      <c r="K38" t="s">
        <v>65</v>
      </c>
      <c r="L38" t="s">
        <v>66</v>
      </c>
      <c r="M38" t="s">
        <v>227</v>
      </c>
      <c r="N38" t="s">
        <v>27</v>
      </c>
      <c r="O38" t="s">
        <v>228</v>
      </c>
      <c r="P38">
        <v>69.48</v>
      </c>
    </row>
    <row r="39" spans="1:16">
      <c r="A39" s="4">
        <v>2016</v>
      </c>
      <c r="B39" s="4">
        <v>144253</v>
      </c>
      <c r="C39" t="s">
        <v>229</v>
      </c>
      <c r="D39" t="s">
        <v>230</v>
      </c>
      <c r="E39" t="s">
        <v>144</v>
      </c>
      <c r="F39" t="s">
        <v>214</v>
      </c>
      <c r="G39" t="s">
        <v>215</v>
      </c>
      <c r="H39" t="s">
        <v>33</v>
      </c>
      <c r="I39" t="s">
        <v>22</v>
      </c>
      <c r="J39" t="s">
        <v>49</v>
      </c>
      <c r="K39" t="s">
        <v>50</v>
      </c>
      <c r="L39" t="s">
        <v>25</v>
      </c>
      <c r="M39" t="s">
        <v>231</v>
      </c>
      <c r="N39" t="s">
        <v>79</v>
      </c>
      <c r="O39" t="s">
        <v>80</v>
      </c>
      <c r="P39">
        <v>26.8</v>
      </c>
    </row>
    <row r="40" spans="1:16">
      <c r="A40" s="4">
        <v>2018</v>
      </c>
      <c r="B40" s="4">
        <v>101049</v>
      </c>
      <c r="C40" t="s">
        <v>232</v>
      </c>
      <c r="D40" t="s">
        <v>233</v>
      </c>
      <c r="E40" t="s">
        <v>144</v>
      </c>
      <c r="F40" t="s">
        <v>234</v>
      </c>
      <c r="G40" t="s">
        <v>235</v>
      </c>
      <c r="H40" t="s">
        <v>33</v>
      </c>
      <c r="I40" t="s">
        <v>97</v>
      </c>
      <c r="J40" t="s">
        <v>236</v>
      </c>
      <c r="K40" t="s">
        <v>237</v>
      </c>
      <c r="L40" t="s">
        <v>25</v>
      </c>
      <c r="M40" t="s">
        <v>238</v>
      </c>
      <c r="N40" t="s">
        <v>79</v>
      </c>
      <c r="O40" t="s">
        <v>80</v>
      </c>
      <c r="P40">
        <v>17.920000000000002</v>
      </c>
    </row>
    <row r="41" spans="1:16">
      <c r="A41" s="4">
        <v>2015</v>
      </c>
      <c r="B41" s="4">
        <v>149958</v>
      </c>
      <c r="C41" t="s">
        <v>239</v>
      </c>
      <c r="D41" t="s">
        <v>240</v>
      </c>
      <c r="E41" t="s">
        <v>18</v>
      </c>
      <c r="F41" t="s">
        <v>234</v>
      </c>
      <c r="G41" t="s">
        <v>235</v>
      </c>
      <c r="H41" t="s">
        <v>33</v>
      </c>
      <c r="I41" t="s">
        <v>97</v>
      </c>
      <c r="J41" t="s">
        <v>241</v>
      </c>
      <c r="K41" t="s">
        <v>196</v>
      </c>
      <c r="L41" t="s">
        <v>45</v>
      </c>
      <c r="M41" t="s">
        <v>242</v>
      </c>
      <c r="N41" t="s">
        <v>27</v>
      </c>
      <c r="O41" t="s">
        <v>58</v>
      </c>
      <c r="P41">
        <v>142.77600000000001</v>
      </c>
    </row>
    <row r="42" spans="1:16">
      <c r="A42" s="4">
        <v>2017</v>
      </c>
      <c r="B42" s="4">
        <v>118913</v>
      </c>
      <c r="C42" t="s">
        <v>243</v>
      </c>
      <c r="D42" t="s">
        <v>244</v>
      </c>
      <c r="E42" t="s">
        <v>18</v>
      </c>
      <c r="F42" t="s">
        <v>234</v>
      </c>
      <c r="G42" t="s">
        <v>235</v>
      </c>
      <c r="H42" t="s">
        <v>33</v>
      </c>
      <c r="I42" t="s">
        <v>97</v>
      </c>
      <c r="J42" t="s">
        <v>64</v>
      </c>
      <c r="K42" t="s">
        <v>65</v>
      </c>
      <c r="L42" t="s">
        <v>66</v>
      </c>
      <c r="M42" t="s">
        <v>245</v>
      </c>
      <c r="N42" t="s">
        <v>27</v>
      </c>
      <c r="O42" t="s">
        <v>228</v>
      </c>
      <c r="P42">
        <v>60.81</v>
      </c>
    </row>
    <row r="43" spans="1:16">
      <c r="A43" s="4">
        <v>2018</v>
      </c>
      <c r="B43" s="4">
        <v>126662</v>
      </c>
      <c r="C43" t="s">
        <v>246</v>
      </c>
      <c r="D43" t="s">
        <v>247</v>
      </c>
      <c r="E43" t="s">
        <v>18</v>
      </c>
      <c r="F43" t="s">
        <v>248</v>
      </c>
      <c r="G43" t="s">
        <v>249</v>
      </c>
      <c r="H43" t="s">
        <v>33</v>
      </c>
      <c r="I43" t="s">
        <v>63</v>
      </c>
      <c r="J43" t="s">
        <v>64</v>
      </c>
      <c r="K43" t="s">
        <v>65</v>
      </c>
      <c r="L43" t="s">
        <v>66</v>
      </c>
      <c r="M43" t="s">
        <v>250</v>
      </c>
      <c r="N43" t="s">
        <v>38</v>
      </c>
      <c r="O43" t="s">
        <v>190</v>
      </c>
      <c r="P43">
        <v>479.98399999999998</v>
      </c>
    </row>
    <row r="44" spans="1:16">
      <c r="A44" s="4">
        <v>2018</v>
      </c>
      <c r="B44" s="4">
        <v>155873</v>
      </c>
      <c r="C44" t="s">
        <v>251</v>
      </c>
      <c r="D44" t="s">
        <v>232</v>
      </c>
      <c r="E44" t="s">
        <v>18</v>
      </c>
      <c r="F44" t="s">
        <v>248</v>
      </c>
      <c r="G44" t="s">
        <v>249</v>
      </c>
      <c r="H44" t="s">
        <v>33</v>
      </c>
      <c r="I44" t="s">
        <v>63</v>
      </c>
      <c r="J44" t="s">
        <v>252</v>
      </c>
      <c r="K44" t="s">
        <v>253</v>
      </c>
      <c r="L44" t="s">
        <v>66</v>
      </c>
      <c r="M44" t="s">
        <v>254</v>
      </c>
      <c r="N44" t="s">
        <v>27</v>
      </c>
      <c r="O44" t="s">
        <v>74</v>
      </c>
      <c r="P44">
        <v>16.68</v>
      </c>
    </row>
    <row r="45" spans="1:16">
      <c r="A45" s="4">
        <v>2017</v>
      </c>
      <c r="B45" s="4">
        <v>158708</v>
      </c>
      <c r="C45" t="s">
        <v>255</v>
      </c>
      <c r="D45" t="s">
        <v>244</v>
      </c>
      <c r="E45" t="s">
        <v>144</v>
      </c>
      <c r="F45" t="s">
        <v>248</v>
      </c>
      <c r="G45" t="s">
        <v>249</v>
      </c>
      <c r="H45" t="s">
        <v>33</v>
      </c>
      <c r="I45" t="s">
        <v>63</v>
      </c>
      <c r="J45" t="s">
        <v>256</v>
      </c>
      <c r="K45" t="s">
        <v>35</v>
      </c>
      <c r="L45" t="s">
        <v>36</v>
      </c>
      <c r="M45" t="s">
        <v>257</v>
      </c>
      <c r="N45" t="s">
        <v>38</v>
      </c>
      <c r="O45" t="s">
        <v>68</v>
      </c>
      <c r="P45">
        <v>13.616</v>
      </c>
    </row>
    <row r="46" spans="1:16">
      <c r="A46" s="4">
        <v>2018</v>
      </c>
      <c r="B46" s="4">
        <v>127705</v>
      </c>
      <c r="C46" t="s">
        <v>258</v>
      </c>
      <c r="D46" t="s">
        <v>113</v>
      </c>
      <c r="E46" t="s">
        <v>18</v>
      </c>
      <c r="F46" t="s">
        <v>248</v>
      </c>
      <c r="G46" t="s">
        <v>249</v>
      </c>
      <c r="H46" t="s">
        <v>33</v>
      </c>
      <c r="I46" t="s">
        <v>63</v>
      </c>
      <c r="J46" t="s">
        <v>259</v>
      </c>
      <c r="K46" t="s">
        <v>237</v>
      </c>
      <c r="L46" t="s">
        <v>25</v>
      </c>
      <c r="M46" t="s">
        <v>260</v>
      </c>
      <c r="N46" t="s">
        <v>38</v>
      </c>
      <c r="O46" t="s">
        <v>118</v>
      </c>
      <c r="P46">
        <v>2.97</v>
      </c>
    </row>
    <row r="47" spans="1:16">
      <c r="A47" s="4">
        <v>2015</v>
      </c>
      <c r="B47" s="4">
        <v>167164</v>
      </c>
      <c r="C47" t="s">
        <v>261</v>
      </c>
      <c r="D47" t="s">
        <v>262</v>
      </c>
      <c r="E47" t="s">
        <v>144</v>
      </c>
      <c r="F47" t="s">
        <v>263</v>
      </c>
      <c r="G47" t="s">
        <v>264</v>
      </c>
      <c r="H47" t="s">
        <v>21</v>
      </c>
      <c r="I47" t="s">
        <v>97</v>
      </c>
      <c r="J47" t="s">
        <v>265</v>
      </c>
      <c r="K47" t="s">
        <v>217</v>
      </c>
      <c r="L47" t="s">
        <v>66</v>
      </c>
      <c r="M47" t="s">
        <v>266</v>
      </c>
      <c r="N47" t="s">
        <v>27</v>
      </c>
      <c r="O47" t="s">
        <v>58</v>
      </c>
      <c r="P47">
        <v>55.5</v>
      </c>
    </row>
    <row r="48" spans="1:16">
      <c r="A48" s="4">
        <v>2017</v>
      </c>
      <c r="B48" s="4">
        <v>163755</v>
      </c>
      <c r="C48" t="s">
        <v>267</v>
      </c>
      <c r="D48" t="s">
        <v>268</v>
      </c>
      <c r="E48" t="s">
        <v>144</v>
      </c>
      <c r="F48" t="s">
        <v>269</v>
      </c>
      <c r="G48" t="s">
        <v>270</v>
      </c>
      <c r="H48" t="s">
        <v>33</v>
      </c>
      <c r="I48" t="s">
        <v>22</v>
      </c>
      <c r="J48" t="s">
        <v>271</v>
      </c>
      <c r="K48" t="s">
        <v>165</v>
      </c>
      <c r="L48" t="s">
        <v>66</v>
      </c>
      <c r="M48" t="s">
        <v>272</v>
      </c>
      <c r="N48" t="s">
        <v>79</v>
      </c>
      <c r="O48" t="s">
        <v>80</v>
      </c>
      <c r="P48">
        <v>209.88</v>
      </c>
    </row>
    <row r="49" spans="1:16">
      <c r="A49" s="4">
        <v>2017</v>
      </c>
      <c r="B49" s="4">
        <v>134775</v>
      </c>
      <c r="C49" t="s">
        <v>273</v>
      </c>
      <c r="D49" t="s">
        <v>274</v>
      </c>
      <c r="E49" t="s">
        <v>42</v>
      </c>
      <c r="F49" t="s">
        <v>269</v>
      </c>
      <c r="G49" t="s">
        <v>270</v>
      </c>
      <c r="H49" t="s">
        <v>33</v>
      </c>
      <c r="I49" t="s">
        <v>22</v>
      </c>
      <c r="J49" t="s">
        <v>226</v>
      </c>
      <c r="K49" t="s">
        <v>65</v>
      </c>
      <c r="L49" t="s">
        <v>66</v>
      </c>
      <c r="M49" t="s">
        <v>275</v>
      </c>
      <c r="N49" t="s">
        <v>27</v>
      </c>
      <c r="O49" t="s">
        <v>52</v>
      </c>
      <c r="P49">
        <v>50.96</v>
      </c>
    </row>
    <row r="50" spans="1:16">
      <c r="A50" s="4">
        <v>2017</v>
      </c>
      <c r="B50" s="4">
        <v>106677</v>
      </c>
      <c r="C50" t="s">
        <v>276</v>
      </c>
      <c r="D50" t="s">
        <v>277</v>
      </c>
      <c r="E50" t="s">
        <v>18</v>
      </c>
      <c r="F50" t="s">
        <v>269</v>
      </c>
      <c r="G50" t="s">
        <v>270</v>
      </c>
      <c r="H50" t="s">
        <v>33</v>
      </c>
      <c r="I50" t="s">
        <v>22</v>
      </c>
      <c r="J50" t="s">
        <v>23</v>
      </c>
      <c r="K50" t="s">
        <v>24</v>
      </c>
      <c r="L50" t="s">
        <v>25</v>
      </c>
      <c r="M50" t="s">
        <v>278</v>
      </c>
      <c r="N50" t="s">
        <v>38</v>
      </c>
      <c r="O50" t="s">
        <v>118</v>
      </c>
      <c r="P50">
        <v>23.988</v>
      </c>
    </row>
    <row r="51" spans="1:16">
      <c r="A51" s="4">
        <v>2017</v>
      </c>
      <c r="B51" s="4">
        <v>143749</v>
      </c>
      <c r="C51" t="s">
        <v>279</v>
      </c>
      <c r="D51" t="s">
        <v>280</v>
      </c>
      <c r="E51" t="s">
        <v>42</v>
      </c>
      <c r="F51" t="s">
        <v>281</v>
      </c>
      <c r="G51" t="s">
        <v>282</v>
      </c>
      <c r="H51" t="s">
        <v>21</v>
      </c>
      <c r="I51" t="s">
        <v>22</v>
      </c>
      <c r="J51" t="s">
        <v>283</v>
      </c>
      <c r="K51" t="s">
        <v>284</v>
      </c>
      <c r="L51" t="s">
        <v>25</v>
      </c>
      <c r="M51" t="s">
        <v>285</v>
      </c>
      <c r="N51" t="s">
        <v>79</v>
      </c>
      <c r="O51" t="s">
        <v>286</v>
      </c>
      <c r="P51">
        <v>81.94</v>
      </c>
    </row>
    <row r="52" spans="1:16">
      <c r="A52" s="4">
        <v>2017</v>
      </c>
      <c r="B52" s="4">
        <v>103982</v>
      </c>
      <c r="C52" t="s">
        <v>287</v>
      </c>
      <c r="D52" t="s">
        <v>288</v>
      </c>
      <c r="E52" t="s">
        <v>18</v>
      </c>
      <c r="F52" t="s">
        <v>289</v>
      </c>
      <c r="G52" t="s">
        <v>290</v>
      </c>
      <c r="H52" t="s">
        <v>33</v>
      </c>
      <c r="I52" t="s">
        <v>97</v>
      </c>
      <c r="J52" t="s">
        <v>291</v>
      </c>
      <c r="K52" t="s">
        <v>35</v>
      </c>
      <c r="L52" t="s">
        <v>36</v>
      </c>
      <c r="M52" t="s">
        <v>292</v>
      </c>
      <c r="N52" t="s">
        <v>27</v>
      </c>
      <c r="O52" t="s">
        <v>74</v>
      </c>
      <c r="P52">
        <v>3930.0720000000001</v>
      </c>
    </row>
    <row r="53" spans="1:16">
      <c r="A53" s="4">
        <v>2016</v>
      </c>
      <c r="B53" s="4">
        <v>121391</v>
      </c>
      <c r="C53" t="s">
        <v>293</v>
      </c>
      <c r="D53" t="s">
        <v>294</v>
      </c>
      <c r="E53" t="s">
        <v>42</v>
      </c>
      <c r="F53" t="s">
        <v>289</v>
      </c>
      <c r="G53" t="s">
        <v>290</v>
      </c>
      <c r="H53" t="s">
        <v>33</v>
      </c>
      <c r="I53" t="s">
        <v>97</v>
      </c>
      <c r="J53" t="s">
        <v>226</v>
      </c>
      <c r="K53" t="s">
        <v>65</v>
      </c>
      <c r="L53" t="s">
        <v>66</v>
      </c>
      <c r="M53" t="s">
        <v>295</v>
      </c>
      <c r="N53" t="s">
        <v>27</v>
      </c>
      <c r="O53" t="s">
        <v>58</v>
      </c>
      <c r="P53">
        <v>26.96</v>
      </c>
    </row>
    <row r="54" spans="1:16">
      <c r="A54" s="4">
        <v>2015</v>
      </c>
      <c r="B54" s="4">
        <v>128055</v>
      </c>
      <c r="C54" t="s">
        <v>296</v>
      </c>
      <c r="D54" t="s">
        <v>297</v>
      </c>
      <c r="E54" t="s">
        <v>18</v>
      </c>
      <c r="F54" t="s">
        <v>289</v>
      </c>
      <c r="G54" t="s">
        <v>290</v>
      </c>
      <c r="H54" t="s">
        <v>33</v>
      </c>
      <c r="I54" t="s">
        <v>97</v>
      </c>
      <c r="J54" t="s">
        <v>226</v>
      </c>
      <c r="K54" t="s">
        <v>65</v>
      </c>
      <c r="L54" t="s">
        <v>66</v>
      </c>
      <c r="M54" t="s">
        <v>298</v>
      </c>
      <c r="N54" t="s">
        <v>27</v>
      </c>
      <c r="O54" t="s">
        <v>101</v>
      </c>
      <c r="P54">
        <v>673.56799999999998</v>
      </c>
    </row>
    <row r="55" spans="1:16">
      <c r="A55" s="4">
        <v>2018</v>
      </c>
      <c r="B55" s="4">
        <v>107748</v>
      </c>
      <c r="C55" t="s">
        <v>299</v>
      </c>
      <c r="D55" t="s">
        <v>225</v>
      </c>
      <c r="E55" t="s">
        <v>144</v>
      </c>
      <c r="F55" t="s">
        <v>300</v>
      </c>
      <c r="G55" t="s">
        <v>301</v>
      </c>
      <c r="H55" t="s">
        <v>21</v>
      </c>
      <c r="I55" t="s">
        <v>97</v>
      </c>
      <c r="J55" t="s">
        <v>302</v>
      </c>
      <c r="K55" t="s">
        <v>65</v>
      </c>
      <c r="L55" t="s">
        <v>66</v>
      </c>
      <c r="M55" t="s">
        <v>303</v>
      </c>
      <c r="N55" t="s">
        <v>38</v>
      </c>
      <c r="O55" t="s">
        <v>118</v>
      </c>
      <c r="P55">
        <v>95.84</v>
      </c>
    </row>
    <row r="56" spans="1:16">
      <c r="A56" s="4">
        <v>2017</v>
      </c>
      <c r="B56" s="4">
        <v>157000</v>
      </c>
      <c r="C56" t="s">
        <v>304</v>
      </c>
      <c r="D56" t="s">
        <v>305</v>
      </c>
      <c r="E56" t="s">
        <v>18</v>
      </c>
      <c r="F56" t="s">
        <v>306</v>
      </c>
      <c r="G56" t="s">
        <v>307</v>
      </c>
      <c r="H56" t="s">
        <v>33</v>
      </c>
      <c r="I56" t="s">
        <v>22</v>
      </c>
      <c r="J56" t="s">
        <v>308</v>
      </c>
      <c r="K56" t="s">
        <v>35</v>
      </c>
      <c r="L56" t="s">
        <v>36</v>
      </c>
      <c r="M56" t="s">
        <v>309</v>
      </c>
      <c r="N56" t="s">
        <v>27</v>
      </c>
      <c r="O56" t="s">
        <v>58</v>
      </c>
      <c r="P56">
        <v>37.223999999999997</v>
      </c>
    </row>
    <row r="57" spans="1:16">
      <c r="A57" s="4">
        <v>2015</v>
      </c>
      <c r="B57" s="4">
        <v>132542</v>
      </c>
      <c r="C57" t="s">
        <v>310</v>
      </c>
      <c r="D57" t="s">
        <v>311</v>
      </c>
      <c r="E57" t="s">
        <v>144</v>
      </c>
      <c r="F57" t="s">
        <v>306</v>
      </c>
      <c r="G57" t="s">
        <v>307</v>
      </c>
      <c r="H57" t="s">
        <v>33</v>
      </c>
      <c r="I57" t="s">
        <v>22</v>
      </c>
      <c r="J57" t="s">
        <v>312</v>
      </c>
      <c r="K57" t="s">
        <v>313</v>
      </c>
      <c r="L57" t="s">
        <v>36</v>
      </c>
      <c r="M57" t="s">
        <v>314</v>
      </c>
      <c r="N57" t="s">
        <v>27</v>
      </c>
      <c r="O57" t="s">
        <v>101</v>
      </c>
      <c r="P57">
        <v>15.36</v>
      </c>
    </row>
    <row r="58" spans="1:16">
      <c r="A58" s="4">
        <v>2017</v>
      </c>
      <c r="B58" s="4">
        <v>131065</v>
      </c>
      <c r="C58" t="s">
        <v>315</v>
      </c>
      <c r="D58" t="s">
        <v>316</v>
      </c>
      <c r="E58" t="s">
        <v>144</v>
      </c>
      <c r="F58" t="s">
        <v>317</v>
      </c>
      <c r="G58" t="s">
        <v>318</v>
      </c>
      <c r="H58" t="s">
        <v>33</v>
      </c>
      <c r="I58" t="s">
        <v>97</v>
      </c>
      <c r="J58" t="s">
        <v>85</v>
      </c>
      <c r="K58" t="s">
        <v>86</v>
      </c>
      <c r="L58" t="s">
        <v>45</v>
      </c>
      <c r="M58" t="s">
        <v>319</v>
      </c>
      <c r="N58" t="s">
        <v>38</v>
      </c>
      <c r="O58" t="s">
        <v>68</v>
      </c>
      <c r="P58">
        <v>499.98</v>
      </c>
    </row>
    <row r="59" spans="1:16">
      <c r="A59" s="4">
        <v>2016</v>
      </c>
      <c r="B59" s="4">
        <v>109939</v>
      </c>
      <c r="C59" t="s">
        <v>320</v>
      </c>
      <c r="D59" t="s">
        <v>321</v>
      </c>
      <c r="E59" t="s">
        <v>18</v>
      </c>
      <c r="F59" t="s">
        <v>317</v>
      </c>
      <c r="G59" t="s">
        <v>318</v>
      </c>
      <c r="H59" t="s">
        <v>33</v>
      </c>
      <c r="I59" t="s">
        <v>97</v>
      </c>
      <c r="J59" t="s">
        <v>322</v>
      </c>
      <c r="K59" t="s">
        <v>323</v>
      </c>
      <c r="L59" t="s">
        <v>66</v>
      </c>
      <c r="M59" t="s">
        <v>324</v>
      </c>
      <c r="N59" t="s">
        <v>27</v>
      </c>
      <c r="O59" t="s">
        <v>28</v>
      </c>
      <c r="P59">
        <v>5.2480000000000002</v>
      </c>
    </row>
    <row r="60" spans="1:16">
      <c r="A60" s="4">
        <v>2015</v>
      </c>
      <c r="B60" s="4">
        <v>130729</v>
      </c>
      <c r="C60" t="s">
        <v>325</v>
      </c>
      <c r="D60" t="s">
        <v>326</v>
      </c>
      <c r="E60" t="s">
        <v>18</v>
      </c>
      <c r="F60" t="s">
        <v>317</v>
      </c>
      <c r="G60" t="s">
        <v>318</v>
      </c>
      <c r="H60" t="s">
        <v>33</v>
      </c>
      <c r="I60" t="s">
        <v>97</v>
      </c>
      <c r="J60" t="s">
        <v>327</v>
      </c>
      <c r="K60" t="s">
        <v>65</v>
      </c>
      <c r="L60" t="s">
        <v>66</v>
      </c>
      <c r="M60" t="s">
        <v>328</v>
      </c>
      <c r="N60" t="s">
        <v>27</v>
      </c>
      <c r="O60" t="s">
        <v>101</v>
      </c>
      <c r="P60">
        <v>34.271999999999998</v>
      </c>
    </row>
    <row r="61" spans="1:16">
      <c r="A61" s="4">
        <v>2017</v>
      </c>
      <c r="B61" s="4">
        <v>126613</v>
      </c>
      <c r="C61" t="s">
        <v>329</v>
      </c>
      <c r="D61" t="s">
        <v>304</v>
      </c>
      <c r="E61" t="s">
        <v>18</v>
      </c>
      <c r="F61" t="s">
        <v>317</v>
      </c>
      <c r="G61" t="s">
        <v>318</v>
      </c>
      <c r="H61" t="s">
        <v>33</v>
      </c>
      <c r="I61" t="s">
        <v>97</v>
      </c>
      <c r="J61" t="s">
        <v>330</v>
      </c>
      <c r="K61" t="s">
        <v>136</v>
      </c>
      <c r="L61" t="s">
        <v>66</v>
      </c>
      <c r="M61" t="s">
        <v>331</v>
      </c>
      <c r="N61" t="s">
        <v>27</v>
      </c>
      <c r="O61" t="s">
        <v>58</v>
      </c>
      <c r="P61">
        <v>16.768000000000001</v>
      </c>
    </row>
    <row r="62" spans="1:16">
      <c r="A62" s="4">
        <v>2015</v>
      </c>
      <c r="B62" s="4">
        <v>158064</v>
      </c>
      <c r="C62" t="s">
        <v>332</v>
      </c>
      <c r="D62" t="s">
        <v>333</v>
      </c>
      <c r="E62" t="s">
        <v>18</v>
      </c>
      <c r="F62" t="s">
        <v>317</v>
      </c>
      <c r="G62" t="s">
        <v>318</v>
      </c>
      <c r="H62" t="s">
        <v>33</v>
      </c>
      <c r="I62" t="s">
        <v>97</v>
      </c>
      <c r="J62" t="s">
        <v>64</v>
      </c>
      <c r="K62" t="s">
        <v>65</v>
      </c>
      <c r="L62" t="s">
        <v>66</v>
      </c>
      <c r="M62" t="s">
        <v>334</v>
      </c>
      <c r="N62" t="s">
        <v>27</v>
      </c>
      <c r="O62" t="s">
        <v>101</v>
      </c>
      <c r="P62">
        <v>16.52</v>
      </c>
    </row>
    <row r="63" spans="1:16">
      <c r="A63" s="4">
        <v>2015</v>
      </c>
      <c r="B63" s="4">
        <v>125171</v>
      </c>
      <c r="C63" t="s">
        <v>335</v>
      </c>
      <c r="D63" t="s">
        <v>335</v>
      </c>
      <c r="E63" t="s">
        <v>132</v>
      </c>
      <c r="F63" t="s">
        <v>336</v>
      </c>
      <c r="G63" t="s">
        <v>337</v>
      </c>
      <c r="H63" t="s">
        <v>33</v>
      </c>
      <c r="I63" t="s">
        <v>97</v>
      </c>
      <c r="J63" t="s">
        <v>49</v>
      </c>
      <c r="K63" t="s">
        <v>50</v>
      </c>
      <c r="L63" t="s">
        <v>25</v>
      </c>
      <c r="M63" t="s">
        <v>338</v>
      </c>
      <c r="N63" t="s">
        <v>27</v>
      </c>
      <c r="O63" t="s">
        <v>111</v>
      </c>
      <c r="P63">
        <v>14.4</v>
      </c>
    </row>
    <row r="64" spans="1:16">
      <c r="A64" s="4">
        <v>2017</v>
      </c>
      <c r="B64" s="4">
        <v>109820</v>
      </c>
      <c r="C64" t="s">
        <v>339</v>
      </c>
      <c r="D64" t="s">
        <v>340</v>
      </c>
      <c r="E64" t="s">
        <v>42</v>
      </c>
      <c r="F64" t="s">
        <v>336</v>
      </c>
      <c r="G64" t="s">
        <v>337</v>
      </c>
      <c r="H64" t="s">
        <v>33</v>
      </c>
      <c r="I64" t="s">
        <v>97</v>
      </c>
      <c r="J64" t="s">
        <v>341</v>
      </c>
      <c r="K64" t="s">
        <v>237</v>
      </c>
      <c r="L64" t="s">
        <v>25</v>
      </c>
      <c r="M64" t="s">
        <v>342</v>
      </c>
      <c r="N64" t="s">
        <v>27</v>
      </c>
      <c r="O64" t="s">
        <v>52</v>
      </c>
      <c r="P64">
        <v>15.696</v>
      </c>
    </row>
    <row r="65" spans="1:16">
      <c r="A65" s="4">
        <v>2015</v>
      </c>
      <c r="B65" s="4">
        <v>157882</v>
      </c>
      <c r="C65" t="s">
        <v>343</v>
      </c>
      <c r="D65" t="s">
        <v>311</v>
      </c>
      <c r="E65" t="s">
        <v>144</v>
      </c>
      <c r="F65" t="s">
        <v>344</v>
      </c>
      <c r="G65" t="s">
        <v>345</v>
      </c>
      <c r="H65" t="s">
        <v>33</v>
      </c>
      <c r="I65" t="s">
        <v>22</v>
      </c>
      <c r="J65" t="s">
        <v>64</v>
      </c>
      <c r="K65" t="s">
        <v>65</v>
      </c>
      <c r="L65" t="s">
        <v>66</v>
      </c>
      <c r="M65" t="s">
        <v>346</v>
      </c>
      <c r="N65" t="s">
        <v>79</v>
      </c>
      <c r="O65" t="s">
        <v>347</v>
      </c>
      <c r="P65">
        <v>143.43199999999999</v>
      </c>
    </row>
    <row r="66" spans="1:16">
      <c r="A66" s="4">
        <v>2018</v>
      </c>
      <c r="B66" s="4">
        <v>140844</v>
      </c>
      <c r="C66" t="s">
        <v>348</v>
      </c>
      <c r="D66" t="s">
        <v>349</v>
      </c>
      <c r="E66" t="s">
        <v>18</v>
      </c>
      <c r="F66" t="s">
        <v>344</v>
      </c>
      <c r="G66" t="s">
        <v>345</v>
      </c>
      <c r="H66" t="s">
        <v>33</v>
      </c>
      <c r="I66" t="s">
        <v>22</v>
      </c>
      <c r="J66" t="s">
        <v>49</v>
      </c>
      <c r="K66" t="s">
        <v>50</v>
      </c>
      <c r="L66" t="s">
        <v>25</v>
      </c>
      <c r="M66" t="s">
        <v>350</v>
      </c>
      <c r="N66" t="s">
        <v>27</v>
      </c>
      <c r="O66" t="s">
        <v>52</v>
      </c>
      <c r="P66">
        <v>97.82</v>
      </c>
    </row>
    <row r="67" spans="1:16">
      <c r="A67" s="4">
        <v>2018</v>
      </c>
      <c r="B67" s="4">
        <v>134481</v>
      </c>
      <c r="C67" t="s">
        <v>351</v>
      </c>
      <c r="D67" t="s">
        <v>352</v>
      </c>
      <c r="E67" t="s">
        <v>18</v>
      </c>
      <c r="F67" t="s">
        <v>344</v>
      </c>
      <c r="G67" t="s">
        <v>345</v>
      </c>
      <c r="H67" t="s">
        <v>33</v>
      </c>
      <c r="I67" t="s">
        <v>22</v>
      </c>
      <c r="J67" t="s">
        <v>283</v>
      </c>
      <c r="K67" t="s">
        <v>284</v>
      </c>
      <c r="L67" t="s">
        <v>25</v>
      </c>
      <c r="M67" t="s">
        <v>353</v>
      </c>
      <c r="N67" t="s">
        <v>79</v>
      </c>
      <c r="O67" t="s">
        <v>347</v>
      </c>
      <c r="P67">
        <v>1488.424</v>
      </c>
    </row>
    <row r="68" spans="1:16">
      <c r="A68" s="4">
        <v>2015</v>
      </c>
      <c r="B68" s="4">
        <v>129924</v>
      </c>
      <c r="C68" t="s">
        <v>354</v>
      </c>
      <c r="D68" t="s">
        <v>355</v>
      </c>
      <c r="E68" t="s">
        <v>18</v>
      </c>
      <c r="F68" t="s">
        <v>356</v>
      </c>
      <c r="G68" t="s">
        <v>357</v>
      </c>
      <c r="H68" t="s">
        <v>21</v>
      </c>
      <c r="I68" t="s">
        <v>22</v>
      </c>
      <c r="J68" t="s">
        <v>226</v>
      </c>
      <c r="K68" t="s">
        <v>65</v>
      </c>
      <c r="L68" t="s">
        <v>66</v>
      </c>
      <c r="M68" t="s">
        <v>358</v>
      </c>
      <c r="N68" t="s">
        <v>27</v>
      </c>
      <c r="O68" t="s">
        <v>101</v>
      </c>
      <c r="P68">
        <v>7.7119999999999997</v>
      </c>
    </row>
    <row r="69" spans="1:16">
      <c r="A69" s="4">
        <v>2017</v>
      </c>
      <c r="B69" s="4">
        <v>100468</v>
      </c>
      <c r="C69" t="s">
        <v>359</v>
      </c>
      <c r="D69" t="s">
        <v>360</v>
      </c>
      <c r="E69" t="s">
        <v>18</v>
      </c>
      <c r="F69" t="s">
        <v>361</v>
      </c>
      <c r="G69" t="s">
        <v>362</v>
      </c>
      <c r="H69" t="s">
        <v>33</v>
      </c>
      <c r="I69" t="s">
        <v>63</v>
      </c>
      <c r="J69" t="s">
        <v>64</v>
      </c>
      <c r="K69" t="s">
        <v>65</v>
      </c>
      <c r="L69" t="s">
        <v>66</v>
      </c>
      <c r="M69" t="s">
        <v>363</v>
      </c>
      <c r="N69" t="s">
        <v>38</v>
      </c>
      <c r="O69" t="s">
        <v>118</v>
      </c>
      <c r="P69">
        <v>33.520000000000003</v>
      </c>
    </row>
    <row r="70" spans="1:16">
      <c r="A70" s="4">
        <v>2015</v>
      </c>
      <c r="B70" s="4">
        <v>120243</v>
      </c>
      <c r="C70" t="s">
        <v>364</v>
      </c>
      <c r="D70" t="s">
        <v>365</v>
      </c>
      <c r="E70" t="s">
        <v>144</v>
      </c>
      <c r="F70" t="s">
        <v>361</v>
      </c>
      <c r="G70" t="s">
        <v>362</v>
      </c>
      <c r="H70" t="s">
        <v>33</v>
      </c>
      <c r="I70" t="s">
        <v>63</v>
      </c>
      <c r="J70" t="s">
        <v>64</v>
      </c>
      <c r="K70" t="s">
        <v>65</v>
      </c>
      <c r="L70" t="s">
        <v>66</v>
      </c>
      <c r="M70" t="s">
        <v>366</v>
      </c>
      <c r="N70" t="s">
        <v>27</v>
      </c>
      <c r="O70" t="s">
        <v>111</v>
      </c>
      <c r="P70">
        <v>11.56</v>
      </c>
    </row>
    <row r="71" spans="1:16">
      <c r="A71" s="4">
        <v>2018</v>
      </c>
      <c r="B71" s="4">
        <v>141789</v>
      </c>
      <c r="C71" t="s">
        <v>367</v>
      </c>
      <c r="D71" t="s">
        <v>368</v>
      </c>
      <c r="E71" t="s">
        <v>42</v>
      </c>
      <c r="F71" t="s">
        <v>369</v>
      </c>
      <c r="G71" t="s">
        <v>370</v>
      </c>
      <c r="H71" t="s">
        <v>33</v>
      </c>
      <c r="I71" t="s">
        <v>97</v>
      </c>
      <c r="J71" t="s">
        <v>371</v>
      </c>
      <c r="K71" t="s">
        <v>372</v>
      </c>
      <c r="L71" t="s">
        <v>36</v>
      </c>
      <c r="M71" t="s">
        <v>373</v>
      </c>
      <c r="N71" t="s">
        <v>27</v>
      </c>
      <c r="O71" t="s">
        <v>101</v>
      </c>
      <c r="P71">
        <v>1793.98</v>
      </c>
    </row>
    <row r="72" spans="1:16">
      <c r="A72" s="4">
        <v>2018</v>
      </c>
      <c r="B72" s="4">
        <v>158729</v>
      </c>
      <c r="C72" t="s">
        <v>374</v>
      </c>
      <c r="D72" t="s">
        <v>375</v>
      </c>
      <c r="E72" t="s">
        <v>42</v>
      </c>
      <c r="F72" t="s">
        <v>369</v>
      </c>
      <c r="G72" t="s">
        <v>370</v>
      </c>
      <c r="H72" t="s">
        <v>33</v>
      </c>
      <c r="I72" t="s">
        <v>97</v>
      </c>
      <c r="J72" t="s">
        <v>376</v>
      </c>
      <c r="K72" t="s">
        <v>377</v>
      </c>
      <c r="L72" t="s">
        <v>45</v>
      </c>
      <c r="M72" t="s">
        <v>378</v>
      </c>
      <c r="N72" t="s">
        <v>27</v>
      </c>
      <c r="O72" t="s">
        <v>74</v>
      </c>
      <c r="P72">
        <v>1665.62</v>
      </c>
    </row>
    <row r="73" spans="1:16">
      <c r="A73" s="4">
        <v>2016</v>
      </c>
      <c r="B73" s="4">
        <v>106495</v>
      </c>
      <c r="C73" t="s">
        <v>379</v>
      </c>
      <c r="D73" t="s">
        <v>380</v>
      </c>
      <c r="E73" t="s">
        <v>42</v>
      </c>
      <c r="F73" t="s">
        <v>369</v>
      </c>
      <c r="G73" t="s">
        <v>370</v>
      </c>
      <c r="H73" t="s">
        <v>33</v>
      </c>
      <c r="I73" t="s">
        <v>97</v>
      </c>
      <c r="J73" t="s">
        <v>241</v>
      </c>
      <c r="K73" t="s">
        <v>196</v>
      </c>
      <c r="L73" t="s">
        <v>45</v>
      </c>
      <c r="M73" t="s">
        <v>381</v>
      </c>
      <c r="N73" t="s">
        <v>38</v>
      </c>
      <c r="O73" t="s">
        <v>68</v>
      </c>
      <c r="P73">
        <v>11.672000000000001</v>
      </c>
    </row>
    <row r="74" spans="1:16">
      <c r="A74" s="4">
        <v>2017</v>
      </c>
      <c r="B74" s="4">
        <v>121671</v>
      </c>
      <c r="C74" t="s">
        <v>382</v>
      </c>
      <c r="D74" t="s">
        <v>305</v>
      </c>
      <c r="E74" t="s">
        <v>18</v>
      </c>
      <c r="F74" t="s">
        <v>383</v>
      </c>
      <c r="G74" t="s">
        <v>384</v>
      </c>
      <c r="H74" t="s">
        <v>33</v>
      </c>
      <c r="I74" t="s">
        <v>97</v>
      </c>
      <c r="J74" t="s">
        <v>98</v>
      </c>
      <c r="K74" t="s">
        <v>99</v>
      </c>
      <c r="L74" t="s">
        <v>36</v>
      </c>
      <c r="M74" t="s">
        <v>385</v>
      </c>
      <c r="N74" t="s">
        <v>27</v>
      </c>
      <c r="O74" t="s">
        <v>52</v>
      </c>
      <c r="P74">
        <v>21.93</v>
      </c>
    </row>
    <row r="75" spans="1:16">
      <c r="A75" s="4">
        <v>2018</v>
      </c>
      <c r="B75" s="4">
        <v>114412</v>
      </c>
      <c r="C75" t="s">
        <v>88</v>
      </c>
      <c r="D75" t="s">
        <v>386</v>
      </c>
      <c r="E75" t="s">
        <v>18</v>
      </c>
      <c r="F75" t="s">
        <v>383</v>
      </c>
      <c r="G75" t="s">
        <v>384</v>
      </c>
      <c r="H75" t="s">
        <v>33</v>
      </c>
      <c r="I75" t="s">
        <v>97</v>
      </c>
      <c r="J75" t="s">
        <v>71</v>
      </c>
      <c r="K75" t="s">
        <v>44</v>
      </c>
      <c r="L75" t="s">
        <v>45</v>
      </c>
      <c r="M75" t="s">
        <v>387</v>
      </c>
      <c r="N75" t="s">
        <v>27</v>
      </c>
      <c r="O75" t="s">
        <v>52</v>
      </c>
      <c r="P75">
        <v>15.552</v>
      </c>
    </row>
    <row r="76" spans="1:16">
      <c r="A76" s="4">
        <v>2015</v>
      </c>
      <c r="B76" s="4">
        <v>155271</v>
      </c>
      <c r="C76" t="s">
        <v>388</v>
      </c>
      <c r="D76" t="s">
        <v>388</v>
      </c>
      <c r="E76" t="s">
        <v>132</v>
      </c>
      <c r="F76" t="s">
        <v>383</v>
      </c>
      <c r="G76" t="s">
        <v>384</v>
      </c>
      <c r="H76" t="s">
        <v>33</v>
      </c>
      <c r="I76" t="s">
        <v>97</v>
      </c>
      <c r="J76" t="s">
        <v>389</v>
      </c>
      <c r="K76" t="s">
        <v>390</v>
      </c>
      <c r="L76" t="s">
        <v>25</v>
      </c>
      <c r="M76" t="s">
        <v>391</v>
      </c>
      <c r="N76" t="s">
        <v>79</v>
      </c>
      <c r="O76" t="s">
        <v>80</v>
      </c>
      <c r="P76">
        <v>27.46</v>
      </c>
    </row>
    <row r="77" spans="1:16">
      <c r="A77" s="4">
        <v>2016</v>
      </c>
      <c r="B77" s="4">
        <v>156146</v>
      </c>
      <c r="C77" t="s">
        <v>392</v>
      </c>
      <c r="D77" t="s">
        <v>393</v>
      </c>
      <c r="E77" t="s">
        <v>144</v>
      </c>
      <c r="F77" t="s">
        <v>394</v>
      </c>
      <c r="G77" t="s">
        <v>395</v>
      </c>
      <c r="H77" t="s">
        <v>33</v>
      </c>
      <c r="I77" t="s">
        <v>22</v>
      </c>
      <c r="J77" t="s">
        <v>396</v>
      </c>
      <c r="K77" t="s">
        <v>136</v>
      </c>
      <c r="L77" t="s">
        <v>66</v>
      </c>
      <c r="M77" t="s">
        <v>397</v>
      </c>
      <c r="N77" t="s">
        <v>38</v>
      </c>
      <c r="O77" t="s">
        <v>118</v>
      </c>
      <c r="P77">
        <v>105.584</v>
      </c>
    </row>
    <row r="78" spans="1:16">
      <c r="A78" s="4">
        <v>2018</v>
      </c>
      <c r="B78" s="4">
        <v>132976</v>
      </c>
      <c r="C78" t="s">
        <v>398</v>
      </c>
      <c r="D78" t="s">
        <v>399</v>
      </c>
      <c r="E78" t="s">
        <v>18</v>
      </c>
      <c r="F78" t="s">
        <v>394</v>
      </c>
      <c r="G78" t="s">
        <v>395</v>
      </c>
      <c r="H78" t="s">
        <v>33</v>
      </c>
      <c r="I78" t="s">
        <v>22</v>
      </c>
      <c r="J78" t="s">
        <v>23</v>
      </c>
      <c r="K78" t="s">
        <v>24</v>
      </c>
      <c r="L78" t="s">
        <v>25</v>
      </c>
      <c r="M78" t="s">
        <v>400</v>
      </c>
      <c r="N78" t="s">
        <v>27</v>
      </c>
      <c r="O78" t="s">
        <v>52</v>
      </c>
      <c r="P78">
        <v>11.648</v>
      </c>
    </row>
    <row r="79" spans="1:16">
      <c r="A79" s="4">
        <v>2015</v>
      </c>
      <c r="B79" s="4">
        <v>105767</v>
      </c>
      <c r="C79" t="s">
        <v>401</v>
      </c>
      <c r="D79" t="s">
        <v>402</v>
      </c>
      <c r="E79" t="s">
        <v>18</v>
      </c>
      <c r="F79" t="s">
        <v>403</v>
      </c>
      <c r="G79" t="s">
        <v>404</v>
      </c>
      <c r="H79" t="s">
        <v>33</v>
      </c>
      <c r="I79" t="s">
        <v>97</v>
      </c>
      <c r="J79" t="s">
        <v>23</v>
      </c>
      <c r="K79" t="s">
        <v>24</v>
      </c>
      <c r="L79" t="s">
        <v>25</v>
      </c>
      <c r="M79" t="s">
        <v>405</v>
      </c>
      <c r="N79" t="s">
        <v>27</v>
      </c>
      <c r="O79" t="s">
        <v>101</v>
      </c>
      <c r="P79">
        <v>3.282</v>
      </c>
    </row>
    <row r="80" spans="1:16">
      <c r="A80" s="4">
        <v>2016</v>
      </c>
      <c r="B80" s="4">
        <v>112319</v>
      </c>
      <c r="C80" t="s">
        <v>406</v>
      </c>
      <c r="D80" t="s">
        <v>407</v>
      </c>
      <c r="E80" t="s">
        <v>18</v>
      </c>
      <c r="F80" t="s">
        <v>403</v>
      </c>
      <c r="G80" t="s">
        <v>404</v>
      </c>
      <c r="H80" t="s">
        <v>33</v>
      </c>
      <c r="I80" t="s">
        <v>97</v>
      </c>
      <c r="J80" t="s">
        <v>64</v>
      </c>
      <c r="K80" t="s">
        <v>65</v>
      </c>
      <c r="L80" t="s">
        <v>66</v>
      </c>
      <c r="M80" t="s">
        <v>408</v>
      </c>
      <c r="N80" t="s">
        <v>27</v>
      </c>
      <c r="O80" t="s">
        <v>52</v>
      </c>
      <c r="P80">
        <v>58.32</v>
      </c>
    </row>
    <row r="81" spans="1:16">
      <c r="A81" s="4">
        <v>2015</v>
      </c>
      <c r="B81" s="4">
        <v>167850</v>
      </c>
      <c r="C81" t="s">
        <v>409</v>
      </c>
      <c r="D81" t="s">
        <v>410</v>
      </c>
      <c r="E81" t="s">
        <v>18</v>
      </c>
      <c r="F81" t="s">
        <v>411</v>
      </c>
      <c r="G81" t="s">
        <v>412</v>
      </c>
      <c r="H81" t="s">
        <v>33</v>
      </c>
      <c r="I81" t="s">
        <v>22</v>
      </c>
      <c r="J81" t="s">
        <v>413</v>
      </c>
      <c r="K81" t="s">
        <v>196</v>
      </c>
      <c r="L81" t="s">
        <v>45</v>
      </c>
      <c r="M81" t="s">
        <v>414</v>
      </c>
      <c r="N81" t="s">
        <v>38</v>
      </c>
      <c r="O81" t="s">
        <v>118</v>
      </c>
      <c r="P81">
        <v>178.38399999999999</v>
      </c>
    </row>
    <row r="82" spans="1:16">
      <c r="A82" s="4">
        <v>2015</v>
      </c>
      <c r="B82" s="4">
        <v>158281</v>
      </c>
      <c r="C82" t="s">
        <v>415</v>
      </c>
      <c r="D82" t="s">
        <v>416</v>
      </c>
      <c r="E82" t="s">
        <v>18</v>
      </c>
      <c r="F82" t="s">
        <v>411</v>
      </c>
      <c r="G82" t="s">
        <v>412</v>
      </c>
      <c r="H82" t="s">
        <v>33</v>
      </c>
      <c r="I82" t="s">
        <v>22</v>
      </c>
      <c r="J82" t="s">
        <v>183</v>
      </c>
      <c r="K82" t="s">
        <v>35</v>
      </c>
      <c r="L82" t="s">
        <v>36</v>
      </c>
      <c r="M82" t="s">
        <v>417</v>
      </c>
      <c r="N82" t="s">
        <v>38</v>
      </c>
      <c r="O82" t="s">
        <v>39</v>
      </c>
      <c r="P82">
        <v>559.71</v>
      </c>
    </row>
    <row r="83" spans="1:16">
      <c r="A83" s="4">
        <v>2016</v>
      </c>
      <c r="B83" s="4">
        <v>123505</v>
      </c>
      <c r="C83" t="s">
        <v>418</v>
      </c>
      <c r="D83" t="s">
        <v>419</v>
      </c>
      <c r="E83" t="s">
        <v>18</v>
      </c>
      <c r="F83" t="s">
        <v>420</v>
      </c>
      <c r="G83" t="s">
        <v>421</v>
      </c>
      <c r="H83" t="s">
        <v>33</v>
      </c>
      <c r="I83" t="s">
        <v>97</v>
      </c>
      <c r="J83" t="s">
        <v>422</v>
      </c>
      <c r="K83" t="s">
        <v>284</v>
      </c>
      <c r="L83" t="s">
        <v>25</v>
      </c>
      <c r="M83" t="s">
        <v>423</v>
      </c>
      <c r="N83" t="s">
        <v>27</v>
      </c>
      <c r="O83" t="s">
        <v>52</v>
      </c>
      <c r="P83">
        <v>14.94</v>
      </c>
    </row>
    <row r="84" spans="1:16">
      <c r="A84" s="4">
        <v>2018</v>
      </c>
      <c r="B84" s="4">
        <v>154935</v>
      </c>
      <c r="C84" t="s">
        <v>424</v>
      </c>
      <c r="D84" t="s">
        <v>425</v>
      </c>
      <c r="E84" t="s">
        <v>18</v>
      </c>
      <c r="F84" t="s">
        <v>420</v>
      </c>
      <c r="G84" t="s">
        <v>421</v>
      </c>
      <c r="H84" t="s">
        <v>33</v>
      </c>
      <c r="I84" t="s">
        <v>97</v>
      </c>
      <c r="J84" t="s">
        <v>49</v>
      </c>
      <c r="K84" t="s">
        <v>50</v>
      </c>
      <c r="L84" t="s">
        <v>25</v>
      </c>
      <c r="M84" t="s">
        <v>426</v>
      </c>
      <c r="N84" t="s">
        <v>27</v>
      </c>
      <c r="O84" t="s">
        <v>101</v>
      </c>
      <c r="P84">
        <v>17.88</v>
      </c>
    </row>
    <row r="85" spans="1:16">
      <c r="A85" s="4">
        <v>2015</v>
      </c>
      <c r="B85" s="4">
        <v>102652</v>
      </c>
      <c r="C85" t="s">
        <v>427</v>
      </c>
      <c r="D85" t="s">
        <v>428</v>
      </c>
      <c r="E85" t="s">
        <v>18</v>
      </c>
      <c r="F85" t="s">
        <v>429</v>
      </c>
      <c r="G85" t="s">
        <v>430</v>
      </c>
      <c r="H85" t="s">
        <v>21</v>
      </c>
      <c r="I85" t="s">
        <v>22</v>
      </c>
      <c r="J85" t="s">
        <v>64</v>
      </c>
      <c r="K85" t="s">
        <v>65</v>
      </c>
      <c r="L85" t="s">
        <v>66</v>
      </c>
      <c r="M85" t="s">
        <v>431</v>
      </c>
      <c r="N85" t="s">
        <v>79</v>
      </c>
      <c r="O85" t="s">
        <v>80</v>
      </c>
      <c r="P85">
        <v>91.96</v>
      </c>
    </row>
    <row r="86" spans="1:16">
      <c r="A86" s="4">
        <v>2018</v>
      </c>
      <c r="B86" s="4">
        <v>109715</v>
      </c>
      <c r="C86" t="s">
        <v>163</v>
      </c>
      <c r="D86" t="s">
        <v>432</v>
      </c>
      <c r="E86" t="s">
        <v>18</v>
      </c>
      <c r="F86" t="s">
        <v>433</v>
      </c>
      <c r="G86" t="s">
        <v>434</v>
      </c>
      <c r="H86" t="s">
        <v>33</v>
      </c>
      <c r="I86" t="s">
        <v>97</v>
      </c>
      <c r="J86" t="s">
        <v>108</v>
      </c>
      <c r="K86" t="s">
        <v>109</v>
      </c>
      <c r="L86" t="s">
        <v>36</v>
      </c>
      <c r="M86" t="s">
        <v>435</v>
      </c>
      <c r="N86" t="s">
        <v>27</v>
      </c>
      <c r="O86" t="s">
        <v>52</v>
      </c>
      <c r="P86">
        <v>15.984</v>
      </c>
    </row>
    <row r="87" spans="1:16">
      <c r="A87" s="4">
        <v>2018</v>
      </c>
      <c r="B87" s="4">
        <v>152492</v>
      </c>
      <c r="C87" t="s">
        <v>436</v>
      </c>
      <c r="D87" t="s">
        <v>436</v>
      </c>
      <c r="E87" t="s">
        <v>132</v>
      </c>
      <c r="F87" t="s">
        <v>433</v>
      </c>
      <c r="G87" t="s">
        <v>434</v>
      </c>
      <c r="H87" t="s">
        <v>33</v>
      </c>
      <c r="I87" t="s">
        <v>97</v>
      </c>
      <c r="J87" t="s">
        <v>437</v>
      </c>
      <c r="K87" t="s">
        <v>196</v>
      </c>
      <c r="L87" t="s">
        <v>45</v>
      </c>
      <c r="M87" t="s">
        <v>438</v>
      </c>
      <c r="N87" t="s">
        <v>79</v>
      </c>
      <c r="O87" t="s">
        <v>138</v>
      </c>
      <c r="P87">
        <v>239.24</v>
      </c>
    </row>
    <row r="88" spans="1:16">
      <c r="A88" s="4">
        <v>2016</v>
      </c>
      <c r="B88" s="4">
        <v>111234</v>
      </c>
      <c r="C88" t="s">
        <v>439</v>
      </c>
      <c r="D88" t="s">
        <v>440</v>
      </c>
      <c r="E88" t="s">
        <v>18</v>
      </c>
      <c r="F88" t="s">
        <v>441</v>
      </c>
      <c r="G88" t="s">
        <v>442</v>
      </c>
      <c r="H88" t="s">
        <v>33</v>
      </c>
      <c r="I88" t="s">
        <v>22</v>
      </c>
      <c r="J88" t="s">
        <v>64</v>
      </c>
      <c r="K88" t="s">
        <v>65</v>
      </c>
      <c r="L88" t="s">
        <v>66</v>
      </c>
      <c r="M88" t="s">
        <v>443</v>
      </c>
      <c r="N88" t="s">
        <v>27</v>
      </c>
      <c r="O88" t="s">
        <v>111</v>
      </c>
      <c r="P88">
        <v>9.24</v>
      </c>
    </row>
    <row r="89" spans="1:16">
      <c r="A89" s="4">
        <v>2015</v>
      </c>
      <c r="B89" s="4">
        <v>115336</v>
      </c>
      <c r="C89" t="s">
        <v>444</v>
      </c>
      <c r="D89" t="s">
        <v>445</v>
      </c>
      <c r="E89" t="s">
        <v>18</v>
      </c>
      <c r="F89" t="s">
        <v>441</v>
      </c>
      <c r="G89" t="s">
        <v>442</v>
      </c>
      <c r="H89" t="s">
        <v>33</v>
      </c>
      <c r="I89" t="s">
        <v>22</v>
      </c>
      <c r="J89" t="s">
        <v>108</v>
      </c>
      <c r="K89" t="s">
        <v>109</v>
      </c>
      <c r="L89" t="s">
        <v>36</v>
      </c>
      <c r="M89" t="s">
        <v>446</v>
      </c>
      <c r="N89" t="s">
        <v>27</v>
      </c>
      <c r="O89" t="s">
        <v>101</v>
      </c>
      <c r="P89">
        <v>14.48</v>
      </c>
    </row>
    <row r="90" spans="1:16">
      <c r="A90" s="4">
        <v>2015</v>
      </c>
      <c r="B90" s="4">
        <v>162684</v>
      </c>
      <c r="C90" t="s">
        <v>447</v>
      </c>
      <c r="D90" t="s">
        <v>448</v>
      </c>
      <c r="E90" t="s">
        <v>18</v>
      </c>
      <c r="F90" t="s">
        <v>449</v>
      </c>
      <c r="G90" t="s">
        <v>450</v>
      </c>
      <c r="H90" t="s">
        <v>33</v>
      </c>
      <c r="I90" t="s">
        <v>63</v>
      </c>
      <c r="J90" t="s">
        <v>23</v>
      </c>
      <c r="K90" t="s">
        <v>24</v>
      </c>
      <c r="L90" t="s">
        <v>25</v>
      </c>
      <c r="M90" t="s">
        <v>451</v>
      </c>
      <c r="N90" t="s">
        <v>27</v>
      </c>
      <c r="O90" t="s">
        <v>452</v>
      </c>
      <c r="P90">
        <v>5.68</v>
      </c>
    </row>
    <row r="91" spans="1:16">
      <c r="A91" s="4">
        <v>2018</v>
      </c>
      <c r="B91" s="4">
        <v>124597</v>
      </c>
      <c r="C91" t="s">
        <v>453</v>
      </c>
      <c r="D91" t="s">
        <v>454</v>
      </c>
      <c r="E91" t="s">
        <v>18</v>
      </c>
      <c r="F91" t="s">
        <v>449</v>
      </c>
      <c r="G91" t="s">
        <v>450</v>
      </c>
      <c r="H91" t="s">
        <v>33</v>
      </c>
      <c r="I91" t="s">
        <v>63</v>
      </c>
      <c r="J91" t="s">
        <v>455</v>
      </c>
      <c r="K91" t="s">
        <v>196</v>
      </c>
      <c r="L91" t="s">
        <v>45</v>
      </c>
      <c r="M91" t="s">
        <v>456</v>
      </c>
      <c r="N91" t="s">
        <v>27</v>
      </c>
      <c r="O91" t="s">
        <v>111</v>
      </c>
      <c r="P91">
        <v>4.6079999999999997</v>
      </c>
    </row>
    <row r="92" spans="1:16">
      <c r="A92" s="4">
        <v>2015</v>
      </c>
      <c r="B92" s="4">
        <v>143210</v>
      </c>
      <c r="C92" t="s">
        <v>457</v>
      </c>
      <c r="D92" t="s">
        <v>458</v>
      </c>
      <c r="E92" t="s">
        <v>42</v>
      </c>
      <c r="F92" t="s">
        <v>459</v>
      </c>
      <c r="G92" t="s">
        <v>460</v>
      </c>
      <c r="H92" t="s">
        <v>21</v>
      </c>
      <c r="I92" t="s">
        <v>97</v>
      </c>
      <c r="J92" t="s">
        <v>461</v>
      </c>
      <c r="K92" t="s">
        <v>284</v>
      </c>
      <c r="L92" t="s">
        <v>25</v>
      </c>
      <c r="M92" t="s">
        <v>462</v>
      </c>
      <c r="N92" t="s">
        <v>38</v>
      </c>
      <c r="O92" t="s">
        <v>118</v>
      </c>
      <c r="P92">
        <v>271.89999999999998</v>
      </c>
    </row>
    <row r="93" spans="1:16">
      <c r="A93" s="4">
        <v>2015</v>
      </c>
      <c r="B93" s="4">
        <v>122021</v>
      </c>
      <c r="C93" t="s">
        <v>463</v>
      </c>
      <c r="D93" t="s">
        <v>464</v>
      </c>
      <c r="E93" t="s">
        <v>42</v>
      </c>
      <c r="F93" t="s">
        <v>465</v>
      </c>
      <c r="G93" t="s">
        <v>466</v>
      </c>
      <c r="H93" t="s">
        <v>21</v>
      </c>
      <c r="I93" t="s">
        <v>97</v>
      </c>
      <c r="J93" t="s">
        <v>467</v>
      </c>
      <c r="K93" t="s">
        <v>237</v>
      </c>
      <c r="L93" t="s">
        <v>25</v>
      </c>
      <c r="M93" t="s">
        <v>468</v>
      </c>
      <c r="N93" t="s">
        <v>79</v>
      </c>
      <c r="O93" t="s">
        <v>138</v>
      </c>
      <c r="P93">
        <v>183.37200000000001</v>
      </c>
    </row>
    <row r="94" spans="1:16">
      <c r="A94" s="4">
        <v>2018</v>
      </c>
      <c r="B94" s="4">
        <v>163335</v>
      </c>
      <c r="C94" t="s">
        <v>469</v>
      </c>
      <c r="D94" t="s">
        <v>470</v>
      </c>
      <c r="E94" t="s">
        <v>42</v>
      </c>
      <c r="F94" t="s">
        <v>471</v>
      </c>
      <c r="G94" t="s">
        <v>472</v>
      </c>
      <c r="H94" t="s">
        <v>33</v>
      </c>
      <c r="I94" t="s">
        <v>97</v>
      </c>
      <c r="J94" t="s">
        <v>473</v>
      </c>
      <c r="K94" t="s">
        <v>86</v>
      </c>
      <c r="L94" t="s">
        <v>45</v>
      </c>
      <c r="M94" t="s">
        <v>474</v>
      </c>
      <c r="N94" t="s">
        <v>27</v>
      </c>
      <c r="O94" t="s">
        <v>58</v>
      </c>
      <c r="P94">
        <v>40.29</v>
      </c>
    </row>
    <row r="95" spans="1:16">
      <c r="A95" s="4">
        <v>2018</v>
      </c>
      <c r="B95" s="4">
        <v>104094</v>
      </c>
      <c r="C95" t="s">
        <v>475</v>
      </c>
      <c r="D95" t="s">
        <v>476</v>
      </c>
      <c r="E95" t="s">
        <v>18</v>
      </c>
      <c r="F95" t="s">
        <v>471</v>
      </c>
      <c r="G95" t="s">
        <v>472</v>
      </c>
      <c r="H95" t="s">
        <v>33</v>
      </c>
      <c r="I95" t="s">
        <v>97</v>
      </c>
      <c r="J95" t="s">
        <v>477</v>
      </c>
      <c r="K95" t="s">
        <v>478</v>
      </c>
      <c r="L95" t="s">
        <v>36</v>
      </c>
      <c r="M95" t="s">
        <v>479</v>
      </c>
      <c r="N95" t="s">
        <v>38</v>
      </c>
      <c r="O95" t="s">
        <v>68</v>
      </c>
      <c r="P95">
        <v>13.48</v>
      </c>
    </row>
    <row r="96" spans="1:16">
      <c r="A96" s="4">
        <v>2018</v>
      </c>
      <c r="B96" s="4">
        <v>101483</v>
      </c>
      <c r="C96" t="s">
        <v>480</v>
      </c>
      <c r="D96" t="s">
        <v>29</v>
      </c>
      <c r="E96" t="s">
        <v>144</v>
      </c>
      <c r="F96" t="s">
        <v>471</v>
      </c>
      <c r="G96" t="s">
        <v>472</v>
      </c>
      <c r="H96" t="s">
        <v>33</v>
      </c>
      <c r="I96" t="s">
        <v>97</v>
      </c>
      <c r="J96" t="s">
        <v>43</v>
      </c>
      <c r="K96" t="s">
        <v>44</v>
      </c>
      <c r="L96" t="s">
        <v>45</v>
      </c>
      <c r="M96" t="s">
        <v>481</v>
      </c>
      <c r="N96" t="s">
        <v>27</v>
      </c>
      <c r="O96" t="s">
        <v>228</v>
      </c>
      <c r="P96">
        <v>34.847999999999999</v>
      </c>
    </row>
    <row r="97" spans="1:16">
      <c r="A97" s="4">
        <v>2017</v>
      </c>
      <c r="B97" s="4">
        <v>133368</v>
      </c>
      <c r="C97" t="s">
        <v>482</v>
      </c>
      <c r="D97" t="s">
        <v>483</v>
      </c>
      <c r="E97" t="s">
        <v>18</v>
      </c>
      <c r="F97" t="s">
        <v>471</v>
      </c>
      <c r="G97" t="s">
        <v>472</v>
      </c>
      <c r="H97" t="s">
        <v>33</v>
      </c>
      <c r="I97" t="s">
        <v>97</v>
      </c>
      <c r="J97" t="s">
        <v>71</v>
      </c>
      <c r="K97" t="s">
        <v>44</v>
      </c>
      <c r="L97" t="s">
        <v>45</v>
      </c>
      <c r="M97" t="s">
        <v>484</v>
      </c>
      <c r="N97" t="s">
        <v>27</v>
      </c>
      <c r="O97" t="s">
        <v>52</v>
      </c>
      <c r="P97">
        <v>89.567999999999998</v>
      </c>
    </row>
    <row r="98" spans="1:16">
      <c r="A98" s="4">
        <v>2017</v>
      </c>
      <c r="B98" s="4">
        <v>108987</v>
      </c>
      <c r="C98" t="s">
        <v>485</v>
      </c>
      <c r="D98" t="s">
        <v>486</v>
      </c>
      <c r="E98" t="s">
        <v>144</v>
      </c>
      <c r="F98" t="s">
        <v>471</v>
      </c>
      <c r="G98" t="s">
        <v>472</v>
      </c>
      <c r="H98" t="s">
        <v>33</v>
      </c>
      <c r="I98" t="s">
        <v>97</v>
      </c>
      <c r="J98" t="s">
        <v>183</v>
      </c>
      <c r="K98" t="s">
        <v>35</v>
      </c>
      <c r="L98" t="s">
        <v>36</v>
      </c>
      <c r="M98" t="s">
        <v>487</v>
      </c>
      <c r="N98" t="s">
        <v>27</v>
      </c>
      <c r="O98" t="s">
        <v>58</v>
      </c>
      <c r="P98">
        <v>35.951999999999998</v>
      </c>
    </row>
    <row r="99" spans="1:16">
      <c r="A99" s="4">
        <v>2016</v>
      </c>
      <c r="B99" s="4">
        <v>113628</v>
      </c>
      <c r="C99" t="s">
        <v>488</v>
      </c>
      <c r="D99" t="s">
        <v>489</v>
      </c>
      <c r="E99" t="s">
        <v>18</v>
      </c>
      <c r="F99" t="s">
        <v>490</v>
      </c>
      <c r="G99" t="s">
        <v>491</v>
      </c>
      <c r="H99" t="s">
        <v>21</v>
      </c>
      <c r="I99" t="s">
        <v>22</v>
      </c>
      <c r="J99" t="s">
        <v>492</v>
      </c>
      <c r="K99" t="s">
        <v>196</v>
      </c>
      <c r="L99" t="s">
        <v>45</v>
      </c>
      <c r="M99" t="s">
        <v>493</v>
      </c>
      <c r="N99" t="s">
        <v>27</v>
      </c>
      <c r="O99" t="s">
        <v>28</v>
      </c>
      <c r="P99">
        <v>11.76</v>
      </c>
    </row>
    <row r="100" spans="1:16">
      <c r="A100" s="4">
        <v>2018</v>
      </c>
      <c r="B100" s="4">
        <v>124821</v>
      </c>
      <c r="C100" t="s">
        <v>233</v>
      </c>
      <c r="D100" t="s">
        <v>494</v>
      </c>
      <c r="E100" t="s">
        <v>144</v>
      </c>
      <c r="F100" t="s">
        <v>495</v>
      </c>
      <c r="G100" t="s">
        <v>496</v>
      </c>
      <c r="H100" t="s">
        <v>33</v>
      </c>
      <c r="I100" t="s">
        <v>97</v>
      </c>
      <c r="J100" t="s">
        <v>271</v>
      </c>
      <c r="K100" t="s">
        <v>165</v>
      </c>
      <c r="L100" t="s">
        <v>66</v>
      </c>
      <c r="M100" t="s">
        <v>497</v>
      </c>
      <c r="N100" t="s">
        <v>79</v>
      </c>
      <c r="O100" t="s">
        <v>347</v>
      </c>
      <c r="P100">
        <v>871.4</v>
      </c>
    </row>
    <row r="101" spans="1:16">
      <c r="A101" s="4">
        <v>2016</v>
      </c>
      <c r="B101" s="4">
        <v>100573</v>
      </c>
      <c r="C101" t="s">
        <v>498</v>
      </c>
      <c r="D101" t="s">
        <v>499</v>
      </c>
      <c r="E101" t="s">
        <v>18</v>
      </c>
      <c r="F101" t="s">
        <v>495</v>
      </c>
      <c r="G101" t="s">
        <v>496</v>
      </c>
      <c r="H101" t="s">
        <v>33</v>
      </c>
      <c r="I101" t="s">
        <v>97</v>
      </c>
      <c r="J101" t="s">
        <v>64</v>
      </c>
      <c r="K101" t="s">
        <v>65</v>
      </c>
      <c r="L101" t="s">
        <v>66</v>
      </c>
      <c r="M101" t="s">
        <v>500</v>
      </c>
      <c r="N101" t="s">
        <v>27</v>
      </c>
      <c r="O101" t="s">
        <v>501</v>
      </c>
      <c r="P101">
        <v>17.48</v>
      </c>
    </row>
    <row r="102" spans="1:16">
      <c r="A102" s="4">
        <v>2016</v>
      </c>
      <c r="B102" s="4">
        <v>165449</v>
      </c>
      <c r="C102" t="s">
        <v>418</v>
      </c>
      <c r="D102" t="s">
        <v>419</v>
      </c>
      <c r="E102" t="s">
        <v>18</v>
      </c>
      <c r="F102" t="s">
        <v>502</v>
      </c>
      <c r="G102" t="s">
        <v>503</v>
      </c>
      <c r="H102" t="s">
        <v>33</v>
      </c>
      <c r="I102" t="s">
        <v>63</v>
      </c>
      <c r="J102" t="s">
        <v>504</v>
      </c>
      <c r="K102" t="s">
        <v>35</v>
      </c>
      <c r="L102" t="s">
        <v>36</v>
      </c>
      <c r="M102" t="s">
        <v>505</v>
      </c>
      <c r="N102" t="s">
        <v>38</v>
      </c>
      <c r="O102" t="s">
        <v>68</v>
      </c>
      <c r="P102">
        <v>27.167999999999999</v>
      </c>
    </row>
    <row r="103" spans="1:16">
      <c r="A103" s="4">
        <v>2017</v>
      </c>
      <c r="B103" s="4">
        <v>114174</v>
      </c>
      <c r="C103" t="s">
        <v>485</v>
      </c>
      <c r="D103" t="s">
        <v>506</v>
      </c>
      <c r="E103" t="s">
        <v>18</v>
      </c>
      <c r="F103" t="s">
        <v>502</v>
      </c>
      <c r="G103" t="s">
        <v>503</v>
      </c>
      <c r="H103" t="s">
        <v>33</v>
      </c>
      <c r="I103" t="s">
        <v>63</v>
      </c>
      <c r="J103" t="s">
        <v>507</v>
      </c>
      <c r="K103" t="s">
        <v>284</v>
      </c>
      <c r="L103" t="s">
        <v>25</v>
      </c>
      <c r="M103" t="s">
        <v>508</v>
      </c>
      <c r="N103" t="s">
        <v>79</v>
      </c>
      <c r="O103" t="s">
        <v>286</v>
      </c>
      <c r="P103">
        <v>173.94</v>
      </c>
    </row>
    <row r="104" spans="1:16">
      <c r="A104" s="4">
        <v>2017</v>
      </c>
      <c r="B104" s="4">
        <v>120250</v>
      </c>
      <c r="C104" t="s">
        <v>509</v>
      </c>
      <c r="D104" t="s">
        <v>510</v>
      </c>
      <c r="E104" t="s">
        <v>42</v>
      </c>
      <c r="F104" t="s">
        <v>502</v>
      </c>
      <c r="G104" t="s">
        <v>503</v>
      </c>
      <c r="H104" t="s">
        <v>33</v>
      </c>
      <c r="I104" t="s">
        <v>63</v>
      </c>
      <c r="J104" t="s">
        <v>23</v>
      </c>
      <c r="K104" t="s">
        <v>24</v>
      </c>
      <c r="L104" t="s">
        <v>25</v>
      </c>
      <c r="M104" t="s">
        <v>511</v>
      </c>
      <c r="N104" t="s">
        <v>79</v>
      </c>
      <c r="O104" t="s">
        <v>80</v>
      </c>
      <c r="P104">
        <v>25.632000000000001</v>
      </c>
    </row>
    <row r="105" spans="1:16">
      <c r="A105" s="4">
        <v>2015</v>
      </c>
      <c r="B105" s="4">
        <v>127964</v>
      </c>
      <c r="C105" t="s">
        <v>512</v>
      </c>
      <c r="D105" t="s">
        <v>513</v>
      </c>
      <c r="E105" t="s">
        <v>18</v>
      </c>
      <c r="F105" t="s">
        <v>502</v>
      </c>
      <c r="G105" t="s">
        <v>503</v>
      </c>
      <c r="H105" t="s">
        <v>33</v>
      </c>
      <c r="I105" t="s">
        <v>63</v>
      </c>
      <c r="J105" t="s">
        <v>49</v>
      </c>
      <c r="K105" t="s">
        <v>50</v>
      </c>
      <c r="L105" t="s">
        <v>25</v>
      </c>
      <c r="M105" t="s">
        <v>514</v>
      </c>
      <c r="N105" t="s">
        <v>38</v>
      </c>
      <c r="O105" t="s">
        <v>118</v>
      </c>
      <c r="P105">
        <v>9.99</v>
      </c>
    </row>
    <row r="106" spans="1:16">
      <c r="A106" s="4">
        <v>2017</v>
      </c>
      <c r="B106" s="4">
        <v>154403</v>
      </c>
      <c r="C106" t="s">
        <v>515</v>
      </c>
      <c r="D106" t="s">
        <v>516</v>
      </c>
      <c r="E106" t="s">
        <v>18</v>
      </c>
      <c r="F106" t="s">
        <v>502</v>
      </c>
      <c r="G106" t="s">
        <v>503</v>
      </c>
      <c r="H106" t="s">
        <v>33</v>
      </c>
      <c r="I106" t="s">
        <v>63</v>
      </c>
      <c r="J106" t="s">
        <v>517</v>
      </c>
      <c r="K106" t="s">
        <v>518</v>
      </c>
      <c r="L106" t="s">
        <v>45</v>
      </c>
      <c r="M106" t="s">
        <v>519</v>
      </c>
      <c r="N106" t="s">
        <v>27</v>
      </c>
      <c r="O106" t="s">
        <v>52</v>
      </c>
      <c r="P106">
        <v>4.9800000000000004</v>
      </c>
    </row>
    <row r="107" spans="1:16">
      <c r="A107" s="4">
        <v>2015</v>
      </c>
      <c r="B107" s="4">
        <v>146731</v>
      </c>
      <c r="C107" t="s">
        <v>520</v>
      </c>
      <c r="D107" t="s">
        <v>521</v>
      </c>
      <c r="E107" t="s">
        <v>18</v>
      </c>
      <c r="F107" t="s">
        <v>522</v>
      </c>
      <c r="G107" t="s">
        <v>523</v>
      </c>
      <c r="H107" t="s">
        <v>33</v>
      </c>
      <c r="I107" t="s">
        <v>97</v>
      </c>
      <c r="J107" t="s">
        <v>205</v>
      </c>
      <c r="K107" t="s">
        <v>206</v>
      </c>
      <c r="L107" t="s">
        <v>45</v>
      </c>
      <c r="M107" t="s">
        <v>524</v>
      </c>
      <c r="N107" t="s">
        <v>27</v>
      </c>
      <c r="O107" t="s">
        <v>52</v>
      </c>
      <c r="P107">
        <v>3.488</v>
      </c>
    </row>
    <row r="108" spans="1:16">
      <c r="A108" s="4">
        <v>2018</v>
      </c>
      <c r="B108" s="4">
        <v>106824</v>
      </c>
      <c r="C108" t="s">
        <v>525</v>
      </c>
      <c r="D108" t="s">
        <v>526</v>
      </c>
      <c r="E108" t="s">
        <v>18</v>
      </c>
      <c r="F108" t="s">
        <v>522</v>
      </c>
      <c r="G108" t="s">
        <v>523</v>
      </c>
      <c r="H108" t="s">
        <v>33</v>
      </c>
      <c r="I108" t="s">
        <v>97</v>
      </c>
      <c r="J108" t="s">
        <v>64</v>
      </c>
      <c r="K108" t="s">
        <v>65</v>
      </c>
      <c r="L108" t="s">
        <v>66</v>
      </c>
      <c r="M108" t="s">
        <v>527</v>
      </c>
      <c r="N108" t="s">
        <v>27</v>
      </c>
      <c r="O108" t="s">
        <v>452</v>
      </c>
      <c r="P108">
        <v>5.94</v>
      </c>
    </row>
    <row r="109" spans="1:16">
      <c r="A109" s="4">
        <v>2018</v>
      </c>
      <c r="B109" s="4">
        <v>153787</v>
      </c>
      <c r="C109" t="s">
        <v>528</v>
      </c>
      <c r="D109" t="s">
        <v>529</v>
      </c>
      <c r="E109" t="s">
        <v>18</v>
      </c>
      <c r="F109" t="s">
        <v>522</v>
      </c>
      <c r="G109" t="s">
        <v>523</v>
      </c>
      <c r="H109" t="s">
        <v>33</v>
      </c>
      <c r="I109" t="s">
        <v>97</v>
      </c>
      <c r="J109" t="s">
        <v>271</v>
      </c>
      <c r="K109" t="s">
        <v>165</v>
      </c>
      <c r="L109" t="s">
        <v>66</v>
      </c>
      <c r="M109" t="s">
        <v>530</v>
      </c>
      <c r="N109" t="s">
        <v>27</v>
      </c>
      <c r="O109" t="s">
        <v>228</v>
      </c>
      <c r="P109">
        <v>97.16</v>
      </c>
    </row>
    <row r="110" spans="1:16">
      <c r="A110" s="4">
        <v>2016</v>
      </c>
      <c r="B110" s="4">
        <v>130876</v>
      </c>
      <c r="C110" t="s">
        <v>321</v>
      </c>
      <c r="D110" t="s">
        <v>531</v>
      </c>
      <c r="E110" t="s">
        <v>144</v>
      </c>
      <c r="F110" t="s">
        <v>532</v>
      </c>
      <c r="G110" t="s">
        <v>533</v>
      </c>
      <c r="H110" t="s">
        <v>33</v>
      </c>
      <c r="I110" t="s">
        <v>97</v>
      </c>
      <c r="J110" t="s">
        <v>49</v>
      </c>
      <c r="K110" t="s">
        <v>50</v>
      </c>
      <c r="L110" t="s">
        <v>25</v>
      </c>
      <c r="M110" t="s">
        <v>534</v>
      </c>
      <c r="N110" t="s">
        <v>27</v>
      </c>
      <c r="O110" t="s">
        <v>58</v>
      </c>
      <c r="P110">
        <v>36.630000000000003</v>
      </c>
    </row>
    <row r="111" spans="1:16">
      <c r="A111" s="4">
        <v>2015</v>
      </c>
      <c r="B111" s="4">
        <v>148586</v>
      </c>
      <c r="C111" t="s">
        <v>535</v>
      </c>
      <c r="D111" t="s">
        <v>536</v>
      </c>
      <c r="E111" t="s">
        <v>18</v>
      </c>
      <c r="F111" t="s">
        <v>532</v>
      </c>
      <c r="G111" t="s">
        <v>533</v>
      </c>
      <c r="H111" t="s">
        <v>33</v>
      </c>
      <c r="I111" t="s">
        <v>97</v>
      </c>
      <c r="J111" t="s">
        <v>49</v>
      </c>
      <c r="K111" t="s">
        <v>50</v>
      </c>
      <c r="L111" t="s">
        <v>25</v>
      </c>
      <c r="M111" t="s">
        <v>537</v>
      </c>
      <c r="N111" t="s">
        <v>79</v>
      </c>
      <c r="O111" t="s">
        <v>138</v>
      </c>
      <c r="P111">
        <v>366.786</v>
      </c>
    </row>
    <row r="112" spans="1:16">
      <c r="A112" s="4">
        <v>2015</v>
      </c>
      <c r="B112" s="4">
        <v>158638</v>
      </c>
      <c r="C112" t="s">
        <v>538</v>
      </c>
      <c r="D112" t="s">
        <v>539</v>
      </c>
      <c r="E112" t="s">
        <v>18</v>
      </c>
      <c r="F112" t="s">
        <v>540</v>
      </c>
      <c r="G112" t="s">
        <v>541</v>
      </c>
      <c r="H112" t="s">
        <v>21</v>
      </c>
      <c r="I112" t="s">
        <v>63</v>
      </c>
      <c r="J112" t="s">
        <v>23</v>
      </c>
      <c r="K112" t="s">
        <v>24</v>
      </c>
      <c r="L112" t="s">
        <v>25</v>
      </c>
      <c r="M112" t="s">
        <v>542</v>
      </c>
      <c r="N112" t="s">
        <v>27</v>
      </c>
      <c r="O112" t="s">
        <v>101</v>
      </c>
      <c r="P112">
        <v>5.8920000000000003</v>
      </c>
    </row>
    <row r="113" spans="1:16">
      <c r="A113" s="4">
        <v>2018</v>
      </c>
      <c r="B113" s="4">
        <v>111577</v>
      </c>
      <c r="C113" t="s">
        <v>543</v>
      </c>
      <c r="D113" t="s">
        <v>544</v>
      </c>
      <c r="E113" t="s">
        <v>18</v>
      </c>
      <c r="F113" t="s">
        <v>545</v>
      </c>
      <c r="G113" t="s">
        <v>546</v>
      </c>
      <c r="H113" t="s">
        <v>33</v>
      </c>
      <c r="I113" t="s">
        <v>22</v>
      </c>
      <c r="J113" t="s">
        <v>547</v>
      </c>
      <c r="K113" t="s">
        <v>136</v>
      </c>
      <c r="L113" t="s">
        <v>66</v>
      </c>
      <c r="M113" t="s">
        <v>548</v>
      </c>
      <c r="N113" t="s">
        <v>27</v>
      </c>
      <c r="O113" t="s">
        <v>52</v>
      </c>
      <c r="P113">
        <v>307.77600000000001</v>
      </c>
    </row>
    <row r="114" spans="1:16">
      <c r="A114" s="4">
        <v>2015</v>
      </c>
      <c r="B114" s="4">
        <v>108609</v>
      </c>
      <c r="C114" t="s">
        <v>549</v>
      </c>
      <c r="D114" t="s">
        <v>550</v>
      </c>
      <c r="E114" t="s">
        <v>144</v>
      </c>
      <c r="F114" t="s">
        <v>545</v>
      </c>
      <c r="G114" t="s">
        <v>546</v>
      </c>
      <c r="H114" t="s">
        <v>33</v>
      </c>
      <c r="I114" t="s">
        <v>22</v>
      </c>
      <c r="J114" t="s">
        <v>259</v>
      </c>
      <c r="K114" t="s">
        <v>237</v>
      </c>
      <c r="L114" t="s">
        <v>25</v>
      </c>
      <c r="M114" t="s">
        <v>551</v>
      </c>
      <c r="N114" t="s">
        <v>79</v>
      </c>
      <c r="O114" t="s">
        <v>347</v>
      </c>
      <c r="P114">
        <v>1421.664</v>
      </c>
    </row>
    <row r="115" spans="1:16">
      <c r="A115" s="4">
        <v>2015</v>
      </c>
      <c r="B115" s="4">
        <v>149020</v>
      </c>
      <c r="C115" t="s">
        <v>552</v>
      </c>
      <c r="D115" t="s">
        <v>553</v>
      </c>
      <c r="E115" t="s">
        <v>18</v>
      </c>
      <c r="F115" t="s">
        <v>545</v>
      </c>
      <c r="G115" t="s">
        <v>546</v>
      </c>
      <c r="H115" t="s">
        <v>33</v>
      </c>
      <c r="I115" t="s">
        <v>22</v>
      </c>
      <c r="J115" t="s">
        <v>98</v>
      </c>
      <c r="K115" t="s">
        <v>56</v>
      </c>
      <c r="L115" t="s">
        <v>45</v>
      </c>
      <c r="M115" t="s">
        <v>554</v>
      </c>
      <c r="N115" t="s">
        <v>27</v>
      </c>
      <c r="O115" t="s">
        <v>111</v>
      </c>
      <c r="P115">
        <v>2.89</v>
      </c>
    </row>
    <row r="116" spans="1:16">
      <c r="A116" s="4">
        <v>2017</v>
      </c>
      <c r="B116" s="4">
        <v>138079</v>
      </c>
      <c r="C116" t="s">
        <v>555</v>
      </c>
      <c r="D116" t="s">
        <v>556</v>
      </c>
      <c r="E116" t="s">
        <v>18</v>
      </c>
      <c r="F116" t="s">
        <v>557</v>
      </c>
      <c r="G116" t="s">
        <v>558</v>
      </c>
      <c r="H116" t="s">
        <v>33</v>
      </c>
      <c r="I116" t="s">
        <v>22</v>
      </c>
      <c r="J116" t="s">
        <v>271</v>
      </c>
      <c r="K116" t="s">
        <v>165</v>
      </c>
      <c r="L116" t="s">
        <v>66</v>
      </c>
      <c r="M116" t="s">
        <v>559</v>
      </c>
      <c r="N116" t="s">
        <v>79</v>
      </c>
      <c r="O116" t="s">
        <v>80</v>
      </c>
      <c r="P116">
        <v>109.9</v>
      </c>
    </row>
    <row r="117" spans="1:16">
      <c r="A117" s="4">
        <v>2017</v>
      </c>
      <c r="B117" s="4">
        <v>123946</v>
      </c>
      <c r="C117" t="s">
        <v>560</v>
      </c>
      <c r="D117" t="s">
        <v>561</v>
      </c>
      <c r="E117" t="s">
        <v>18</v>
      </c>
      <c r="F117" t="s">
        <v>557</v>
      </c>
      <c r="G117" t="s">
        <v>558</v>
      </c>
      <c r="H117" t="s">
        <v>33</v>
      </c>
      <c r="I117" t="s">
        <v>22</v>
      </c>
      <c r="J117" t="s">
        <v>98</v>
      </c>
      <c r="K117" t="s">
        <v>56</v>
      </c>
      <c r="L117" t="s">
        <v>45</v>
      </c>
      <c r="M117" t="s">
        <v>562</v>
      </c>
      <c r="N117" t="s">
        <v>38</v>
      </c>
      <c r="O117" t="s">
        <v>68</v>
      </c>
      <c r="P117">
        <v>20.7</v>
      </c>
    </row>
    <row r="118" spans="1:16">
      <c r="A118" s="4">
        <v>2015</v>
      </c>
      <c r="B118" s="4">
        <v>106810</v>
      </c>
      <c r="C118" t="s">
        <v>563</v>
      </c>
      <c r="D118" t="s">
        <v>564</v>
      </c>
      <c r="E118" t="s">
        <v>18</v>
      </c>
      <c r="F118" t="s">
        <v>557</v>
      </c>
      <c r="G118" t="s">
        <v>558</v>
      </c>
      <c r="H118" t="s">
        <v>33</v>
      </c>
      <c r="I118" t="s">
        <v>22</v>
      </c>
      <c r="J118" t="s">
        <v>413</v>
      </c>
      <c r="K118" t="s">
        <v>196</v>
      </c>
      <c r="L118" t="s">
        <v>45</v>
      </c>
      <c r="M118" t="s">
        <v>565</v>
      </c>
      <c r="N118" t="s">
        <v>79</v>
      </c>
      <c r="O118" t="s">
        <v>80</v>
      </c>
      <c r="P118">
        <v>310.88</v>
      </c>
    </row>
    <row r="119" spans="1:16">
      <c r="A119" s="4">
        <v>2017</v>
      </c>
      <c r="B119" s="4">
        <v>134474</v>
      </c>
      <c r="C119" t="s">
        <v>566</v>
      </c>
      <c r="D119" t="s">
        <v>567</v>
      </c>
      <c r="E119" t="s">
        <v>144</v>
      </c>
      <c r="F119" t="s">
        <v>557</v>
      </c>
      <c r="G119" t="s">
        <v>558</v>
      </c>
      <c r="H119" t="s">
        <v>33</v>
      </c>
      <c r="I119" t="s">
        <v>22</v>
      </c>
      <c r="J119" t="s">
        <v>43</v>
      </c>
      <c r="K119" t="s">
        <v>196</v>
      </c>
      <c r="L119" t="s">
        <v>45</v>
      </c>
      <c r="M119" t="s">
        <v>568</v>
      </c>
      <c r="N119" t="s">
        <v>38</v>
      </c>
      <c r="O119" t="s">
        <v>68</v>
      </c>
      <c r="P119">
        <v>191.47200000000001</v>
      </c>
    </row>
    <row r="120" spans="1:16">
      <c r="A120" s="4">
        <v>2015</v>
      </c>
      <c r="B120" s="4">
        <v>110786</v>
      </c>
      <c r="C120" t="s">
        <v>569</v>
      </c>
      <c r="D120" t="s">
        <v>570</v>
      </c>
      <c r="E120" t="s">
        <v>18</v>
      </c>
      <c r="F120" t="s">
        <v>557</v>
      </c>
      <c r="G120" t="s">
        <v>558</v>
      </c>
      <c r="H120" t="s">
        <v>33</v>
      </c>
      <c r="I120" t="s">
        <v>22</v>
      </c>
      <c r="J120" t="s">
        <v>226</v>
      </c>
      <c r="K120" t="s">
        <v>65</v>
      </c>
      <c r="L120" t="s">
        <v>66</v>
      </c>
      <c r="M120" t="s">
        <v>571</v>
      </c>
      <c r="N120" t="s">
        <v>79</v>
      </c>
      <c r="O120" t="s">
        <v>80</v>
      </c>
      <c r="P120">
        <v>24.9</v>
      </c>
    </row>
    <row r="121" spans="1:16">
      <c r="A121" s="4">
        <v>2017</v>
      </c>
      <c r="B121" s="4">
        <v>160745</v>
      </c>
      <c r="C121" t="s">
        <v>572</v>
      </c>
      <c r="D121" t="s">
        <v>573</v>
      </c>
      <c r="E121" t="s">
        <v>144</v>
      </c>
      <c r="F121" t="s">
        <v>574</v>
      </c>
      <c r="G121" t="s">
        <v>575</v>
      </c>
      <c r="H121" t="s">
        <v>33</v>
      </c>
      <c r="I121" t="s">
        <v>22</v>
      </c>
      <c r="J121" t="s">
        <v>576</v>
      </c>
      <c r="K121" t="s">
        <v>165</v>
      </c>
      <c r="L121" t="s">
        <v>66</v>
      </c>
      <c r="M121" t="s">
        <v>577</v>
      </c>
      <c r="N121" t="s">
        <v>79</v>
      </c>
      <c r="O121" t="s">
        <v>80</v>
      </c>
      <c r="P121">
        <v>14.8</v>
      </c>
    </row>
    <row r="122" spans="1:16">
      <c r="A122" s="4">
        <v>2018</v>
      </c>
      <c r="B122" s="4">
        <v>141425</v>
      </c>
      <c r="C122" t="s">
        <v>578</v>
      </c>
      <c r="D122" t="s">
        <v>579</v>
      </c>
      <c r="E122" t="s">
        <v>144</v>
      </c>
      <c r="F122" t="s">
        <v>574</v>
      </c>
      <c r="G122" t="s">
        <v>575</v>
      </c>
      <c r="H122" t="s">
        <v>33</v>
      </c>
      <c r="I122" t="s">
        <v>22</v>
      </c>
      <c r="J122" t="s">
        <v>473</v>
      </c>
      <c r="K122" t="s">
        <v>237</v>
      </c>
      <c r="L122" t="s">
        <v>25</v>
      </c>
      <c r="M122" t="s">
        <v>580</v>
      </c>
      <c r="N122" t="s">
        <v>27</v>
      </c>
      <c r="O122" t="s">
        <v>74</v>
      </c>
      <c r="P122">
        <v>384.59199999999998</v>
      </c>
    </row>
    <row r="123" spans="1:16">
      <c r="A123" s="4">
        <v>2015</v>
      </c>
      <c r="B123" s="4">
        <v>109218</v>
      </c>
      <c r="C123" t="s">
        <v>581</v>
      </c>
      <c r="D123" t="s">
        <v>582</v>
      </c>
      <c r="E123" t="s">
        <v>144</v>
      </c>
      <c r="F123" t="s">
        <v>574</v>
      </c>
      <c r="G123" t="s">
        <v>575</v>
      </c>
      <c r="H123" t="s">
        <v>33</v>
      </c>
      <c r="I123" t="s">
        <v>22</v>
      </c>
      <c r="J123" t="s">
        <v>64</v>
      </c>
      <c r="K123" t="s">
        <v>65</v>
      </c>
      <c r="L123" t="s">
        <v>66</v>
      </c>
      <c r="M123" t="s">
        <v>583</v>
      </c>
      <c r="N123" t="s">
        <v>27</v>
      </c>
      <c r="O123" t="s">
        <v>28</v>
      </c>
      <c r="P123">
        <v>32.4</v>
      </c>
    </row>
    <row r="124" spans="1:16">
      <c r="A124" s="4">
        <v>2016</v>
      </c>
      <c r="B124" s="4">
        <v>129112</v>
      </c>
      <c r="C124" t="s">
        <v>584</v>
      </c>
      <c r="D124" t="s">
        <v>585</v>
      </c>
      <c r="E124" t="s">
        <v>42</v>
      </c>
      <c r="F124" t="s">
        <v>586</v>
      </c>
      <c r="G124" t="s">
        <v>587</v>
      </c>
      <c r="H124" t="s">
        <v>33</v>
      </c>
      <c r="I124" t="s">
        <v>97</v>
      </c>
      <c r="J124" t="s">
        <v>588</v>
      </c>
      <c r="K124" t="s">
        <v>35</v>
      </c>
      <c r="L124" t="s">
        <v>36</v>
      </c>
      <c r="M124" t="s">
        <v>589</v>
      </c>
      <c r="N124" t="s">
        <v>38</v>
      </c>
      <c r="O124" t="s">
        <v>68</v>
      </c>
      <c r="P124">
        <v>21.48</v>
      </c>
    </row>
    <row r="125" spans="1:16">
      <c r="A125" s="4">
        <v>2018</v>
      </c>
      <c r="B125" s="4">
        <v>143798</v>
      </c>
      <c r="C125" t="s">
        <v>299</v>
      </c>
      <c r="D125" t="s">
        <v>225</v>
      </c>
      <c r="E125" t="s">
        <v>42</v>
      </c>
      <c r="F125" t="s">
        <v>586</v>
      </c>
      <c r="G125" t="s">
        <v>587</v>
      </c>
      <c r="H125" t="s">
        <v>33</v>
      </c>
      <c r="I125" t="s">
        <v>97</v>
      </c>
      <c r="J125" t="s">
        <v>23</v>
      </c>
      <c r="K125" t="s">
        <v>24</v>
      </c>
      <c r="L125" t="s">
        <v>25</v>
      </c>
      <c r="M125" t="s">
        <v>590</v>
      </c>
      <c r="N125" t="s">
        <v>27</v>
      </c>
      <c r="O125" t="s">
        <v>52</v>
      </c>
      <c r="P125">
        <v>10.368</v>
      </c>
    </row>
    <row r="126" spans="1:16">
      <c r="A126" s="4">
        <v>2018</v>
      </c>
      <c r="B126" s="4">
        <v>155929</v>
      </c>
      <c r="C126" t="s">
        <v>591</v>
      </c>
      <c r="D126" t="s">
        <v>592</v>
      </c>
      <c r="E126" t="s">
        <v>18</v>
      </c>
      <c r="F126" t="s">
        <v>593</v>
      </c>
      <c r="G126" t="s">
        <v>594</v>
      </c>
      <c r="H126" t="s">
        <v>33</v>
      </c>
      <c r="I126" t="s">
        <v>97</v>
      </c>
      <c r="J126" t="s">
        <v>595</v>
      </c>
      <c r="K126" t="s">
        <v>136</v>
      </c>
      <c r="L126" t="s">
        <v>66</v>
      </c>
      <c r="M126" t="s">
        <v>596</v>
      </c>
      <c r="N126" t="s">
        <v>27</v>
      </c>
      <c r="O126" t="s">
        <v>52</v>
      </c>
      <c r="P126">
        <v>6.3680000000000003</v>
      </c>
    </row>
    <row r="127" spans="1:16">
      <c r="A127" s="4">
        <v>2018</v>
      </c>
      <c r="B127" s="4">
        <v>116855</v>
      </c>
      <c r="C127" t="s">
        <v>597</v>
      </c>
      <c r="D127" t="s">
        <v>375</v>
      </c>
      <c r="E127" t="s">
        <v>18</v>
      </c>
      <c r="F127" t="s">
        <v>593</v>
      </c>
      <c r="G127" t="s">
        <v>594</v>
      </c>
      <c r="H127" t="s">
        <v>33</v>
      </c>
      <c r="I127" t="s">
        <v>97</v>
      </c>
      <c r="J127" t="s">
        <v>598</v>
      </c>
      <c r="K127" t="s">
        <v>56</v>
      </c>
      <c r="L127" t="s">
        <v>45</v>
      </c>
      <c r="M127" t="s">
        <v>599</v>
      </c>
      <c r="N127" t="s">
        <v>79</v>
      </c>
      <c r="O127" t="s">
        <v>138</v>
      </c>
      <c r="P127">
        <v>504.9</v>
      </c>
    </row>
    <row r="128" spans="1:16">
      <c r="A128" s="4">
        <v>2016</v>
      </c>
      <c r="B128" s="4">
        <v>158918</v>
      </c>
      <c r="C128" t="s">
        <v>600</v>
      </c>
      <c r="D128" t="s">
        <v>601</v>
      </c>
      <c r="E128" t="s">
        <v>144</v>
      </c>
      <c r="F128" t="s">
        <v>593</v>
      </c>
      <c r="G128" t="s">
        <v>594</v>
      </c>
      <c r="H128" t="s">
        <v>33</v>
      </c>
      <c r="I128" t="s">
        <v>97</v>
      </c>
      <c r="J128" t="s">
        <v>64</v>
      </c>
      <c r="K128" t="s">
        <v>65</v>
      </c>
      <c r="L128" t="s">
        <v>66</v>
      </c>
      <c r="M128" t="s">
        <v>602</v>
      </c>
      <c r="N128" t="s">
        <v>27</v>
      </c>
      <c r="O128" t="s">
        <v>52</v>
      </c>
      <c r="P128">
        <v>17.12</v>
      </c>
    </row>
    <row r="129" spans="1:16">
      <c r="A129" s="4">
        <v>2016</v>
      </c>
      <c r="B129" s="4">
        <v>168634</v>
      </c>
      <c r="C129" t="s">
        <v>603</v>
      </c>
      <c r="D129" t="s">
        <v>604</v>
      </c>
      <c r="E129" t="s">
        <v>18</v>
      </c>
      <c r="F129" t="s">
        <v>605</v>
      </c>
      <c r="G129" t="s">
        <v>606</v>
      </c>
      <c r="H129" t="s">
        <v>33</v>
      </c>
      <c r="I129" t="s">
        <v>97</v>
      </c>
      <c r="J129" t="s">
        <v>226</v>
      </c>
      <c r="K129" t="s">
        <v>65</v>
      </c>
      <c r="L129" t="s">
        <v>66</v>
      </c>
      <c r="M129" t="s">
        <v>607</v>
      </c>
      <c r="N129" t="s">
        <v>27</v>
      </c>
      <c r="O129" t="s">
        <v>228</v>
      </c>
      <c r="P129">
        <v>7.78</v>
      </c>
    </row>
    <row r="130" spans="1:16">
      <c r="A130" s="4">
        <v>2018</v>
      </c>
      <c r="B130" s="4">
        <v>167871</v>
      </c>
      <c r="C130" t="s">
        <v>608</v>
      </c>
      <c r="D130" t="s">
        <v>125</v>
      </c>
      <c r="E130" t="s">
        <v>18</v>
      </c>
      <c r="F130" t="s">
        <v>605</v>
      </c>
      <c r="G130" t="s">
        <v>606</v>
      </c>
      <c r="H130" t="s">
        <v>33</v>
      </c>
      <c r="I130" t="s">
        <v>97</v>
      </c>
      <c r="J130" t="s">
        <v>609</v>
      </c>
      <c r="K130" t="s">
        <v>196</v>
      </c>
      <c r="L130" t="s">
        <v>45</v>
      </c>
      <c r="M130" t="s">
        <v>610</v>
      </c>
      <c r="N130" t="s">
        <v>27</v>
      </c>
      <c r="O130" t="s">
        <v>52</v>
      </c>
      <c r="P130">
        <v>44.384</v>
      </c>
    </row>
    <row r="131" spans="1:16">
      <c r="A131" s="4">
        <v>2018</v>
      </c>
      <c r="B131" s="4">
        <v>139969</v>
      </c>
      <c r="C131" t="s">
        <v>124</v>
      </c>
      <c r="D131" t="s">
        <v>81</v>
      </c>
      <c r="E131" t="s">
        <v>18</v>
      </c>
      <c r="F131" t="s">
        <v>605</v>
      </c>
      <c r="G131" t="s">
        <v>606</v>
      </c>
      <c r="H131" t="s">
        <v>33</v>
      </c>
      <c r="I131" t="s">
        <v>97</v>
      </c>
      <c r="J131" t="s">
        <v>611</v>
      </c>
      <c r="K131" t="s">
        <v>35</v>
      </c>
      <c r="L131" t="s">
        <v>36</v>
      </c>
      <c r="M131" t="s">
        <v>612</v>
      </c>
      <c r="N131" t="s">
        <v>79</v>
      </c>
      <c r="O131" t="s">
        <v>138</v>
      </c>
      <c r="P131">
        <v>233.05799999999999</v>
      </c>
    </row>
    <row r="132" spans="1:16">
      <c r="A132" s="4">
        <v>2016</v>
      </c>
      <c r="B132" s="4">
        <v>114300</v>
      </c>
      <c r="C132" t="s">
        <v>613</v>
      </c>
      <c r="D132" t="s">
        <v>614</v>
      </c>
      <c r="E132" t="s">
        <v>18</v>
      </c>
      <c r="F132" t="s">
        <v>615</v>
      </c>
      <c r="G132" t="s">
        <v>616</v>
      </c>
      <c r="H132" t="s">
        <v>21</v>
      </c>
      <c r="I132" t="s">
        <v>97</v>
      </c>
      <c r="J132" t="s">
        <v>617</v>
      </c>
      <c r="K132" t="s">
        <v>126</v>
      </c>
      <c r="L132" t="s">
        <v>45</v>
      </c>
      <c r="M132" t="s">
        <v>618</v>
      </c>
      <c r="N132" t="s">
        <v>38</v>
      </c>
      <c r="O132" t="s">
        <v>118</v>
      </c>
      <c r="P132">
        <v>83.72</v>
      </c>
    </row>
    <row r="133" spans="1:16">
      <c r="A133" s="4">
        <v>2015</v>
      </c>
      <c r="B133" s="4">
        <v>119137</v>
      </c>
      <c r="C133" t="s">
        <v>619</v>
      </c>
      <c r="D133" t="s">
        <v>47</v>
      </c>
      <c r="E133" t="s">
        <v>18</v>
      </c>
      <c r="F133" t="s">
        <v>620</v>
      </c>
      <c r="G133" t="s">
        <v>621</v>
      </c>
      <c r="H133" t="s">
        <v>33</v>
      </c>
      <c r="I133" t="s">
        <v>97</v>
      </c>
      <c r="J133" t="s">
        <v>135</v>
      </c>
      <c r="K133" t="s">
        <v>136</v>
      </c>
      <c r="L133" t="s">
        <v>66</v>
      </c>
      <c r="M133" t="s">
        <v>110</v>
      </c>
      <c r="N133" t="s">
        <v>27</v>
      </c>
      <c r="O133" t="s">
        <v>101</v>
      </c>
      <c r="P133">
        <v>8.16</v>
      </c>
    </row>
    <row r="134" spans="1:16">
      <c r="A134" s="4">
        <v>2016</v>
      </c>
      <c r="B134" s="4">
        <v>148376</v>
      </c>
      <c r="C134" t="s">
        <v>622</v>
      </c>
      <c r="D134" t="s">
        <v>623</v>
      </c>
      <c r="E134" t="s">
        <v>18</v>
      </c>
      <c r="F134" t="s">
        <v>620</v>
      </c>
      <c r="G134" t="s">
        <v>621</v>
      </c>
      <c r="H134" t="s">
        <v>33</v>
      </c>
      <c r="I134" t="s">
        <v>97</v>
      </c>
      <c r="J134" t="s">
        <v>64</v>
      </c>
      <c r="K134" t="s">
        <v>65</v>
      </c>
      <c r="L134" t="s">
        <v>66</v>
      </c>
      <c r="M134" t="s">
        <v>624</v>
      </c>
      <c r="N134" t="s">
        <v>27</v>
      </c>
      <c r="O134" t="s">
        <v>228</v>
      </c>
      <c r="P134">
        <v>106.96</v>
      </c>
    </row>
    <row r="135" spans="1:16">
      <c r="A135" s="4">
        <v>2018</v>
      </c>
      <c r="B135" s="4">
        <v>161557</v>
      </c>
      <c r="C135" t="s">
        <v>625</v>
      </c>
      <c r="D135" t="s">
        <v>626</v>
      </c>
      <c r="E135" t="s">
        <v>18</v>
      </c>
      <c r="F135" t="s">
        <v>620</v>
      </c>
      <c r="G135" t="s">
        <v>621</v>
      </c>
      <c r="H135" t="s">
        <v>33</v>
      </c>
      <c r="I135" t="s">
        <v>97</v>
      </c>
      <c r="J135" t="s">
        <v>627</v>
      </c>
      <c r="K135" t="s">
        <v>35</v>
      </c>
      <c r="L135" t="s">
        <v>36</v>
      </c>
      <c r="M135" t="s">
        <v>628</v>
      </c>
      <c r="N135" t="s">
        <v>79</v>
      </c>
      <c r="O135" t="s">
        <v>80</v>
      </c>
      <c r="P135">
        <v>108.4</v>
      </c>
    </row>
    <row r="136" spans="1:16">
      <c r="A136" s="4">
        <v>2016</v>
      </c>
      <c r="B136" s="4">
        <v>130785</v>
      </c>
      <c r="C136" t="s">
        <v>407</v>
      </c>
      <c r="D136" t="s">
        <v>629</v>
      </c>
      <c r="E136" t="s">
        <v>18</v>
      </c>
      <c r="F136" t="s">
        <v>620</v>
      </c>
      <c r="G136" t="s">
        <v>621</v>
      </c>
      <c r="H136" t="s">
        <v>33</v>
      </c>
      <c r="I136" t="s">
        <v>97</v>
      </c>
      <c r="J136" t="s">
        <v>630</v>
      </c>
      <c r="K136" t="s">
        <v>65</v>
      </c>
      <c r="L136" t="s">
        <v>66</v>
      </c>
      <c r="M136" t="s">
        <v>631</v>
      </c>
      <c r="N136" t="s">
        <v>79</v>
      </c>
      <c r="O136" t="s">
        <v>286</v>
      </c>
      <c r="P136">
        <v>411.33199999999999</v>
      </c>
    </row>
    <row r="137" spans="1:16">
      <c r="A137" s="4">
        <v>2015</v>
      </c>
      <c r="B137" s="4">
        <v>124737</v>
      </c>
      <c r="C137" t="s">
        <v>632</v>
      </c>
      <c r="D137" t="s">
        <v>633</v>
      </c>
      <c r="E137" t="s">
        <v>18</v>
      </c>
      <c r="F137" t="s">
        <v>634</v>
      </c>
      <c r="G137" t="s">
        <v>635</v>
      </c>
      <c r="H137" t="s">
        <v>33</v>
      </c>
      <c r="I137" t="s">
        <v>97</v>
      </c>
      <c r="J137" t="s">
        <v>636</v>
      </c>
      <c r="K137" t="s">
        <v>222</v>
      </c>
      <c r="L137" t="s">
        <v>66</v>
      </c>
      <c r="M137" t="s">
        <v>637</v>
      </c>
      <c r="N137" t="s">
        <v>27</v>
      </c>
      <c r="O137" t="s">
        <v>52</v>
      </c>
      <c r="P137">
        <v>15.552</v>
      </c>
    </row>
    <row r="138" spans="1:16">
      <c r="A138" s="4">
        <v>2018</v>
      </c>
      <c r="B138" s="4">
        <v>146136</v>
      </c>
      <c r="C138" t="s">
        <v>625</v>
      </c>
      <c r="D138" t="s">
        <v>475</v>
      </c>
      <c r="E138" t="s">
        <v>18</v>
      </c>
      <c r="F138" t="s">
        <v>634</v>
      </c>
      <c r="G138" t="s">
        <v>635</v>
      </c>
      <c r="H138" t="s">
        <v>33</v>
      </c>
      <c r="I138" t="s">
        <v>97</v>
      </c>
      <c r="J138" t="s">
        <v>638</v>
      </c>
      <c r="K138" t="s">
        <v>196</v>
      </c>
      <c r="L138" t="s">
        <v>45</v>
      </c>
      <c r="M138" t="s">
        <v>639</v>
      </c>
      <c r="N138" t="s">
        <v>27</v>
      </c>
      <c r="O138" t="s">
        <v>501</v>
      </c>
      <c r="P138">
        <v>24.448</v>
      </c>
    </row>
    <row r="139" spans="1:16">
      <c r="A139" s="4">
        <v>2018</v>
      </c>
      <c r="B139" s="4">
        <v>132059</v>
      </c>
      <c r="C139" t="s">
        <v>640</v>
      </c>
      <c r="D139" t="s">
        <v>641</v>
      </c>
      <c r="E139" t="s">
        <v>18</v>
      </c>
      <c r="F139" t="s">
        <v>634</v>
      </c>
      <c r="G139" t="s">
        <v>635</v>
      </c>
      <c r="H139" t="s">
        <v>33</v>
      </c>
      <c r="I139" t="s">
        <v>97</v>
      </c>
      <c r="J139" t="s">
        <v>642</v>
      </c>
      <c r="K139" t="s">
        <v>222</v>
      </c>
      <c r="L139" t="s">
        <v>66</v>
      </c>
      <c r="M139" t="s">
        <v>643</v>
      </c>
      <c r="N139" t="s">
        <v>79</v>
      </c>
      <c r="O139" t="s">
        <v>286</v>
      </c>
      <c r="P139">
        <v>180.58799999999999</v>
      </c>
    </row>
    <row r="140" spans="1:16">
      <c r="A140" s="4">
        <v>2017</v>
      </c>
      <c r="B140" s="4">
        <v>136812</v>
      </c>
      <c r="C140" t="s">
        <v>644</v>
      </c>
      <c r="D140" t="s">
        <v>645</v>
      </c>
      <c r="E140" t="s">
        <v>18</v>
      </c>
      <c r="F140" t="s">
        <v>646</v>
      </c>
      <c r="G140" t="s">
        <v>647</v>
      </c>
      <c r="H140" t="s">
        <v>21</v>
      </c>
      <c r="I140" t="s">
        <v>63</v>
      </c>
      <c r="J140" t="s">
        <v>648</v>
      </c>
      <c r="K140" t="s">
        <v>152</v>
      </c>
      <c r="L140" t="s">
        <v>36</v>
      </c>
      <c r="M140" t="s">
        <v>649</v>
      </c>
      <c r="N140" t="s">
        <v>27</v>
      </c>
      <c r="O140" t="s">
        <v>58</v>
      </c>
      <c r="P140">
        <v>1117.92</v>
      </c>
    </row>
    <row r="141" spans="1:16">
      <c r="A141" s="4">
        <v>2015</v>
      </c>
      <c r="B141" s="4">
        <v>155852</v>
      </c>
      <c r="C141" t="s">
        <v>512</v>
      </c>
      <c r="D141" t="s">
        <v>650</v>
      </c>
      <c r="E141" t="s">
        <v>144</v>
      </c>
      <c r="F141" t="s">
        <v>651</v>
      </c>
      <c r="G141" t="s">
        <v>652</v>
      </c>
      <c r="H141" t="s">
        <v>21</v>
      </c>
      <c r="I141" t="s">
        <v>97</v>
      </c>
      <c r="J141" t="s">
        <v>653</v>
      </c>
      <c r="K141" t="s">
        <v>44</v>
      </c>
      <c r="L141" t="s">
        <v>45</v>
      </c>
      <c r="M141" t="s">
        <v>654</v>
      </c>
      <c r="N141" t="s">
        <v>27</v>
      </c>
      <c r="O141" t="s">
        <v>28</v>
      </c>
      <c r="P141">
        <v>19.456</v>
      </c>
    </row>
    <row r="142" spans="1:16">
      <c r="A142" s="4">
        <v>2015</v>
      </c>
      <c r="B142" s="4">
        <v>131800</v>
      </c>
      <c r="C142" t="s">
        <v>365</v>
      </c>
      <c r="D142" t="s">
        <v>655</v>
      </c>
      <c r="E142" t="s">
        <v>18</v>
      </c>
      <c r="F142" t="s">
        <v>656</v>
      </c>
      <c r="G142" t="s">
        <v>657</v>
      </c>
      <c r="H142" t="s">
        <v>33</v>
      </c>
      <c r="I142" t="s">
        <v>97</v>
      </c>
      <c r="J142" t="s">
        <v>49</v>
      </c>
      <c r="K142" t="s">
        <v>50</v>
      </c>
      <c r="L142" t="s">
        <v>25</v>
      </c>
      <c r="M142" t="s">
        <v>658</v>
      </c>
      <c r="N142" t="s">
        <v>27</v>
      </c>
      <c r="O142" t="s">
        <v>228</v>
      </c>
      <c r="P142">
        <v>122.94</v>
      </c>
    </row>
    <row r="143" spans="1:16">
      <c r="A143" s="4">
        <v>2018</v>
      </c>
      <c r="B143" s="4">
        <v>123246</v>
      </c>
      <c r="C143" t="s">
        <v>399</v>
      </c>
      <c r="D143" t="s">
        <v>659</v>
      </c>
      <c r="E143" t="s">
        <v>144</v>
      </c>
      <c r="F143" t="s">
        <v>656</v>
      </c>
      <c r="G143" t="s">
        <v>657</v>
      </c>
      <c r="H143" t="s">
        <v>33</v>
      </c>
      <c r="I143" t="s">
        <v>97</v>
      </c>
      <c r="J143" t="s">
        <v>630</v>
      </c>
      <c r="K143" t="s">
        <v>65</v>
      </c>
      <c r="L143" t="s">
        <v>66</v>
      </c>
      <c r="M143" t="s">
        <v>660</v>
      </c>
      <c r="N143" t="s">
        <v>27</v>
      </c>
      <c r="O143" t="s">
        <v>28</v>
      </c>
      <c r="P143">
        <v>10.64</v>
      </c>
    </row>
    <row r="144" spans="1:16">
      <c r="A144" s="4">
        <v>2015</v>
      </c>
      <c r="B144" s="4">
        <v>113362</v>
      </c>
      <c r="C144" t="s">
        <v>661</v>
      </c>
      <c r="D144" t="s">
        <v>662</v>
      </c>
      <c r="E144" t="s">
        <v>18</v>
      </c>
      <c r="F144" t="s">
        <v>656</v>
      </c>
      <c r="G144" t="s">
        <v>657</v>
      </c>
      <c r="H144" t="s">
        <v>33</v>
      </c>
      <c r="I144" t="s">
        <v>97</v>
      </c>
      <c r="J144" t="s">
        <v>663</v>
      </c>
      <c r="K144" t="s">
        <v>50</v>
      </c>
      <c r="L144" t="s">
        <v>25</v>
      </c>
      <c r="M144" t="s">
        <v>664</v>
      </c>
      <c r="N144" t="s">
        <v>27</v>
      </c>
      <c r="O144" t="s">
        <v>58</v>
      </c>
      <c r="P144">
        <v>449.15</v>
      </c>
    </row>
    <row r="145" spans="1:16">
      <c r="A145" s="4">
        <v>2018</v>
      </c>
      <c r="B145" s="4">
        <v>120908</v>
      </c>
      <c r="C145" t="s">
        <v>665</v>
      </c>
      <c r="D145" t="s">
        <v>666</v>
      </c>
      <c r="E145" t="s">
        <v>42</v>
      </c>
      <c r="F145" t="s">
        <v>667</v>
      </c>
      <c r="G145" t="s">
        <v>668</v>
      </c>
      <c r="H145" t="s">
        <v>33</v>
      </c>
      <c r="I145" t="s">
        <v>22</v>
      </c>
      <c r="J145" t="s">
        <v>23</v>
      </c>
      <c r="K145" t="s">
        <v>24</v>
      </c>
      <c r="L145" t="s">
        <v>25</v>
      </c>
      <c r="M145" t="s">
        <v>669</v>
      </c>
      <c r="N145" t="s">
        <v>27</v>
      </c>
      <c r="O145" t="s">
        <v>111</v>
      </c>
      <c r="P145">
        <v>20.664000000000001</v>
      </c>
    </row>
    <row r="146" spans="1:16">
      <c r="A146" s="4">
        <v>2016</v>
      </c>
      <c r="B146" s="4">
        <v>116750</v>
      </c>
      <c r="C146" t="s">
        <v>670</v>
      </c>
      <c r="D146" t="s">
        <v>671</v>
      </c>
      <c r="E146" t="s">
        <v>144</v>
      </c>
      <c r="F146" t="s">
        <v>667</v>
      </c>
      <c r="G146" t="s">
        <v>668</v>
      </c>
      <c r="H146" t="s">
        <v>33</v>
      </c>
      <c r="I146" t="s">
        <v>22</v>
      </c>
      <c r="J146" t="s">
        <v>672</v>
      </c>
      <c r="K146" t="s">
        <v>44</v>
      </c>
      <c r="L146" t="s">
        <v>45</v>
      </c>
      <c r="M146" t="s">
        <v>673</v>
      </c>
      <c r="N146" t="s">
        <v>79</v>
      </c>
      <c r="O146" t="s">
        <v>80</v>
      </c>
      <c r="P146">
        <v>4.9279999999999999</v>
      </c>
    </row>
    <row r="147" spans="1:16">
      <c r="A147" s="4">
        <v>2017</v>
      </c>
      <c r="B147" s="4">
        <v>103947</v>
      </c>
      <c r="C147" t="s">
        <v>674</v>
      </c>
      <c r="D147" t="s">
        <v>675</v>
      </c>
      <c r="E147" t="s">
        <v>18</v>
      </c>
      <c r="F147" t="s">
        <v>676</v>
      </c>
      <c r="G147" t="s">
        <v>677</v>
      </c>
      <c r="H147" t="s">
        <v>33</v>
      </c>
      <c r="I147" t="s">
        <v>22</v>
      </c>
      <c r="J147" t="s">
        <v>678</v>
      </c>
      <c r="K147" t="s">
        <v>136</v>
      </c>
      <c r="L147" t="s">
        <v>66</v>
      </c>
      <c r="M147" t="s">
        <v>679</v>
      </c>
      <c r="N147" t="s">
        <v>27</v>
      </c>
      <c r="O147" t="s">
        <v>452</v>
      </c>
      <c r="P147">
        <v>31.56</v>
      </c>
    </row>
    <row r="148" spans="1:16">
      <c r="A148" s="4">
        <v>2018</v>
      </c>
      <c r="B148" s="4">
        <v>112928</v>
      </c>
      <c r="C148" t="s">
        <v>680</v>
      </c>
      <c r="D148" t="s">
        <v>112</v>
      </c>
      <c r="E148" t="s">
        <v>144</v>
      </c>
      <c r="F148" t="s">
        <v>676</v>
      </c>
      <c r="G148" t="s">
        <v>677</v>
      </c>
      <c r="H148" t="s">
        <v>33</v>
      </c>
      <c r="I148" t="s">
        <v>22</v>
      </c>
      <c r="J148" t="s">
        <v>681</v>
      </c>
      <c r="K148" t="s">
        <v>237</v>
      </c>
      <c r="L148" t="s">
        <v>25</v>
      </c>
      <c r="M148" t="s">
        <v>682</v>
      </c>
      <c r="N148" t="s">
        <v>27</v>
      </c>
      <c r="O148" t="s">
        <v>228</v>
      </c>
      <c r="P148">
        <v>17.48</v>
      </c>
    </row>
    <row r="149" spans="1:16">
      <c r="A149" s="4">
        <v>2018</v>
      </c>
      <c r="B149" s="4">
        <v>118136</v>
      </c>
      <c r="C149" t="s">
        <v>683</v>
      </c>
      <c r="D149" t="s">
        <v>212</v>
      </c>
      <c r="E149" t="s">
        <v>42</v>
      </c>
      <c r="F149" t="s">
        <v>676</v>
      </c>
      <c r="G149" t="s">
        <v>677</v>
      </c>
      <c r="H149" t="s">
        <v>33</v>
      </c>
      <c r="I149" t="s">
        <v>22</v>
      </c>
      <c r="J149" t="s">
        <v>684</v>
      </c>
      <c r="K149" t="s">
        <v>65</v>
      </c>
      <c r="L149" t="s">
        <v>66</v>
      </c>
      <c r="M149" t="s">
        <v>685</v>
      </c>
      <c r="N149" t="s">
        <v>27</v>
      </c>
      <c r="O149" t="s">
        <v>52</v>
      </c>
      <c r="P149">
        <v>8.82</v>
      </c>
    </row>
    <row r="150" spans="1:16">
      <c r="A150" s="4">
        <v>2017</v>
      </c>
      <c r="B150" s="4">
        <v>137729</v>
      </c>
      <c r="C150" t="s">
        <v>686</v>
      </c>
      <c r="D150" t="s">
        <v>687</v>
      </c>
      <c r="E150" t="s">
        <v>18</v>
      </c>
      <c r="F150" t="s">
        <v>688</v>
      </c>
      <c r="G150" t="s">
        <v>689</v>
      </c>
      <c r="H150" t="s">
        <v>21</v>
      </c>
      <c r="I150" t="s">
        <v>63</v>
      </c>
      <c r="J150" t="s">
        <v>64</v>
      </c>
      <c r="K150" t="s">
        <v>65</v>
      </c>
      <c r="L150" t="s">
        <v>66</v>
      </c>
      <c r="M150" t="s">
        <v>690</v>
      </c>
      <c r="N150" t="s">
        <v>27</v>
      </c>
      <c r="O150" t="s">
        <v>58</v>
      </c>
      <c r="P150">
        <v>5.98</v>
      </c>
    </row>
    <row r="151" spans="1:16">
      <c r="A151" s="4">
        <v>2017</v>
      </c>
      <c r="B151" s="4">
        <v>156265</v>
      </c>
      <c r="C151" t="s">
        <v>691</v>
      </c>
      <c r="D151" t="s">
        <v>692</v>
      </c>
      <c r="E151" t="s">
        <v>144</v>
      </c>
      <c r="F151" t="s">
        <v>693</v>
      </c>
      <c r="G151" t="s">
        <v>694</v>
      </c>
      <c r="H151" t="s">
        <v>33</v>
      </c>
      <c r="I151" t="s">
        <v>22</v>
      </c>
      <c r="J151" t="s">
        <v>64</v>
      </c>
      <c r="K151" t="s">
        <v>65</v>
      </c>
      <c r="L151" t="s">
        <v>66</v>
      </c>
      <c r="M151" t="s">
        <v>695</v>
      </c>
      <c r="N151" t="s">
        <v>79</v>
      </c>
      <c r="O151" t="s">
        <v>347</v>
      </c>
      <c r="P151">
        <v>136.464</v>
      </c>
    </row>
    <row r="152" spans="1:16">
      <c r="A152" s="4">
        <v>2016</v>
      </c>
      <c r="B152" s="4">
        <v>145758</v>
      </c>
      <c r="C152" t="s">
        <v>393</v>
      </c>
      <c r="D152" t="s">
        <v>393</v>
      </c>
      <c r="E152" t="s">
        <v>132</v>
      </c>
      <c r="F152" t="s">
        <v>693</v>
      </c>
      <c r="G152" t="s">
        <v>694</v>
      </c>
      <c r="H152" t="s">
        <v>33</v>
      </c>
      <c r="I152" t="s">
        <v>22</v>
      </c>
      <c r="J152" t="s">
        <v>49</v>
      </c>
      <c r="K152" t="s">
        <v>50</v>
      </c>
      <c r="L152" t="s">
        <v>25</v>
      </c>
      <c r="M152" t="s">
        <v>696</v>
      </c>
      <c r="N152" t="s">
        <v>38</v>
      </c>
      <c r="O152" t="s">
        <v>39</v>
      </c>
      <c r="P152">
        <v>1035.8</v>
      </c>
    </row>
    <row r="153" spans="1:16">
      <c r="A153" s="4">
        <v>2018</v>
      </c>
      <c r="B153" s="4">
        <v>133333</v>
      </c>
      <c r="C153" t="s">
        <v>697</v>
      </c>
      <c r="D153" t="s">
        <v>698</v>
      </c>
      <c r="E153" t="s">
        <v>18</v>
      </c>
      <c r="F153" t="s">
        <v>693</v>
      </c>
      <c r="G153" t="s">
        <v>694</v>
      </c>
      <c r="H153" t="s">
        <v>33</v>
      </c>
      <c r="I153" t="s">
        <v>22</v>
      </c>
      <c r="J153" t="s">
        <v>699</v>
      </c>
      <c r="K153" t="s">
        <v>478</v>
      </c>
      <c r="L153" t="s">
        <v>36</v>
      </c>
      <c r="M153" t="s">
        <v>700</v>
      </c>
      <c r="N153" t="s">
        <v>27</v>
      </c>
      <c r="O153" t="s">
        <v>52</v>
      </c>
      <c r="P153">
        <v>22.72</v>
      </c>
    </row>
    <row r="154" spans="1:16">
      <c r="A154" s="4">
        <v>2018</v>
      </c>
      <c r="B154" s="4">
        <v>140676</v>
      </c>
      <c r="C154" t="s">
        <v>701</v>
      </c>
      <c r="D154" t="s">
        <v>702</v>
      </c>
      <c r="E154" t="s">
        <v>42</v>
      </c>
      <c r="F154" t="s">
        <v>703</v>
      </c>
      <c r="G154" t="s">
        <v>704</v>
      </c>
      <c r="H154" t="s">
        <v>33</v>
      </c>
      <c r="I154" t="s">
        <v>97</v>
      </c>
      <c r="J154" t="s">
        <v>705</v>
      </c>
      <c r="K154" t="s">
        <v>706</v>
      </c>
      <c r="L154" t="s">
        <v>25</v>
      </c>
      <c r="M154" t="s">
        <v>707</v>
      </c>
      <c r="N154" t="s">
        <v>27</v>
      </c>
      <c r="O154" t="s">
        <v>52</v>
      </c>
      <c r="P154">
        <v>39.9</v>
      </c>
    </row>
    <row r="155" spans="1:16">
      <c r="A155" s="4">
        <v>2018</v>
      </c>
      <c r="B155" s="4">
        <v>117128</v>
      </c>
      <c r="C155" t="s">
        <v>103</v>
      </c>
      <c r="D155" t="s">
        <v>224</v>
      </c>
      <c r="E155" t="s">
        <v>144</v>
      </c>
      <c r="F155" t="s">
        <v>703</v>
      </c>
      <c r="G155" t="s">
        <v>704</v>
      </c>
      <c r="H155" t="s">
        <v>33</v>
      </c>
      <c r="I155" t="s">
        <v>97</v>
      </c>
      <c r="J155" t="s">
        <v>49</v>
      </c>
      <c r="K155" t="s">
        <v>50</v>
      </c>
      <c r="L155" t="s">
        <v>25</v>
      </c>
      <c r="M155" t="s">
        <v>708</v>
      </c>
      <c r="N155" t="s">
        <v>27</v>
      </c>
      <c r="O155" t="s">
        <v>52</v>
      </c>
      <c r="P155">
        <v>21.6</v>
      </c>
    </row>
    <row r="156" spans="1:16">
      <c r="A156" s="4">
        <v>2015</v>
      </c>
      <c r="B156" s="4">
        <v>162992</v>
      </c>
      <c r="C156" t="s">
        <v>709</v>
      </c>
      <c r="D156" t="s">
        <v>710</v>
      </c>
      <c r="E156" t="s">
        <v>42</v>
      </c>
      <c r="F156" t="s">
        <v>711</v>
      </c>
      <c r="G156" t="s">
        <v>712</v>
      </c>
      <c r="H156" t="s">
        <v>33</v>
      </c>
      <c r="I156" t="s">
        <v>22</v>
      </c>
      <c r="J156" t="s">
        <v>64</v>
      </c>
      <c r="K156" t="s">
        <v>65</v>
      </c>
      <c r="L156" t="s">
        <v>66</v>
      </c>
      <c r="M156" t="s">
        <v>713</v>
      </c>
      <c r="N156" t="s">
        <v>27</v>
      </c>
      <c r="O156" t="s">
        <v>111</v>
      </c>
      <c r="P156">
        <v>14.62</v>
      </c>
    </row>
    <row r="157" spans="1:16">
      <c r="A157" s="4">
        <v>2015</v>
      </c>
      <c r="B157" s="4">
        <v>134971</v>
      </c>
      <c r="C157" t="s">
        <v>714</v>
      </c>
      <c r="D157" t="s">
        <v>715</v>
      </c>
      <c r="E157" t="s">
        <v>144</v>
      </c>
      <c r="F157" t="s">
        <v>711</v>
      </c>
      <c r="G157" t="s">
        <v>712</v>
      </c>
      <c r="H157" t="s">
        <v>33</v>
      </c>
      <c r="I157" t="s">
        <v>22</v>
      </c>
      <c r="J157" t="s">
        <v>396</v>
      </c>
      <c r="K157" t="s">
        <v>109</v>
      </c>
      <c r="L157" t="s">
        <v>36</v>
      </c>
      <c r="M157" t="s">
        <v>716</v>
      </c>
      <c r="N157" t="s">
        <v>27</v>
      </c>
      <c r="O157" t="s">
        <v>101</v>
      </c>
      <c r="P157">
        <v>12.462</v>
      </c>
    </row>
    <row r="158" spans="1:16">
      <c r="A158" s="4">
        <v>2016</v>
      </c>
      <c r="B158" s="4">
        <v>106565</v>
      </c>
      <c r="C158" t="s">
        <v>717</v>
      </c>
      <c r="D158" t="s">
        <v>718</v>
      </c>
      <c r="E158" t="s">
        <v>42</v>
      </c>
      <c r="F158" t="s">
        <v>719</v>
      </c>
      <c r="G158" t="s">
        <v>720</v>
      </c>
      <c r="H158" t="s">
        <v>33</v>
      </c>
      <c r="I158" t="s">
        <v>22</v>
      </c>
      <c r="J158" t="s">
        <v>477</v>
      </c>
      <c r="K158" t="s">
        <v>478</v>
      </c>
      <c r="L158" t="s">
        <v>36</v>
      </c>
      <c r="M158" t="s">
        <v>721</v>
      </c>
      <c r="N158" t="s">
        <v>27</v>
      </c>
      <c r="O158" t="s">
        <v>52</v>
      </c>
      <c r="P158">
        <v>51.84</v>
      </c>
    </row>
    <row r="159" spans="1:16">
      <c r="A159" s="4">
        <v>2017</v>
      </c>
      <c r="B159" s="4">
        <v>126844</v>
      </c>
      <c r="C159" t="s">
        <v>722</v>
      </c>
      <c r="D159" t="s">
        <v>723</v>
      </c>
      <c r="E159" t="s">
        <v>18</v>
      </c>
      <c r="F159" t="s">
        <v>719</v>
      </c>
      <c r="G159" t="s">
        <v>720</v>
      </c>
      <c r="H159" t="s">
        <v>33</v>
      </c>
      <c r="I159" t="s">
        <v>22</v>
      </c>
      <c r="J159" t="s">
        <v>183</v>
      </c>
      <c r="K159" t="s">
        <v>35</v>
      </c>
      <c r="L159" t="s">
        <v>36</v>
      </c>
      <c r="M159" t="s">
        <v>724</v>
      </c>
      <c r="N159" t="s">
        <v>79</v>
      </c>
      <c r="O159" t="s">
        <v>80</v>
      </c>
      <c r="P159">
        <v>51.712000000000003</v>
      </c>
    </row>
    <row r="160" spans="1:16">
      <c r="A160" s="4">
        <v>2018</v>
      </c>
      <c r="B160" s="4">
        <v>151855</v>
      </c>
      <c r="C160" t="s">
        <v>725</v>
      </c>
      <c r="D160" t="s">
        <v>726</v>
      </c>
      <c r="E160" t="s">
        <v>18</v>
      </c>
      <c r="F160" t="s">
        <v>719</v>
      </c>
      <c r="G160" t="s">
        <v>720</v>
      </c>
      <c r="H160" t="s">
        <v>33</v>
      </c>
      <c r="I160" t="s">
        <v>22</v>
      </c>
      <c r="J160" t="s">
        <v>727</v>
      </c>
      <c r="K160" t="s">
        <v>44</v>
      </c>
      <c r="L160" t="s">
        <v>45</v>
      </c>
      <c r="M160" t="s">
        <v>728</v>
      </c>
      <c r="N160" t="s">
        <v>38</v>
      </c>
      <c r="O160" t="s">
        <v>68</v>
      </c>
      <c r="P160">
        <v>27.192</v>
      </c>
    </row>
    <row r="161" spans="1:16">
      <c r="A161" s="4">
        <v>2018</v>
      </c>
      <c r="B161" s="4">
        <v>120418</v>
      </c>
      <c r="C161" t="s">
        <v>729</v>
      </c>
      <c r="D161" t="s">
        <v>730</v>
      </c>
      <c r="E161" t="s">
        <v>42</v>
      </c>
      <c r="F161" t="s">
        <v>731</v>
      </c>
      <c r="G161" t="s">
        <v>732</v>
      </c>
      <c r="H161" t="s">
        <v>21</v>
      </c>
      <c r="I161" t="s">
        <v>63</v>
      </c>
      <c r="J161" t="s">
        <v>396</v>
      </c>
      <c r="K161" t="s">
        <v>136</v>
      </c>
      <c r="L161" t="s">
        <v>66</v>
      </c>
      <c r="M161" t="s">
        <v>733</v>
      </c>
      <c r="N161" t="s">
        <v>79</v>
      </c>
      <c r="O161" t="s">
        <v>138</v>
      </c>
      <c r="P161">
        <v>280.79199999999997</v>
      </c>
    </row>
    <row r="162" spans="1:16">
      <c r="A162" s="4">
        <v>2015</v>
      </c>
      <c r="B162" s="4">
        <v>139892</v>
      </c>
      <c r="C162" t="s">
        <v>734</v>
      </c>
      <c r="D162" t="s">
        <v>735</v>
      </c>
      <c r="E162" t="s">
        <v>18</v>
      </c>
      <c r="F162" t="s">
        <v>736</v>
      </c>
      <c r="G162" t="s">
        <v>737</v>
      </c>
      <c r="H162" t="s">
        <v>33</v>
      </c>
      <c r="I162" t="s">
        <v>97</v>
      </c>
      <c r="J162" t="s">
        <v>738</v>
      </c>
      <c r="K162" t="s">
        <v>35</v>
      </c>
      <c r="L162" t="s">
        <v>36</v>
      </c>
      <c r="M162" t="s">
        <v>739</v>
      </c>
      <c r="N162" t="s">
        <v>27</v>
      </c>
      <c r="O162" t="s">
        <v>28</v>
      </c>
      <c r="P162">
        <v>9.9359999999999999</v>
      </c>
    </row>
    <row r="163" spans="1:16">
      <c r="A163" s="4">
        <v>2018</v>
      </c>
      <c r="B163" s="4">
        <v>121706</v>
      </c>
      <c r="C163" t="s">
        <v>740</v>
      </c>
      <c r="D163" t="s">
        <v>741</v>
      </c>
      <c r="E163" t="s">
        <v>18</v>
      </c>
      <c r="F163" t="s">
        <v>736</v>
      </c>
      <c r="G163" t="s">
        <v>737</v>
      </c>
      <c r="H163" t="s">
        <v>33</v>
      </c>
      <c r="I163" t="s">
        <v>97</v>
      </c>
      <c r="J163" t="s">
        <v>742</v>
      </c>
      <c r="K163" t="s">
        <v>65</v>
      </c>
      <c r="L163" t="s">
        <v>66</v>
      </c>
      <c r="M163" t="s">
        <v>743</v>
      </c>
      <c r="N163" t="s">
        <v>27</v>
      </c>
      <c r="O163" t="s">
        <v>228</v>
      </c>
      <c r="P163">
        <v>356.79</v>
      </c>
    </row>
    <row r="164" spans="1:16">
      <c r="A164" s="4">
        <v>2018</v>
      </c>
      <c r="B164" s="4">
        <v>147564</v>
      </c>
      <c r="C164" t="s">
        <v>666</v>
      </c>
      <c r="D164" t="s">
        <v>368</v>
      </c>
      <c r="E164" t="s">
        <v>18</v>
      </c>
      <c r="F164" t="s">
        <v>744</v>
      </c>
      <c r="G164" t="s">
        <v>745</v>
      </c>
      <c r="H164" t="s">
        <v>33</v>
      </c>
      <c r="I164" t="s">
        <v>97</v>
      </c>
      <c r="J164" t="s">
        <v>49</v>
      </c>
      <c r="K164" t="s">
        <v>50</v>
      </c>
      <c r="L164" t="s">
        <v>25</v>
      </c>
      <c r="M164" t="s">
        <v>746</v>
      </c>
      <c r="N164" t="s">
        <v>27</v>
      </c>
      <c r="O164" t="s">
        <v>52</v>
      </c>
      <c r="P164">
        <v>49.12</v>
      </c>
    </row>
    <row r="165" spans="1:16">
      <c r="A165" s="4">
        <v>2016</v>
      </c>
      <c r="B165" s="4">
        <v>158491</v>
      </c>
      <c r="C165" t="s">
        <v>747</v>
      </c>
      <c r="D165" t="s">
        <v>748</v>
      </c>
      <c r="E165" t="s">
        <v>144</v>
      </c>
      <c r="F165" t="s">
        <v>744</v>
      </c>
      <c r="G165" t="s">
        <v>745</v>
      </c>
      <c r="H165" t="s">
        <v>33</v>
      </c>
      <c r="I165" t="s">
        <v>97</v>
      </c>
      <c r="J165" t="s">
        <v>64</v>
      </c>
      <c r="K165" t="s">
        <v>65</v>
      </c>
      <c r="L165" t="s">
        <v>66</v>
      </c>
      <c r="M165" t="s">
        <v>749</v>
      </c>
      <c r="N165" t="s">
        <v>38</v>
      </c>
      <c r="O165" t="s">
        <v>68</v>
      </c>
      <c r="P165">
        <v>119.98</v>
      </c>
    </row>
    <row r="166" spans="1:16">
      <c r="A166" s="4">
        <v>2018</v>
      </c>
      <c r="B166" s="4">
        <v>128629</v>
      </c>
      <c r="C166" t="s">
        <v>750</v>
      </c>
      <c r="D166" t="s">
        <v>751</v>
      </c>
      <c r="E166" t="s">
        <v>144</v>
      </c>
      <c r="F166" t="s">
        <v>744</v>
      </c>
      <c r="G166" t="s">
        <v>745</v>
      </c>
      <c r="H166" t="s">
        <v>33</v>
      </c>
      <c r="I166" t="s">
        <v>97</v>
      </c>
      <c r="J166" t="s">
        <v>473</v>
      </c>
      <c r="K166" t="s">
        <v>86</v>
      </c>
      <c r="L166" t="s">
        <v>45</v>
      </c>
      <c r="M166" t="s">
        <v>752</v>
      </c>
      <c r="N166" t="s">
        <v>79</v>
      </c>
      <c r="O166" t="s">
        <v>80</v>
      </c>
      <c r="P166">
        <v>18.84</v>
      </c>
    </row>
    <row r="167" spans="1:16">
      <c r="A167" s="4">
        <v>2017</v>
      </c>
      <c r="B167" s="4">
        <v>156139</v>
      </c>
      <c r="C167" t="s">
        <v>753</v>
      </c>
      <c r="D167" t="s">
        <v>754</v>
      </c>
      <c r="E167" t="s">
        <v>18</v>
      </c>
      <c r="F167" t="s">
        <v>744</v>
      </c>
      <c r="G167" t="s">
        <v>745</v>
      </c>
      <c r="H167" t="s">
        <v>33</v>
      </c>
      <c r="I167" t="s">
        <v>97</v>
      </c>
      <c r="J167" t="s">
        <v>226</v>
      </c>
      <c r="K167" t="s">
        <v>65</v>
      </c>
      <c r="L167" t="s">
        <v>66</v>
      </c>
      <c r="M167" t="s">
        <v>755</v>
      </c>
      <c r="N167" t="s">
        <v>27</v>
      </c>
      <c r="O167" t="s">
        <v>101</v>
      </c>
      <c r="P167">
        <v>38.375999999999998</v>
      </c>
    </row>
    <row r="168" spans="1:16">
      <c r="A168" s="4">
        <v>2015</v>
      </c>
      <c r="B168" s="4">
        <v>167724</v>
      </c>
      <c r="C168" t="s">
        <v>756</v>
      </c>
      <c r="D168" t="s">
        <v>757</v>
      </c>
      <c r="E168" t="s">
        <v>18</v>
      </c>
      <c r="F168" t="s">
        <v>758</v>
      </c>
      <c r="G168" t="s">
        <v>759</v>
      </c>
      <c r="H168" t="s">
        <v>33</v>
      </c>
      <c r="I168" t="s">
        <v>63</v>
      </c>
      <c r="J168" t="s">
        <v>705</v>
      </c>
      <c r="K168" t="s">
        <v>706</v>
      </c>
      <c r="L168" t="s">
        <v>25</v>
      </c>
      <c r="M168" t="s">
        <v>760</v>
      </c>
      <c r="N168" t="s">
        <v>27</v>
      </c>
      <c r="O168" t="s">
        <v>111</v>
      </c>
      <c r="P168">
        <v>7.83</v>
      </c>
    </row>
    <row r="169" spans="1:16">
      <c r="A169" s="4">
        <v>2017</v>
      </c>
      <c r="B169" s="4">
        <v>120460</v>
      </c>
      <c r="C169" t="s">
        <v>761</v>
      </c>
      <c r="D169" t="s">
        <v>686</v>
      </c>
      <c r="E169" t="s">
        <v>18</v>
      </c>
      <c r="F169" t="s">
        <v>758</v>
      </c>
      <c r="G169" t="s">
        <v>759</v>
      </c>
      <c r="H169" t="s">
        <v>33</v>
      </c>
      <c r="I169" t="s">
        <v>63</v>
      </c>
      <c r="J169" t="s">
        <v>627</v>
      </c>
      <c r="K169" t="s">
        <v>35</v>
      </c>
      <c r="L169" t="s">
        <v>36</v>
      </c>
      <c r="M169" t="s">
        <v>762</v>
      </c>
      <c r="N169" t="s">
        <v>79</v>
      </c>
      <c r="O169" t="s">
        <v>80</v>
      </c>
      <c r="P169">
        <v>22.608000000000001</v>
      </c>
    </row>
    <row r="170" spans="1:16">
      <c r="A170" s="4">
        <v>2015</v>
      </c>
      <c r="B170" s="4">
        <v>138247</v>
      </c>
      <c r="C170" t="s">
        <v>763</v>
      </c>
      <c r="D170" t="s">
        <v>569</v>
      </c>
      <c r="E170" t="s">
        <v>18</v>
      </c>
      <c r="F170" t="s">
        <v>758</v>
      </c>
      <c r="G170" t="s">
        <v>759</v>
      </c>
      <c r="H170" t="s">
        <v>33</v>
      </c>
      <c r="I170" t="s">
        <v>63</v>
      </c>
      <c r="J170" t="s">
        <v>64</v>
      </c>
      <c r="K170" t="s">
        <v>65</v>
      </c>
      <c r="L170" t="s">
        <v>66</v>
      </c>
      <c r="M170" t="s">
        <v>764</v>
      </c>
      <c r="N170" t="s">
        <v>38</v>
      </c>
      <c r="O170" t="s">
        <v>118</v>
      </c>
      <c r="P170">
        <v>173.65600000000001</v>
      </c>
    </row>
    <row r="171" spans="1:16">
      <c r="A171" s="4">
        <v>2017</v>
      </c>
      <c r="B171" s="4">
        <v>142902</v>
      </c>
      <c r="C171" t="s">
        <v>560</v>
      </c>
      <c r="D171" t="s">
        <v>506</v>
      </c>
      <c r="E171" t="s">
        <v>144</v>
      </c>
      <c r="F171" t="s">
        <v>765</v>
      </c>
      <c r="G171" t="s">
        <v>766</v>
      </c>
      <c r="H171" t="s">
        <v>33</v>
      </c>
      <c r="I171" t="s">
        <v>22</v>
      </c>
      <c r="J171" t="s">
        <v>767</v>
      </c>
      <c r="K171" t="s">
        <v>222</v>
      </c>
      <c r="L171" t="s">
        <v>66</v>
      </c>
      <c r="M171" t="s">
        <v>768</v>
      </c>
      <c r="N171" t="s">
        <v>79</v>
      </c>
      <c r="O171" t="s">
        <v>80</v>
      </c>
      <c r="P171">
        <v>15.135999999999999</v>
      </c>
    </row>
    <row r="172" spans="1:16">
      <c r="A172" s="4">
        <v>2018</v>
      </c>
      <c r="B172" s="4">
        <v>167150</v>
      </c>
      <c r="C172" t="s">
        <v>299</v>
      </c>
      <c r="D172" t="s">
        <v>597</v>
      </c>
      <c r="E172" t="s">
        <v>18</v>
      </c>
      <c r="F172" t="s">
        <v>765</v>
      </c>
      <c r="G172" t="s">
        <v>766</v>
      </c>
      <c r="H172" t="s">
        <v>33</v>
      </c>
      <c r="I172" t="s">
        <v>22</v>
      </c>
      <c r="J172" t="s">
        <v>630</v>
      </c>
      <c r="K172" t="s">
        <v>65</v>
      </c>
      <c r="L172" t="s">
        <v>66</v>
      </c>
      <c r="M172" t="s">
        <v>769</v>
      </c>
      <c r="N172" t="s">
        <v>27</v>
      </c>
      <c r="O172" t="s">
        <v>101</v>
      </c>
      <c r="P172">
        <v>19.936</v>
      </c>
    </row>
    <row r="173" spans="1:16">
      <c r="A173" s="4">
        <v>2015</v>
      </c>
      <c r="B173" s="4">
        <v>167633</v>
      </c>
      <c r="C173" t="s">
        <v>770</v>
      </c>
      <c r="D173" t="s">
        <v>771</v>
      </c>
      <c r="E173" t="s">
        <v>18</v>
      </c>
      <c r="F173" t="s">
        <v>772</v>
      </c>
      <c r="G173" t="s">
        <v>773</v>
      </c>
      <c r="H173" t="s">
        <v>33</v>
      </c>
      <c r="I173" t="s">
        <v>97</v>
      </c>
      <c r="J173" t="s">
        <v>455</v>
      </c>
      <c r="K173" t="s">
        <v>196</v>
      </c>
      <c r="L173" t="s">
        <v>45</v>
      </c>
      <c r="M173" t="s">
        <v>774</v>
      </c>
      <c r="N173" t="s">
        <v>27</v>
      </c>
      <c r="O173" t="s">
        <v>52</v>
      </c>
      <c r="P173">
        <v>15.552</v>
      </c>
    </row>
    <row r="174" spans="1:16">
      <c r="A174" s="4">
        <v>2018</v>
      </c>
      <c r="B174" s="4">
        <v>143343</v>
      </c>
      <c r="C174" t="s">
        <v>775</v>
      </c>
      <c r="D174" t="s">
        <v>776</v>
      </c>
      <c r="E174" t="s">
        <v>42</v>
      </c>
      <c r="F174" t="s">
        <v>772</v>
      </c>
      <c r="G174" t="s">
        <v>773</v>
      </c>
      <c r="H174" t="s">
        <v>33</v>
      </c>
      <c r="I174" t="s">
        <v>97</v>
      </c>
      <c r="J174" t="s">
        <v>64</v>
      </c>
      <c r="K174" t="s">
        <v>65</v>
      </c>
      <c r="L174" t="s">
        <v>66</v>
      </c>
      <c r="M174" t="s">
        <v>777</v>
      </c>
      <c r="N174" t="s">
        <v>27</v>
      </c>
      <c r="O174" t="s">
        <v>28</v>
      </c>
      <c r="P174">
        <v>16.399999999999999</v>
      </c>
    </row>
    <row r="175" spans="1:16">
      <c r="A175" s="4">
        <v>2018</v>
      </c>
      <c r="B175" s="4">
        <v>106859</v>
      </c>
      <c r="C175" t="s">
        <v>778</v>
      </c>
      <c r="D175" t="s">
        <v>779</v>
      </c>
      <c r="E175" t="s">
        <v>144</v>
      </c>
      <c r="F175" t="s">
        <v>780</v>
      </c>
      <c r="G175" t="s">
        <v>781</v>
      </c>
      <c r="H175" t="s">
        <v>21</v>
      </c>
      <c r="I175" t="s">
        <v>63</v>
      </c>
      <c r="J175" t="s">
        <v>782</v>
      </c>
      <c r="K175" t="s">
        <v>253</v>
      </c>
      <c r="L175" t="s">
        <v>66</v>
      </c>
      <c r="M175" t="s">
        <v>783</v>
      </c>
      <c r="N175" t="s">
        <v>27</v>
      </c>
      <c r="O175" t="s">
        <v>58</v>
      </c>
      <c r="P175">
        <v>90.8</v>
      </c>
    </row>
    <row r="176" spans="1:16">
      <c r="A176" s="4">
        <v>2018</v>
      </c>
      <c r="B176" s="4">
        <v>142888</v>
      </c>
      <c r="C176" t="s">
        <v>143</v>
      </c>
      <c r="D176" t="s">
        <v>784</v>
      </c>
      <c r="E176" t="s">
        <v>18</v>
      </c>
      <c r="F176" t="s">
        <v>785</v>
      </c>
      <c r="G176" t="s">
        <v>786</v>
      </c>
      <c r="H176" t="s">
        <v>21</v>
      </c>
      <c r="I176" t="s">
        <v>97</v>
      </c>
      <c r="J176" t="s">
        <v>787</v>
      </c>
      <c r="K176" t="s">
        <v>165</v>
      </c>
      <c r="L176" t="s">
        <v>66</v>
      </c>
      <c r="M176" t="s">
        <v>788</v>
      </c>
      <c r="N176" t="s">
        <v>79</v>
      </c>
      <c r="O176" t="s">
        <v>347</v>
      </c>
      <c r="P176">
        <v>70.98</v>
      </c>
    </row>
    <row r="177" spans="1:16">
      <c r="A177" s="4">
        <v>2016</v>
      </c>
      <c r="B177" s="4">
        <v>103793</v>
      </c>
      <c r="C177" t="s">
        <v>789</v>
      </c>
      <c r="D177" t="s">
        <v>790</v>
      </c>
      <c r="E177" t="s">
        <v>18</v>
      </c>
      <c r="F177" t="s">
        <v>791</v>
      </c>
      <c r="G177" t="s">
        <v>792</v>
      </c>
      <c r="H177" t="s">
        <v>33</v>
      </c>
      <c r="I177" t="s">
        <v>22</v>
      </c>
      <c r="J177" t="s">
        <v>437</v>
      </c>
      <c r="K177" t="s">
        <v>196</v>
      </c>
      <c r="L177" t="s">
        <v>45</v>
      </c>
      <c r="M177" t="s">
        <v>793</v>
      </c>
      <c r="N177" t="s">
        <v>27</v>
      </c>
      <c r="O177" t="s">
        <v>52</v>
      </c>
      <c r="P177">
        <v>74.352000000000004</v>
      </c>
    </row>
    <row r="178" spans="1:16">
      <c r="A178" s="4">
        <v>2018</v>
      </c>
      <c r="B178" s="4">
        <v>104220</v>
      </c>
      <c r="C178" t="s">
        <v>794</v>
      </c>
      <c r="D178" t="s">
        <v>795</v>
      </c>
      <c r="E178" t="s">
        <v>18</v>
      </c>
      <c r="F178" t="s">
        <v>791</v>
      </c>
      <c r="G178" t="s">
        <v>792</v>
      </c>
      <c r="H178" t="s">
        <v>33</v>
      </c>
      <c r="I178" t="s">
        <v>22</v>
      </c>
      <c r="J178" t="s">
        <v>796</v>
      </c>
      <c r="K178" t="s">
        <v>797</v>
      </c>
      <c r="L178" t="s">
        <v>36</v>
      </c>
      <c r="M178" t="s">
        <v>798</v>
      </c>
      <c r="N178" t="s">
        <v>27</v>
      </c>
      <c r="O178" t="s">
        <v>101</v>
      </c>
      <c r="P178">
        <v>18.28</v>
      </c>
    </row>
    <row r="179" spans="1:16">
      <c r="A179" s="4">
        <v>2018</v>
      </c>
      <c r="B179" s="4">
        <v>151183</v>
      </c>
      <c r="C179" t="s">
        <v>799</v>
      </c>
      <c r="D179" t="s">
        <v>659</v>
      </c>
      <c r="E179" t="s">
        <v>18</v>
      </c>
      <c r="F179" t="s">
        <v>800</v>
      </c>
      <c r="G179" t="s">
        <v>801</v>
      </c>
      <c r="H179" t="s">
        <v>33</v>
      </c>
      <c r="I179" t="s">
        <v>97</v>
      </c>
      <c r="J179" t="s">
        <v>226</v>
      </c>
      <c r="K179" t="s">
        <v>65</v>
      </c>
      <c r="L179" t="s">
        <v>66</v>
      </c>
      <c r="M179" t="s">
        <v>802</v>
      </c>
      <c r="N179" t="s">
        <v>38</v>
      </c>
      <c r="O179" t="s">
        <v>68</v>
      </c>
      <c r="P179">
        <v>46.36</v>
      </c>
    </row>
    <row r="180" spans="1:16">
      <c r="A180" s="4">
        <v>2016</v>
      </c>
      <c r="B180" s="4">
        <v>113110</v>
      </c>
      <c r="C180" t="s">
        <v>803</v>
      </c>
      <c r="D180" t="s">
        <v>718</v>
      </c>
      <c r="E180" t="s">
        <v>18</v>
      </c>
      <c r="F180" t="s">
        <v>800</v>
      </c>
      <c r="G180" t="s">
        <v>801</v>
      </c>
      <c r="H180" t="s">
        <v>33</v>
      </c>
      <c r="I180" t="s">
        <v>97</v>
      </c>
      <c r="J180" t="s">
        <v>804</v>
      </c>
      <c r="K180" t="s">
        <v>65</v>
      </c>
      <c r="L180" t="s">
        <v>66</v>
      </c>
      <c r="M180" t="s">
        <v>805</v>
      </c>
      <c r="N180" t="s">
        <v>27</v>
      </c>
      <c r="O180" t="s">
        <v>101</v>
      </c>
      <c r="P180">
        <v>17.568000000000001</v>
      </c>
    </row>
    <row r="181" spans="1:16">
      <c r="A181" s="4">
        <v>2015</v>
      </c>
      <c r="B181" s="4">
        <v>125612</v>
      </c>
      <c r="C181" t="s">
        <v>806</v>
      </c>
      <c r="D181" t="s">
        <v>807</v>
      </c>
      <c r="E181" t="s">
        <v>18</v>
      </c>
      <c r="F181" t="s">
        <v>800</v>
      </c>
      <c r="G181" t="s">
        <v>801</v>
      </c>
      <c r="H181" t="s">
        <v>33</v>
      </c>
      <c r="I181" t="s">
        <v>97</v>
      </c>
      <c r="J181" t="s">
        <v>49</v>
      </c>
      <c r="K181" t="s">
        <v>50</v>
      </c>
      <c r="L181" t="s">
        <v>25</v>
      </c>
      <c r="M181" t="s">
        <v>808</v>
      </c>
      <c r="N181" t="s">
        <v>27</v>
      </c>
      <c r="O181" t="s">
        <v>52</v>
      </c>
      <c r="P181">
        <v>39.96</v>
      </c>
    </row>
    <row r="182" spans="1:16">
      <c r="A182" s="4">
        <v>2018</v>
      </c>
      <c r="B182" s="4">
        <v>169012</v>
      </c>
      <c r="C182" t="s">
        <v>750</v>
      </c>
      <c r="D182" t="s">
        <v>751</v>
      </c>
      <c r="E182" t="s">
        <v>18</v>
      </c>
      <c r="F182" t="s">
        <v>809</v>
      </c>
      <c r="G182" t="s">
        <v>810</v>
      </c>
      <c r="H182" t="s">
        <v>33</v>
      </c>
      <c r="I182" t="s">
        <v>22</v>
      </c>
      <c r="J182" t="s">
        <v>473</v>
      </c>
      <c r="K182" t="s">
        <v>86</v>
      </c>
      <c r="L182" t="s">
        <v>45</v>
      </c>
      <c r="M182" t="s">
        <v>811</v>
      </c>
      <c r="N182" t="s">
        <v>27</v>
      </c>
      <c r="O182" t="s">
        <v>228</v>
      </c>
      <c r="P182">
        <v>41.91</v>
      </c>
    </row>
    <row r="183" spans="1:16">
      <c r="A183" s="4">
        <v>2015</v>
      </c>
      <c r="B183" s="4">
        <v>148040</v>
      </c>
      <c r="C183" t="s">
        <v>812</v>
      </c>
      <c r="D183" t="s">
        <v>813</v>
      </c>
      <c r="E183" t="s">
        <v>18</v>
      </c>
      <c r="F183" t="s">
        <v>809</v>
      </c>
      <c r="G183" t="s">
        <v>810</v>
      </c>
      <c r="H183" t="s">
        <v>33</v>
      </c>
      <c r="I183" t="s">
        <v>22</v>
      </c>
      <c r="J183" t="s">
        <v>135</v>
      </c>
      <c r="K183" t="s">
        <v>136</v>
      </c>
      <c r="L183" t="s">
        <v>66</v>
      </c>
      <c r="M183" t="s">
        <v>814</v>
      </c>
      <c r="N183" t="s">
        <v>27</v>
      </c>
      <c r="O183" t="s">
        <v>52</v>
      </c>
      <c r="P183">
        <v>74.352000000000004</v>
      </c>
    </row>
    <row r="184" spans="1:16">
      <c r="A184" s="4">
        <v>2017</v>
      </c>
      <c r="B184" s="4">
        <v>150483</v>
      </c>
      <c r="C184" t="s">
        <v>815</v>
      </c>
      <c r="D184" t="s">
        <v>816</v>
      </c>
      <c r="E184" t="s">
        <v>18</v>
      </c>
      <c r="F184" t="s">
        <v>817</v>
      </c>
      <c r="G184" t="s">
        <v>818</v>
      </c>
      <c r="H184" t="s">
        <v>33</v>
      </c>
      <c r="I184" t="s">
        <v>97</v>
      </c>
      <c r="J184" t="s">
        <v>158</v>
      </c>
      <c r="K184" t="s">
        <v>109</v>
      </c>
      <c r="L184" t="s">
        <v>36</v>
      </c>
      <c r="M184" t="s">
        <v>819</v>
      </c>
      <c r="N184" t="s">
        <v>79</v>
      </c>
      <c r="O184" t="s">
        <v>80</v>
      </c>
      <c r="P184">
        <v>32.064</v>
      </c>
    </row>
    <row r="185" spans="1:16">
      <c r="A185" s="4">
        <v>2015</v>
      </c>
      <c r="B185" s="4">
        <v>153976</v>
      </c>
      <c r="C185" t="s">
        <v>343</v>
      </c>
      <c r="D185" t="s">
        <v>311</v>
      </c>
      <c r="E185" t="s">
        <v>144</v>
      </c>
      <c r="F185" t="s">
        <v>817</v>
      </c>
      <c r="G185" t="s">
        <v>818</v>
      </c>
      <c r="H185" t="s">
        <v>33</v>
      </c>
      <c r="I185" t="s">
        <v>97</v>
      </c>
      <c r="J185" t="s">
        <v>820</v>
      </c>
      <c r="K185" t="s">
        <v>109</v>
      </c>
      <c r="L185" t="s">
        <v>36</v>
      </c>
      <c r="M185" t="s">
        <v>821</v>
      </c>
      <c r="N185" t="s">
        <v>79</v>
      </c>
      <c r="O185" t="s">
        <v>138</v>
      </c>
      <c r="P185">
        <v>258.279</v>
      </c>
    </row>
    <row r="186" spans="1:16">
      <c r="A186" s="4">
        <v>2017</v>
      </c>
      <c r="B186" s="4">
        <v>142398</v>
      </c>
      <c r="C186" t="s">
        <v>822</v>
      </c>
      <c r="D186" t="s">
        <v>823</v>
      </c>
      <c r="E186" t="s">
        <v>18</v>
      </c>
      <c r="F186" t="s">
        <v>817</v>
      </c>
      <c r="G186" t="s">
        <v>818</v>
      </c>
      <c r="H186" t="s">
        <v>33</v>
      </c>
      <c r="I186" t="s">
        <v>97</v>
      </c>
      <c r="J186" t="s">
        <v>64</v>
      </c>
      <c r="K186" t="s">
        <v>65</v>
      </c>
      <c r="L186" t="s">
        <v>66</v>
      </c>
      <c r="M186" t="s">
        <v>824</v>
      </c>
      <c r="N186" t="s">
        <v>79</v>
      </c>
      <c r="O186" t="s">
        <v>138</v>
      </c>
      <c r="P186">
        <v>638.28800000000001</v>
      </c>
    </row>
    <row r="187" spans="1:16">
      <c r="A187" s="4">
        <v>2016</v>
      </c>
      <c r="B187" s="4">
        <v>138002</v>
      </c>
      <c r="C187" t="s">
        <v>825</v>
      </c>
      <c r="D187" t="s">
        <v>826</v>
      </c>
      <c r="E187" t="s">
        <v>18</v>
      </c>
      <c r="F187" t="s">
        <v>827</v>
      </c>
      <c r="G187" t="s">
        <v>828</v>
      </c>
      <c r="H187" t="s">
        <v>33</v>
      </c>
      <c r="I187" t="s">
        <v>63</v>
      </c>
      <c r="J187" t="s">
        <v>271</v>
      </c>
      <c r="K187" t="s">
        <v>165</v>
      </c>
      <c r="L187" t="s">
        <v>66</v>
      </c>
      <c r="M187" t="s">
        <v>829</v>
      </c>
      <c r="N187" t="s">
        <v>27</v>
      </c>
      <c r="O187" t="s">
        <v>101</v>
      </c>
      <c r="P187">
        <v>6.0960000000000001</v>
      </c>
    </row>
    <row r="188" spans="1:16">
      <c r="A188" s="4">
        <v>2018</v>
      </c>
      <c r="B188" s="4">
        <v>115994</v>
      </c>
      <c r="C188" t="s">
        <v>830</v>
      </c>
      <c r="D188" t="s">
        <v>831</v>
      </c>
      <c r="E188" t="s">
        <v>144</v>
      </c>
      <c r="F188" t="s">
        <v>827</v>
      </c>
      <c r="G188" t="s">
        <v>828</v>
      </c>
      <c r="H188" t="s">
        <v>33</v>
      </c>
      <c r="I188" t="s">
        <v>63</v>
      </c>
      <c r="J188" t="s">
        <v>832</v>
      </c>
      <c r="K188" t="s">
        <v>65</v>
      </c>
      <c r="L188" t="s">
        <v>66</v>
      </c>
      <c r="M188" t="s">
        <v>833</v>
      </c>
      <c r="N188" t="s">
        <v>38</v>
      </c>
      <c r="O188" t="s">
        <v>68</v>
      </c>
      <c r="P188">
        <v>239.97</v>
      </c>
    </row>
    <row r="189" spans="1:16">
      <c r="A189" s="4">
        <v>2018</v>
      </c>
      <c r="B189" s="4">
        <v>122735</v>
      </c>
      <c r="C189" t="s">
        <v>834</v>
      </c>
      <c r="D189" t="s">
        <v>88</v>
      </c>
      <c r="E189" t="s">
        <v>144</v>
      </c>
      <c r="F189" t="s">
        <v>835</v>
      </c>
      <c r="G189" t="s">
        <v>836</v>
      </c>
      <c r="H189" t="s">
        <v>33</v>
      </c>
      <c r="I189" t="s">
        <v>97</v>
      </c>
      <c r="J189" t="s">
        <v>837</v>
      </c>
      <c r="K189" t="s">
        <v>838</v>
      </c>
      <c r="L189" t="s">
        <v>25</v>
      </c>
      <c r="M189" t="s">
        <v>839</v>
      </c>
      <c r="N189" t="s">
        <v>27</v>
      </c>
      <c r="O189" t="s">
        <v>101</v>
      </c>
      <c r="P189">
        <v>29.7</v>
      </c>
    </row>
    <row r="190" spans="1:16">
      <c r="A190" s="4">
        <v>2017</v>
      </c>
      <c r="B190" s="4">
        <v>130680</v>
      </c>
      <c r="C190" t="s">
        <v>840</v>
      </c>
      <c r="D190" t="s">
        <v>244</v>
      </c>
      <c r="E190" t="s">
        <v>18</v>
      </c>
      <c r="F190" t="s">
        <v>835</v>
      </c>
      <c r="G190" t="s">
        <v>836</v>
      </c>
      <c r="H190" t="s">
        <v>33</v>
      </c>
      <c r="I190" t="s">
        <v>97</v>
      </c>
      <c r="J190" t="s">
        <v>630</v>
      </c>
      <c r="K190" t="s">
        <v>65</v>
      </c>
      <c r="L190" t="s">
        <v>66</v>
      </c>
      <c r="M190" t="s">
        <v>841</v>
      </c>
      <c r="N190" t="s">
        <v>38</v>
      </c>
      <c r="O190" t="s">
        <v>118</v>
      </c>
      <c r="P190">
        <v>38.24</v>
      </c>
    </row>
    <row r="191" spans="1:16">
      <c r="A191" s="4">
        <v>2017</v>
      </c>
      <c r="B191" s="4">
        <v>136406</v>
      </c>
      <c r="C191" t="s">
        <v>842</v>
      </c>
      <c r="D191" t="s">
        <v>843</v>
      </c>
      <c r="E191" t="s">
        <v>144</v>
      </c>
      <c r="F191" t="s">
        <v>835</v>
      </c>
      <c r="G191" t="s">
        <v>836</v>
      </c>
      <c r="H191" t="s">
        <v>33</v>
      </c>
      <c r="I191" t="s">
        <v>97</v>
      </c>
      <c r="J191" t="s">
        <v>226</v>
      </c>
      <c r="K191" t="s">
        <v>65</v>
      </c>
      <c r="L191" t="s">
        <v>66</v>
      </c>
      <c r="M191" t="s">
        <v>844</v>
      </c>
      <c r="N191" t="s">
        <v>79</v>
      </c>
      <c r="O191" t="s">
        <v>138</v>
      </c>
      <c r="P191">
        <v>1121.568</v>
      </c>
    </row>
    <row r="192" spans="1:16">
      <c r="A192" s="4">
        <v>2018</v>
      </c>
      <c r="B192" s="4">
        <v>117485</v>
      </c>
      <c r="C192" t="s">
        <v>640</v>
      </c>
      <c r="D192" t="s">
        <v>641</v>
      </c>
      <c r="E192" t="s">
        <v>18</v>
      </c>
      <c r="F192" t="s">
        <v>835</v>
      </c>
      <c r="G192" t="s">
        <v>836</v>
      </c>
      <c r="H192" t="s">
        <v>33</v>
      </c>
      <c r="I192" t="s">
        <v>97</v>
      </c>
      <c r="J192" t="s">
        <v>151</v>
      </c>
      <c r="K192" t="s">
        <v>152</v>
      </c>
      <c r="L192" t="s">
        <v>36</v>
      </c>
      <c r="M192" t="s">
        <v>845</v>
      </c>
      <c r="N192" t="s">
        <v>38</v>
      </c>
      <c r="O192" t="s">
        <v>68</v>
      </c>
      <c r="P192">
        <v>291.95999999999998</v>
      </c>
    </row>
    <row r="193" spans="1:16">
      <c r="A193" s="4">
        <v>2016</v>
      </c>
      <c r="B193" s="4">
        <v>120677</v>
      </c>
      <c r="C193" t="s">
        <v>846</v>
      </c>
      <c r="D193" t="s">
        <v>747</v>
      </c>
      <c r="E193" t="s">
        <v>18</v>
      </c>
      <c r="F193" t="s">
        <v>835</v>
      </c>
      <c r="G193" t="s">
        <v>836</v>
      </c>
      <c r="H193" t="s">
        <v>33</v>
      </c>
      <c r="I193" t="s">
        <v>97</v>
      </c>
      <c r="J193" t="s">
        <v>371</v>
      </c>
      <c r="K193" t="s">
        <v>372</v>
      </c>
      <c r="L193" t="s">
        <v>36</v>
      </c>
      <c r="M193" t="s">
        <v>847</v>
      </c>
      <c r="N193" t="s">
        <v>79</v>
      </c>
      <c r="O193" t="s">
        <v>138</v>
      </c>
      <c r="P193">
        <v>2567.84</v>
      </c>
    </row>
    <row r="194" spans="1:16">
      <c r="A194" s="4">
        <v>2018</v>
      </c>
      <c r="B194" s="4">
        <v>155985</v>
      </c>
      <c r="C194" t="s">
        <v>848</v>
      </c>
      <c r="D194" t="s">
        <v>849</v>
      </c>
      <c r="E194" t="s">
        <v>42</v>
      </c>
      <c r="F194" t="s">
        <v>850</v>
      </c>
      <c r="G194" t="s">
        <v>851</v>
      </c>
      <c r="H194" t="s">
        <v>33</v>
      </c>
      <c r="I194" t="s">
        <v>63</v>
      </c>
      <c r="J194" t="s">
        <v>226</v>
      </c>
      <c r="K194" t="s">
        <v>65</v>
      </c>
      <c r="L194" t="s">
        <v>66</v>
      </c>
      <c r="M194" t="s">
        <v>852</v>
      </c>
      <c r="N194" t="s">
        <v>79</v>
      </c>
      <c r="O194" t="s">
        <v>80</v>
      </c>
      <c r="P194">
        <v>211.84</v>
      </c>
    </row>
    <row r="195" spans="1:16">
      <c r="A195" s="4">
        <v>2018</v>
      </c>
      <c r="B195" s="4">
        <v>137596</v>
      </c>
      <c r="C195" t="s">
        <v>853</v>
      </c>
      <c r="D195" t="s">
        <v>475</v>
      </c>
      <c r="E195" t="s">
        <v>18</v>
      </c>
      <c r="F195" t="s">
        <v>850</v>
      </c>
      <c r="G195" t="s">
        <v>851</v>
      </c>
      <c r="H195" t="s">
        <v>33</v>
      </c>
      <c r="I195" t="s">
        <v>63</v>
      </c>
      <c r="J195" t="s">
        <v>854</v>
      </c>
      <c r="K195" t="s">
        <v>855</v>
      </c>
      <c r="L195" t="s">
        <v>36</v>
      </c>
      <c r="M195" t="s">
        <v>856</v>
      </c>
      <c r="N195" t="s">
        <v>38</v>
      </c>
      <c r="O195" t="s">
        <v>118</v>
      </c>
      <c r="P195">
        <v>1199.8</v>
      </c>
    </row>
    <row r="196" spans="1:16">
      <c r="A196" s="4">
        <v>2018</v>
      </c>
      <c r="B196" s="4">
        <v>144883</v>
      </c>
      <c r="C196" t="s">
        <v>857</v>
      </c>
      <c r="D196" t="s">
        <v>858</v>
      </c>
      <c r="E196" t="s">
        <v>18</v>
      </c>
      <c r="F196" t="s">
        <v>859</v>
      </c>
      <c r="G196" t="s">
        <v>860</v>
      </c>
      <c r="H196" t="s">
        <v>21</v>
      </c>
      <c r="I196" t="s">
        <v>22</v>
      </c>
      <c r="J196" t="s">
        <v>861</v>
      </c>
      <c r="K196" t="s">
        <v>372</v>
      </c>
      <c r="L196" t="s">
        <v>36</v>
      </c>
      <c r="M196" t="s">
        <v>862</v>
      </c>
      <c r="N196" t="s">
        <v>27</v>
      </c>
      <c r="O196" t="s">
        <v>111</v>
      </c>
      <c r="P196">
        <v>50.4</v>
      </c>
    </row>
    <row r="197" spans="1:16">
      <c r="A197" s="4">
        <v>2015</v>
      </c>
      <c r="B197" s="4">
        <v>143581</v>
      </c>
      <c r="C197" t="s">
        <v>863</v>
      </c>
      <c r="D197" t="s">
        <v>632</v>
      </c>
      <c r="E197" t="s">
        <v>18</v>
      </c>
      <c r="F197" t="s">
        <v>864</v>
      </c>
      <c r="G197" t="s">
        <v>865</v>
      </c>
      <c r="H197" t="s">
        <v>33</v>
      </c>
      <c r="I197" t="s">
        <v>22</v>
      </c>
      <c r="J197" t="s">
        <v>473</v>
      </c>
      <c r="K197" t="s">
        <v>86</v>
      </c>
      <c r="L197" t="s">
        <v>45</v>
      </c>
      <c r="M197" t="s">
        <v>866</v>
      </c>
      <c r="N197" t="s">
        <v>27</v>
      </c>
      <c r="O197" t="s">
        <v>58</v>
      </c>
      <c r="P197">
        <v>344.91</v>
      </c>
    </row>
    <row r="198" spans="1:16">
      <c r="A198" s="4">
        <v>2017</v>
      </c>
      <c r="B198" s="4">
        <v>107440</v>
      </c>
      <c r="C198" t="s">
        <v>823</v>
      </c>
      <c r="D198" t="s">
        <v>867</v>
      </c>
      <c r="E198" t="s">
        <v>18</v>
      </c>
      <c r="F198" t="s">
        <v>864</v>
      </c>
      <c r="G198" t="s">
        <v>865</v>
      </c>
      <c r="H198" t="s">
        <v>33</v>
      </c>
      <c r="I198" t="s">
        <v>22</v>
      </c>
      <c r="J198" t="s">
        <v>868</v>
      </c>
      <c r="K198" t="s">
        <v>869</v>
      </c>
      <c r="L198" t="s">
        <v>25</v>
      </c>
      <c r="M198" t="s">
        <v>870</v>
      </c>
      <c r="N198" t="s">
        <v>38</v>
      </c>
      <c r="O198" t="s">
        <v>39</v>
      </c>
      <c r="P198">
        <v>9099.93</v>
      </c>
    </row>
    <row r="199" spans="1:16">
      <c r="A199" s="4">
        <v>2016</v>
      </c>
      <c r="B199" s="4">
        <v>142475</v>
      </c>
      <c r="C199" t="s">
        <v>871</v>
      </c>
      <c r="D199" t="s">
        <v>872</v>
      </c>
      <c r="E199" t="s">
        <v>18</v>
      </c>
      <c r="F199" t="s">
        <v>873</v>
      </c>
      <c r="G199" t="s">
        <v>874</v>
      </c>
      <c r="H199" t="s">
        <v>21</v>
      </c>
      <c r="I199" t="s">
        <v>22</v>
      </c>
      <c r="J199" t="s">
        <v>49</v>
      </c>
      <c r="K199" t="s">
        <v>50</v>
      </c>
      <c r="L199" t="s">
        <v>25</v>
      </c>
      <c r="M199" t="s">
        <v>875</v>
      </c>
      <c r="N199" t="s">
        <v>27</v>
      </c>
      <c r="O199" t="s">
        <v>101</v>
      </c>
      <c r="P199">
        <v>590.35199999999998</v>
      </c>
    </row>
    <row r="200" spans="1:16">
      <c r="A200" s="4">
        <v>2016</v>
      </c>
      <c r="B200" s="4">
        <v>110016</v>
      </c>
      <c r="C200" t="s">
        <v>584</v>
      </c>
      <c r="D200" t="s">
        <v>876</v>
      </c>
      <c r="E200" t="s">
        <v>18</v>
      </c>
      <c r="F200" t="s">
        <v>877</v>
      </c>
      <c r="G200" t="s">
        <v>878</v>
      </c>
      <c r="H200" t="s">
        <v>21</v>
      </c>
      <c r="I200" t="s">
        <v>22</v>
      </c>
      <c r="J200" t="s">
        <v>879</v>
      </c>
      <c r="K200" t="s">
        <v>855</v>
      </c>
      <c r="L200" t="s">
        <v>36</v>
      </c>
      <c r="M200" t="s">
        <v>880</v>
      </c>
      <c r="N200" t="s">
        <v>27</v>
      </c>
      <c r="O200" t="s">
        <v>52</v>
      </c>
      <c r="P200">
        <v>19.920000000000002</v>
      </c>
    </row>
    <row r="201" spans="1:16">
      <c r="A201" s="4">
        <v>2017</v>
      </c>
      <c r="B201" s="4">
        <v>161662</v>
      </c>
      <c r="C201" t="s">
        <v>129</v>
      </c>
      <c r="D201" t="s">
        <v>881</v>
      </c>
      <c r="E201" t="s">
        <v>42</v>
      </c>
      <c r="F201" t="s">
        <v>882</v>
      </c>
      <c r="G201" t="s">
        <v>883</v>
      </c>
      <c r="H201" t="s">
        <v>33</v>
      </c>
      <c r="I201" t="s">
        <v>97</v>
      </c>
      <c r="J201" t="s">
        <v>884</v>
      </c>
      <c r="K201" t="s">
        <v>237</v>
      </c>
      <c r="L201" t="s">
        <v>25</v>
      </c>
      <c r="M201" t="s">
        <v>885</v>
      </c>
      <c r="N201" t="s">
        <v>27</v>
      </c>
      <c r="O201" t="s">
        <v>52</v>
      </c>
      <c r="P201">
        <v>30.352</v>
      </c>
    </row>
    <row r="202" spans="1:16">
      <c r="A202" s="4">
        <v>2018</v>
      </c>
      <c r="B202" s="4">
        <v>121314</v>
      </c>
      <c r="C202" t="s">
        <v>640</v>
      </c>
      <c r="D202" t="s">
        <v>886</v>
      </c>
      <c r="E202" t="s">
        <v>42</v>
      </c>
      <c r="F202" t="s">
        <v>882</v>
      </c>
      <c r="G202" t="s">
        <v>883</v>
      </c>
      <c r="H202" t="s">
        <v>33</v>
      </c>
      <c r="I202" t="s">
        <v>97</v>
      </c>
      <c r="J202" t="s">
        <v>437</v>
      </c>
      <c r="K202" t="s">
        <v>196</v>
      </c>
      <c r="L202" t="s">
        <v>45</v>
      </c>
      <c r="M202" t="s">
        <v>887</v>
      </c>
      <c r="N202" t="s">
        <v>27</v>
      </c>
      <c r="O202" t="s">
        <v>52</v>
      </c>
      <c r="P202">
        <v>251.64</v>
      </c>
    </row>
    <row r="203" spans="1:16">
      <c r="A203" s="4">
        <v>2017</v>
      </c>
      <c r="B203" s="4">
        <v>108630</v>
      </c>
      <c r="C203" t="s">
        <v>644</v>
      </c>
      <c r="D203" t="s">
        <v>644</v>
      </c>
      <c r="E203" t="s">
        <v>132</v>
      </c>
      <c r="F203" t="s">
        <v>882</v>
      </c>
      <c r="G203" t="s">
        <v>883</v>
      </c>
      <c r="H203" t="s">
        <v>33</v>
      </c>
      <c r="I203" t="s">
        <v>97</v>
      </c>
      <c r="J203" t="s">
        <v>71</v>
      </c>
      <c r="K203" t="s">
        <v>65</v>
      </c>
      <c r="L203" t="s">
        <v>66</v>
      </c>
      <c r="M203" t="s">
        <v>888</v>
      </c>
      <c r="N203" t="s">
        <v>27</v>
      </c>
      <c r="O203" t="s">
        <v>101</v>
      </c>
      <c r="P203">
        <v>61.12</v>
      </c>
    </row>
    <row r="204" spans="1:16">
      <c r="A204" s="4">
        <v>2017</v>
      </c>
      <c r="B204" s="4">
        <v>163461</v>
      </c>
      <c r="C204" t="s">
        <v>889</v>
      </c>
      <c r="D204" t="s">
        <v>890</v>
      </c>
      <c r="E204" t="s">
        <v>42</v>
      </c>
      <c r="F204" t="s">
        <v>891</v>
      </c>
      <c r="G204" t="s">
        <v>892</v>
      </c>
      <c r="H204" t="s">
        <v>33</v>
      </c>
      <c r="I204" t="s">
        <v>97</v>
      </c>
      <c r="J204" t="s">
        <v>893</v>
      </c>
      <c r="K204" t="s">
        <v>109</v>
      </c>
      <c r="L204" t="s">
        <v>36</v>
      </c>
      <c r="M204" t="s">
        <v>894</v>
      </c>
      <c r="N204" t="s">
        <v>27</v>
      </c>
      <c r="O204" t="s">
        <v>52</v>
      </c>
      <c r="P204">
        <v>76.864000000000004</v>
      </c>
    </row>
    <row r="205" spans="1:16">
      <c r="A205" s="4">
        <v>2017</v>
      </c>
      <c r="B205" s="4">
        <v>106383</v>
      </c>
      <c r="C205" t="s">
        <v>895</v>
      </c>
      <c r="D205" t="s">
        <v>896</v>
      </c>
      <c r="E205" t="s">
        <v>144</v>
      </c>
      <c r="F205" t="s">
        <v>891</v>
      </c>
      <c r="G205" t="s">
        <v>892</v>
      </c>
      <c r="H205" t="s">
        <v>33</v>
      </c>
      <c r="I205" t="s">
        <v>97</v>
      </c>
      <c r="J205" t="s">
        <v>897</v>
      </c>
      <c r="K205" t="s">
        <v>222</v>
      </c>
      <c r="L205" t="s">
        <v>66</v>
      </c>
      <c r="M205" t="s">
        <v>898</v>
      </c>
      <c r="N205" t="s">
        <v>79</v>
      </c>
      <c r="O205" t="s">
        <v>286</v>
      </c>
      <c r="P205">
        <v>72.293999999999997</v>
      </c>
    </row>
    <row r="206" spans="1:16">
      <c r="A206" s="4">
        <v>2015</v>
      </c>
      <c r="B206" s="4">
        <v>138527</v>
      </c>
      <c r="C206" t="s">
        <v>735</v>
      </c>
      <c r="D206" t="s">
        <v>538</v>
      </c>
      <c r="E206" t="s">
        <v>18</v>
      </c>
      <c r="F206" t="s">
        <v>899</v>
      </c>
      <c r="G206" t="s">
        <v>900</v>
      </c>
      <c r="H206" t="s">
        <v>33</v>
      </c>
      <c r="I206" t="s">
        <v>22</v>
      </c>
      <c r="J206" t="s">
        <v>901</v>
      </c>
      <c r="K206" t="s">
        <v>44</v>
      </c>
      <c r="L206" t="s">
        <v>45</v>
      </c>
      <c r="M206" t="s">
        <v>902</v>
      </c>
      <c r="N206" t="s">
        <v>27</v>
      </c>
      <c r="O206" t="s">
        <v>52</v>
      </c>
      <c r="P206">
        <v>10.368</v>
      </c>
    </row>
    <row r="207" spans="1:16">
      <c r="A207" s="4">
        <v>2018</v>
      </c>
      <c r="B207" s="4">
        <v>149006</v>
      </c>
      <c r="C207" t="s">
        <v>903</v>
      </c>
      <c r="D207" t="s">
        <v>224</v>
      </c>
      <c r="E207" t="s">
        <v>144</v>
      </c>
      <c r="F207" t="s">
        <v>899</v>
      </c>
      <c r="G207" t="s">
        <v>900</v>
      </c>
      <c r="H207" t="s">
        <v>33</v>
      </c>
      <c r="I207" t="s">
        <v>22</v>
      </c>
      <c r="J207" t="s">
        <v>210</v>
      </c>
      <c r="K207" t="s">
        <v>65</v>
      </c>
      <c r="L207" t="s">
        <v>66</v>
      </c>
      <c r="M207" t="s">
        <v>904</v>
      </c>
      <c r="N207" t="s">
        <v>27</v>
      </c>
      <c r="O207" t="s">
        <v>58</v>
      </c>
      <c r="P207">
        <v>10.68</v>
      </c>
    </row>
    <row r="208" spans="1:16">
      <c r="A208" s="4">
        <v>2016</v>
      </c>
      <c r="B208" s="4">
        <v>165085</v>
      </c>
      <c r="C208" t="s">
        <v>622</v>
      </c>
      <c r="D208" t="s">
        <v>623</v>
      </c>
      <c r="E208" t="s">
        <v>18</v>
      </c>
      <c r="F208" t="s">
        <v>905</v>
      </c>
      <c r="G208" t="s">
        <v>906</v>
      </c>
      <c r="H208" t="s">
        <v>21</v>
      </c>
      <c r="I208" t="s">
        <v>63</v>
      </c>
      <c r="J208" t="s">
        <v>907</v>
      </c>
      <c r="K208" t="s">
        <v>706</v>
      </c>
      <c r="L208" t="s">
        <v>25</v>
      </c>
      <c r="M208" t="s">
        <v>908</v>
      </c>
      <c r="N208" t="s">
        <v>27</v>
      </c>
      <c r="O208" t="s">
        <v>52</v>
      </c>
      <c r="P208">
        <v>28.9</v>
      </c>
    </row>
    <row r="209" spans="1:16">
      <c r="A209" s="4">
        <v>2015</v>
      </c>
      <c r="B209" s="4">
        <v>140795</v>
      </c>
      <c r="C209" t="s">
        <v>909</v>
      </c>
      <c r="D209" t="s">
        <v>910</v>
      </c>
      <c r="E209" t="s">
        <v>42</v>
      </c>
      <c r="F209" t="s">
        <v>911</v>
      </c>
      <c r="G209" t="s">
        <v>912</v>
      </c>
      <c r="H209" t="s">
        <v>33</v>
      </c>
      <c r="I209" t="s">
        <v>97</v>
      </c>
      <c r="J209" t="s">
        <v>699</v>
      </c>
      <c r="K209" t="s">
        <v>478</v>
      </c>
      <c r="L209" t="s">
        <v>36</v>
      </c>
      <c r="M209" t="s">
        <v>913</v>
      </c>
      <c r="N209" t="s">
        <v>38</v>
      </c>
      <c r="O209" t="s">
        <v>68</v>
      </c>
      <c r="P209">
        <v>468.9</v>
      </c>
    </row>
    <row r="210" spans="1:16">
      <c r="A210" s="4">
        <v>2018</v>
      </c>
      <c r="B210" s="4">
        <v>133312</v>
      </c>
      <c r="C210" t="s">
        <v>784</v>
      </c>
      <c r="D210" t="s">
        <v>914</v>
      </c>
      <c r="E210" t="s">
        <v>18</v>
      </c>
      <c r="F210" t="s">
        <v>911</v>
      </c>
      <c r="G210" t="s">
        <v>912</v>
      </c>
      <c r="H210" t="s">
        <v>33</v>
      </c>
      <c r="I210" t="s">
        <v>97</v>
      </c>
      <c r="J210" t="s">
        <v>226</v>
      </c>
      <c r="K210" t="s">
        <v>65</v>
      </c>
      <c r="L210" t="s">
        <v>66</v>
      </c>
      <c r="M210" t="s">
        <v>915</v>
      </c>
      <c r="N210" t="s">
        <v>79</v>
      </c>
      <c r="O210" t="s">
        <v>286</v>
      </c>
      <c r="P210">
        <v>359.49900000000002</v>
      </c>
    </row>
    <row r="211" spans="1:16">
      <c r="A211" s="4">
        <v>2018</v>
      </c>
      <c r="B211" s="4">
        <v>163405</v>
      </c>
      <c r="C211" t="s">
        <v>375</v>
      </c>
      <c r="D211" t="s">
        <v>916</v>
      </c>
      <c r="E211" t="s">
        <v>18</v>
      </c>
      <c r="F211" t="s">
        <v>917</v>
      </c>
      <c r="G211" t="s">
        <v>918</v>
      </c>
      <c r="H211" t="s">
        <v>33</v>
      </c>
      <c r="I211" t="s">
        <v>97</v>
      </c>
      <c r="J211" t="s">
        <v>64</v>
      </c>
      <c r="K211" t="s">
        <v>65</v>
      </c>
      <c r="L211" t="s">
        <v>66</v>
      </c>
      <c r="M211" t="s">
        <v>919</v>
      </c>
      <c r="N211" t="s">
        <v>27</v>
      </c>
      <c r="O211" t="s">
        <v>28</v>
      </c>
      <c r="P211">
        <v>6.63</v>
      </c>
    </row>
    <row r="212" spans="1:16">
      <c r="A212" s="4">
        <v>2018</v>
      </c>
      <c r="B212" s="4">
        <v>131625</v>
      </c>
      <c r="C212" t="s">
        <v>352</v>
      </c>
      <c r="D212" t="s">
        <v>920</v>
      </c>
      <c r="E212" t="s">
        <v>144</v>
      </c>
      <c r="F212" t="s">
        <v>917</v>
      </c>
      <c r="G212" t="s">
        <v>918</v>
      </c>
      <c r="H212" t="s">
        <v>33</v>
      </c>
      <c r="I212" t="s">
        <v>97</v>
      </c>
      <c r="J212" t="s">
        <v>49</v>
      </c>
      <c r="K212" t="s">
        <v>50</v>
      </c>
      <c r="L212" t="s">
        <v>25</v>
      </c>
      <c r="M212" t="s">
        <v>921</v>
      </c>
      <c r="N212" t="s">
        <v>79</v>
      </c>
      <c r="O212" t="s">
        <v>80</v>
      </c>
      <c r="P212">
        <v>114.9</v>
      </c>
    </row>
    <row r="213" spans="1:16">
      <c r="A213" s="4">
        <v>2015</v>
      </c>
      <c r="B213" s="4">
        <v>146864</v>
      </c>
      <c r="C213" t="s">
        <v>922</v>
      </c>
      <c r="D213" t="s">
        <v>181</v>
      </c>
      <c r="E213" t="s">
        <v>18</v>
      </c>
      <c r="F213" t="s">
        <v>923</v>
      </c>
      <c r="G213" t="s">
        <v>924</v>
      </c>
      <c r="H213" t="s">
        <v>21</v>
      </c>
      <c r="I213" t="s">
        <v>63</v>
      </c>
      <c r="J213" t="s">
        <v>49</v>
      </c>
      <c r="K213" t="s">
        <v>50</v>
      </c>
      <c r="L213" t="s">
        <v>25</v>
      </c>
      <c r="M213" t="s">
        <v>925</v>
      </c>
      <c r="N213" t="s">
        <v>27</v>
      </c>
      <c r="O213" t="s">
        <v>58</v>
      </c>
      <c r="P213">
        <v>216.4</v>
      </c>
    </row>
    <row r="214" spans="1:16">
      <c r="A214" s="4">
        <v>2018</v>
      </c>
      <c r="B214" s="4">
        <v>130043</v>
      </c>
      <c r="C214" t="s">
        <v>702</v>
      </c>
      <c r="D214" t="s">
        <v>926</v>
      </c>
      <c r="E214" t="s">
        <v>18</v>
      </c>
      <c r="F214" t="s">
        <v>927</v>
      </c>
      <c r="G214" t="s">
        <v>928</v>
      </c>
      <c r="H214" t="s">
        <v>33</v>
      </c>
      <c r="I214" t="s">
        <v>22</v>
      </c>
      <c r="J214" t="s">
        <v>183</v>
      </c>
      <c r="K214" t="s">
        <v>35</v>
      </c>
      <c r="L214" t="s">
        <v>36</v>
      </c>
      <c r="M214" t="s">
        <v>929</v>
      </c>
      <c r="N214" t="s">
        <v>27</v>
      </c>
      <c r="O214" t="s">
        <v>52</v>
      </c>
      <c r="P214">
        <v>31.872</v>
      </c>
    </row>
    <row r="215" spans="1:16">
      <c r="A215" s="4">
        <v>2017</v>
      </c>
      <c r="B215" s="4">
        <v>124506</v>
      </c>
      <c r="C215" t="s">
        <v>930</v>
      </c>
      <c r="D215" t="s">
        <v>931</v>
      </c>
      <c r="E215" t="s">
        <v>18</v>
      </c>
      <c r="F215" t="s">
        <v>927</v>
      </c>
      <c r="G215" t="s">
        <v>928</v>
      </c>
      <c r="H215" t="s">
        <v>33</v>
      </c>
      <c r="I215" t="s">
        <v>22</v>
      </c>
      <c r="J215" t="s">
        <v>108</v>
      </c>
      <c r="K215" t="s">
        <v>109</v>
      </c>
      <c r="L215" t="s">
        <v>36</v>
      </c>
      <c r="M215" t="s">
        <v>932</v>
      </c>
      <c r="N215" t="s">
        <v>38</v>
      </c>
      <c r="O215" t="s">
        <v>68</v>
      </c>
      <c r="P215">
        <v>95.968000000000004</v>
      </c>
    </row>
    <row r="216" spans="1:16">
      <c r="A216" s="4">
        <v>2017</v>
      </c>
      <c r="B216" s="4">
        <v>155166</v>
      </c>
      <c r="C216" t="s">
        <v>933</v>
      </c>
      <c r="D216" t="s">
        <v>40</v>
      </c>
      <c r="E216" t="s">
        <v>18</v>
      </c>
      <c r="F216" t="s">
        <v>927</v>
      </c>
      <c r="G216" t="s">
        <v>928</v>
      </c>
      <c r="H216" t="s">
        <v>33</v>
      </c>
      <c r="I216" t="s">
        <v>22</v>
      </c>
      <c r="J216" t="s">
        <v>934</v>
      </c>
      <c r="K216" t="s">
        <v>869</v>
      </c>
      <c r="L216" t="s">
        <v>25</v>
      </c>
      <c r="M216" t="s">
        <v>935</v>
      </c>
      <c r="N216" t="s">
        <v>79</v>
      </c>
      <c r="O216" t="s">
        <v>138</v>
      </c>
      <c r="P216">
        <v>212.94</v>
      </c>
    </row>
    <row r="217" spans="1:16">
      <c r="A217" s="4">
        <v>2016</v>
      </c>
      <c r="B217" s="4">
        <v>115168</v>
      </c>
      <c r="C217" t="s">
        <v>936</v>
      </c>
      <c r="D217" t="s">
        <v>748</v>
      </c>
      <c r="E217" t="s">
        <v>18</v>
      </c>
      <c r="F217" t="s">
        <v>927</v>
      </c>
      <c r="G217" t="s">
        <v>928</v>
      </c>
      <c r="H217" t="s">
        <v>33</v>
      </c>
      <c r="I217" t="s">
        <v>22</v>
      </c>
      <c r="J217" t="s">
        <v>937</v>
      </c>
      <c r="K217" t="s">
        <v>99</v>
      </c>
      <c r="L217" t="s">
        <v>36</v>
      </c>
      <c r="M217" t="s">
        <v>938</v>
      </c>
      <c r="N217" t="s">
        <v>27</v>
      </c>
      <c r="O217" t="s">
        <v>52</v>
      </c>
      <c r="P217">
        <v>10.56</v>
      </c>
    </row>
    <row r="218" spans="1:16">
      <c r="A218" s="4">
        <v>2017</v>
      </c>
      <c r="B218" s="4">
        <v>142615</v>
      </c>
      <c r="C218" t="s">
        <v>339</v>
      </c>
      <c r="D218" t="s">
        <v>359</v>
      </c>
      <c r="E218" t="s">
        <v>18</v>
      </c>
      <c r="F218" t="s">
        <v>939</v>
      </c>
      <c r="G218" t="s">
        <v>940</v>
      </c>
      <c r="H218" t="s">
        <v>21</v>
      </c>
      <c r="I218" t="s">
        <v>22</v>
      </c>
      <c r="J218" t="s">
        <v>941</v>
      </c>
      <c r="K218" t="s">
        <v>65</v>
      </c>
      <c r="L218" t="s">
        <v>66</v>
      </c>
      <c r="M218" t="s">
        <v>942</v>
      </c>
      <c r="N218" t="s">
        <v>38</v>
      </c>
      <c r="O218" t="s">
        <v>68</v>
      </c>
      <c r="P218">
        <v>27.88</v>
      </c>
    </row>
    <row r="219" spans="1:16">
      <c r="A219" s="4">
        <v>2015</v>
      </c>
      <c r="B219" s="4">
        <v>106376</v>
      </c>
      <c r="C219" t="s">
        <v>943</v>
      </c>
      <c r="D219" t="s">
        <v>944</v>
      </c>
      <c r="E219" t="s">
        <v>18</v>
      </c>
      <c r="F219" t="s">
        <v>945</v>
      </c>
      <c r="G219" t="s">
        <v>946</v>
      </c>
      <c r="H219" t="s">
        <v>21</v>
      </c>
      <c r="I219" t="s">
        <v>22</v>
      </c>
      <c r="J219" t="s">
        <v>947</v>
      </c>
      <c r="K219" t="s">
        <v>136</v>
      </c>
      <c r="L219" t="s">
        <v>66</v>
      </c>
      <c r="M219" t="s">
        <v>231</v>
      </c>
      <c r="N219" t="s">
        <v>27</v>
      </c>
      <c r="O219" t="s">
        <v>28</v>
      </c>
      <c r="P219">
        <v>1113.0239999999999</v>
      </c>
    </row>
    <row r="220" spans="1:16">
      <c r="A220" s="4">
        <v>2016</v>
      </c>
      <c r="B220" s="4">
        <v>158792</v>
      </c>
      <c r="C220" t="s">
        <v>948</v>
      </c>
      <c r="D220" t="s">
        <v>949</v>
      </c>
      <c r="E220" t="s">
        <v>18</v>
      </c>
      <c r="F220" t="s">
        <v>950</v>
      </c>
      <c r="G220" t="s">
        <v>951</v>
      </c>
      <c r="H220" t="s">
        <v>33</v>
      </c>
      <c r="I220" t="s">
        <v>97</v>
      </c>
      <c r="J220" t="s">
        <v>952</v>
      </c>
      <c r="K220" t="s">
        <v>284</v>
      </c>
      <c r="L220" t="s">
        <v>25</v>
      </c>
      <c r="M220" t="s">
        <v>953</v>
      </c>
      <c r="N220" t="s">
        <v>27</v>
      </c>
      <c r="O220" t="s">
        <v>452</v>
      </c>
      <c r="P220">
        <v>22.2</v>
      </c>
    </row>
    <row r="221" spans="1:16">
      <c r="A221" s="4">
        <v>2018</v>
      </c>
      <c r="B221" s="4">
        <v>144694</v>
      </c>
      <c r="C221" t="s">
        <v>469</v>
      </c>
      <c r="D221" t="s">
        <v>886</v>
      </c>
      <c r="E221" t="s">
        <v>144</v>
      </c>
      <c r="F221" t="s">
        <v>950</v>
      </c>
      <c r="G221" t="s">
        <v>951</v>
      </c>
      <c r="H221" t="s">
        <v>33</v>
      </c>
      <c r="I221" t="s">
        <v>97</v>
      </c>
      <c r="J221" t="s">
        <v>437</v>
      </c>
      <c r="K221" t="s">
        <v>196</v>
      </c>
      <c r="L221" t="s">
        <v>45</v>
      </c>
      <c r="M221" t="s">
        <v>954</v>
      </c>
      <c r="N221" t="s">
        <v>38</v>
      </c>
      <c r="O221" t="s">
        <v>68</v>
      </c>
      <c r="P221">
        <v>17.88</v>
      </c>
    </row>
    <row r="222" spans="1:16">
      <c r="A222" s="4">
        <v>2017</v>
      </c>
      <c r="B222" s="4">
        <v>112102</v>
      </c>
      <c r="C222" t="s">
        <v>822</v>
      </c>
      <c r="D222" t="s">
        <v>823</v>
      </c>
      <c r="E222" t="s">
        <v>18</v>
      </c>
      <c r="F222" t="s">
        <v>950</v>
      </c>
      <c r="G222" t="s">
        <v>951</v>
      </c>
      <c r="H222" t="s">
        <v>33</v>
      </c>
      <c r="I222" t="s">
        <v>97</v>
      </c>
      <c r="J222" t="s">
        <v>98</v>
      </c>
      <c r="K222" t="s">
        <v>56</v>
      </c>
      <c r="L222" t="s">
        <v>45</v>
      </c>
      <c r="M222" t="s">
        <v>955</v>
      </c>
      <c r="N222" t="s">
        <v>79</v>
      </c>
      <c r="O222" t="s">
        <v>347</v>
      </c>
      <c r="P222">
        <v>343.92</v>
      </c>
    </row>
    <row r="223" spans="1:16">
      <c r="A223" s="4">
        <v>2017</v>
      </c>
      <c r="B223" s="4">
        <v>100202</v>
      </c>
      <c r="C223" t="s">
        <v>753</v>
      </c>
      <c r="D223" t="s">
        <v>956</v>
      </c>
      <c r="E223" t="s">
        <v>18</v>
      </c>
      <c r="F223" t="s">
        <v>957</v>
      </c>
      <c r="G223" t="s">
        <v>958</v>
      </c>
      <c r="H223" t="s">
        <v>33</v>
      </c>
      <c r="I223" t="s">
        <v>97</v>
      </c>
      <c r="J223" t="s">
        <v>959</v>
      </c>
      <c r="K223" t="s">
        <v>65</v>
      </c>
      <c r="L223" t="s">
        <v>66</v>
      </c>
      <c r="M223" t="s">
        <v>960</v>
      </c>
      <c r="N223" t="s">
        <v>38</v>
      </c>
      <c r="O223" t="s">
        <v>118</v>
      </c>
      <c r="P223">
        <v>302.37599999999998</v>
      </c>
    </row>
    <row r="224" spans="1:16">
      <c r="A224" s="4">
        <v>2018</v>
      </c>
      <c r="B224" s="4">
        <v>130211</v>
      </c>
      <c r="C224" t="s">
        <v>961</v>
      </c>
      <c r="D224" t="s">
        <v>961</v>
      </c>
      <c r="E224" t="s">
        <v>132</v>
      </c>
      <c r="F224" t="s">
        <v>957</v>
      </c>
      <c r="G224" t="s">
        <v>958</v>
      </c>
      <c r="H224" t="s">
        <v>33</v>
      </c>
      <c r="I224" t="s">
        <v>97</v>
      </c>
      <c r="J224" t="s">
        <v>962</v>
      </c>
      <c r="K224" t="s">
        <v>152</v>
      </c>
      <c r="L224" t="s">
        <v>36</v>
      </c>
      <c r="M224" t="s">
        <v>963</v>
      </c>
      <c r="N224" t="s">
        <v>27</v>
      </c>
      <c r="O224" t="s">
        <v>58</v>
      </c>
      <c r="P224">
        <v>333.09</v>
      </c>
    </row>
    <row r="225" spans="1:16">
      <c r="A225" s="4">
        <v>2018</v>
      </c>
      <c r="B225" s="4">
        <v>149048</v>
      </c>
      <c r="C225" t="s">
        <v>964</v>
      </c>
      <c r="D225" t="s">
        <v>965</v>
      </c>
      <c r="E225" t="s">
        <v>18</v>
      </c>
      <c r="F225" t="s">
        <v>966</v>
      </c>
      <c r="G225" t="s">
        <v>967</v>
      </c>
      <c r="H225" t="s">
        <v>33</v>
      </c>
      <c r="I225" t="s">
        <v>22</v>
      </c>
      <c r="J225" t="s">
        <v>473</v>
      </c>
      <c r="K225" t="s">
        <v>122</v>
      </c>
      <c r="L225" t="s">
        <v>36</v>
      </c>
      <c r="M225" t="s">
        <v>968</v>
      </c>
      <c r="N225" t="s">
        <v>27</v>
      </c>
      <c r="O225" t="s">
        <v>501</v>
      </c>
      <c r="P225">
        <v>180.96</v>
      </c>
    </row>
    <row r="226" spans="1:16">
      <c r="A226" s="4">
        <v>2015</v>
      </c>
      <c r="B226" s="4">
        <v>134733</v>
      </c>
      <c r="C226" t="s">
        <v>969</v>
      </c>
      <c r="D226" t="s">
        <v>970</v>
      </c>
      <c r="E226" t="s">
        <v>18</v>
      </c>
      <c r="F226" t="s">
        <v>966</v>
      </c>
      <c r="G226" t="s">
        <v>967</v>
      </c>
      <c r="H226" t="s">
        <v>33</v>
      </c>
      <c r="I226" t="s">
        <v>22</v>
      </c>
      <c r="J226" t="s">
        <v>630</v>
      </c>
      <c r="K226" t="s">
        <v>65</v>
      </c>
      <c r="L226" t="s">
        <v>66</v>
      </c>
      <c r="M226" t="s">
        <v>971</v>
      </c>
      <c r="N226" t="s">
        <v>79</v>
      </c>
      <c r="O226" t="s">
        <v>286</v>
      </c>
      <c r="P226">
        <v>435.99900000000002</v>
      </c>
    </row>
    <row r="227" spans="1:16">
      <c r="A227" s="4">
        <v>2016</v>
      </c>
      <c r="B227" s="4">
        <v>100454</v>
      </c>
      <c r="C227" t="s">
        <v>972</v>
      </c>
      <c r="D227" t="s">
        <v>973</v>
      </c>
      <c r="E227" t="s">
        <v>18</v>
      </c>
      <c r="F227" t="s">
        <v>966</v>
      </c>
      <c r="G227" t="s">
        <v>967</v>
      </c>
      <c r="H227" t="s">
        <v>33</v>
      </c>
      <c r="I227" t="s">
        <v>22</v>
      </c>
      <c r="J227" t="s">
        <v>49</v>
      </c>
      <c r="K227" t="s">
        <v>50</v>
      </c>
      <c r="L227" t="s">
        <v>25</v>
      </c>
      <c r="M227" t="s">
        <v>974</v>
      </c>
      <c r="N227" t="s">
        <v>27</v>
      </c>
      <c r="O227" t="s">
        <v>28</v>
      </c>
      <c r="P227">
        <v>60.45</v>
      </c>
    </row>
    <row r="228" spans="1:16">
      <c r="A228" s="4">
        <v>2018</v>
      </c>
      <c r="B228" s="4">
        <v>152912</v>
      </c>
      <c r="C228" t="s">
        <v>975</v>
      </c>
      <c r="D228" t="s">
        <v>976</v>
      </c>
      <c r="E228" t="s">
        <v>144</v>
      </c>
      <c r="F228" t="s">
        <v>966</v>
      </c>
      <c r="G228" t="s">
        <v>967</v>
      </c>
      <c r="H228" t="s">
        <v>33</v>
      </c>
      <c r="I228" t="s">
        <v>22</v>
      </c>
      <c r="J228" t="s">
        <v>977</v>
      </c>
      <c r="K228" t="s">
        <v>706</v>
      </c>
      <c r="L228" t="s">
        <v>25</v>
      </c>
      <c r="M228" t="s">
        <v>978</v>
      </c>
      <c r="N228" t="s">
        <v>27</v>
      </c>
      <c r="O228" t="s">
        <v>101</v>
      </c>
      <c r="P228">
        <v>9.64</v>
      </c>
    </row>
    <row r="229" spans="1:16">
      <c r="A229" s="4">
        <v>2016</v>
      </c>
      <c r="B229" s="4">
        <v>126725</v>
      </c>
      <c r="C229" t="s">
        <v>979</v>
      </c>
      <c r="D229" t="s">
        <v>980</v>
      </c>
      <c r="E229" t="s">
        <v>18</v>
      </c>
      <c r="F229" t="s">
        <v>981</v>
      </c>
      <c r="G229" t="s">
        <v>982</v>
      </c>
      <c r="H229" t="s">
        <v>21</v>
      </c>
      <c r="I229" t="s">
        <v>97</v>
      </c>
      <c r="J229" t="s">
        <v>630</v>
      </c>
      <c r="K229" t="s">
        <v>65</v>
      </c>
      <c r="L229" t="s">
        <v>66</v>
      </c>
      <c r="M229" t="s">
        <v>983</v>
      </c>
      <c r="N229" t="s">
        <v>38</v>
      </c>
      <c r="O229" t="s">
        <v>118</v>
      </c>
      <c r="P229">
        <v>415.96800000000002</v>
      </c>
    </row>
    <row r="230" spans="1:16">
      <c r="A230" s="4">
        <v>2018</v>
      </c>
      <c r="B230" s="4">
        <v>161193</v>
      </c>
      <c r="C230" t="s">
        <v>984</v>
      </c>
      <c r="D230" t="s">
        <v>81</v>
      </c>
      <c r="E230" t="s">
        <v>18</v>
      </c>
      <c r="F230" t="s">
        <v>985</v>
      </c>
      <c r="G230" t="s">
        <v>986</v>
      </c>
      <c r="H230" t="s">
        <v>33</v>
      </c>
      <c r="I230" t="s">
        <v>97</v>
      </c>
      <c r="J230" t="s">
        <v>987</v>
      </c>
      <c r="K230" t="s">
        <v>237</v>
      </c>
      <c r="L230" t="s">
        <v>25</v>
      </c>
      <c r="M230" t="s">
        <v>988</v>
      </c>
      <c r="N230" t="s">
        <v>79</v>
      </c>
      <c r="O230" t="s">
        <v>80</v>
      </c>
      <c r="P230">
        <v>77.599999999999994</v>
      </c>
    </row>
    <row r="231" spans="1:16">
      <c r="A231" s="4">
        <v>2017</v>
      </c>
      <c r="B231" s="4">
        <v>123358</v>
      </c>
      <c r="C231" t="s">
        <v>989</v>
      </c>
      <c r="D231" t="s">
        <v>843</v>
      </c>
      <c r="E231" t="s">
        <v>18</v>
      </c>
      <c r="F231" t="s">
        <v>985</v>
      </c>
      <c r="G231" t="s">
        <v>986</v>
      </c>
      <c r="H231" t="s">
        <v>33</v>
      </c>
      <c r="I231" t="s">
        <v>97</v>
      </c>
      <c r="J231" t="s">
        <v>226</v>
      </c>
      <c r="K231" t="s">
        <v>65</v>
      </c>
      <c r="L231" t="s">
        <v>66</v>
      </c>
      <c r="M231" t="s">
        <v>990</v>
      </c>
      <c r="N231" t="s">
        <v>27</v>
      </c>
      <c r="O231" t="s">
        <v>228</v>
      </c>
      <c r="P231">
        <v>113.76</v>
      </c>
    </row>
    <row r="232" spans="1:16">
      <c r="A232" s="4">
        <v>2015</v>
      </c>
      <c r="B232" s="4">
        <v>121629</v>
      </c>
      <c r="C232" t="s">
        <v>991</v>
      </c>
      <c r="D232" t="s">
        <v>992</v>
      </c>
      <c r="E232" t="s">
        <v>18</v>
      </c>
      <c r="F232" t="s">
        <v>985</v>
      </c>
      <c r="G232" t="s">
        <v>986</v>
      </c>
      <c r="H232" t="s">
        <v>33</v>
      </c>
      <c r="I232" t="s">
        <v>97</v>
      </c>
      <c r="J232" t="s">
        <v>183</v>
      </c>
      <c r="K232" t="s">
        <v>35</v>
      </c>
      <c r="L232" t="s">
        <v>36</v>
      </c>
      <c r="M232" t="s">
        <v>993</v>
      </c>
      <c r="N232" t="s">
        <v>38</v>
      </c>
      <c r="O232" t="s">
        <v>39</v>
      </c>
      <c r="P232">
        <v>998.85</v>
      </c>
    </row>
    <row r="233" spans="1:16">
      <c r="A233" s="4">
        <v>2017</v>
      </c>
      <c r="B233" s="4">
        <v>153682</v>
      </c>
      <c r="C233" t="s">
        <v>994</v>
      </c>
      <c r="D233" t="s">
        <v>995</v>
      </c>
      <c r="E233" t="s">
        <v>42</v>
      </c>
      <c r="F233" t="s">
        <v>996</v>
      </c>
      <c r="G233" t="s">
        <v>997</v>
      </c>
      <c r="H233" t="s">
        <v>21</v>
      </c>
      <c r="I233" t="s">
        <v>22</v>
      </c>
      <c r="J233" t="s">
        <v>341</v>
      </c>
      <c r="K233" t="s">
        <v>237</v>
      </c>
      <c r="L233" t="s">
        <v>25</v>
      </c>
      <c r="M233" t="s">
        <v>998</v>
      </c>
      <c r="N233" t="s">
        <v>38</v>
      </c>
      <c r="O233" t="s">
        <v>190</v>
      </c>
      <c r="P233">
        <v>839.98800000000006</v>
      </c>
    </row>
    <row r="234" spans="1:16">
      <c r="A234" s="4">
        <v>2016</v>
      </c>
      <c r="B234" s="4">
        <v>149300</v>
      </c>
      <c r="C234" t="s">
        <v>418</v>
      </c>
      <c r="D234" t="s">
        <v>999</v>
      </c>
      <c r="E234" t="s">
        <v>42</v>
      </c>
      <c r="F234" t="s">
        <v>1000</v>
      </c>
      <c r="G234" t="s">
        <v>1001</v>
      </c>
      <c r="H234" t="s">
        <v>33</v>
      </c>
      <c r="I234" t="s">
        <v>97</v>
      </c>
      <c r="J234" t="s">
        <v>1002</v>
      </c>
      <c r="K234" t="s">
        <v>196</v>
      </c>
      <c r="L234" t="s">
        <v>45</v>
      </c>
      <c r="M234" t="s">
        <v>1003</v>
      </c>
      <c r="N234" t="s">
        <v>38</v>
      </c>
      <c r="O234" t="s">
        <v>39</v>
      </c>
      <c r="P234">
        <v>32.984999999999999</v>
      </c>
    </row>
    <row r="235" spans="1:16">
      <c r="A235" s="4">
        <v>2015</v>
      </c>
      <c r="B235" s="4">
        <v>115812</v>
      </c>
      <c r="C235" t="s">
        <v>1004</v>
      </c>
      <c r="D235" t="s">
        <v>1005</v>
      </c>
      <c r="E235" t="s">
        <v>18</v>
      </c>
      <c r="F235" t="s">
        <v>1000</v>
      </c>
      <c r="G235" t="s">
        <v>1001</v>
      </c>
      <c r="H235" t="s">
        <v>33</v>
      </c>
      <c r="I235" t="s">
        <v>97</v>
      </c>
      <c r="J235" t="s">
        <v>64</v>
      </c>
      <c r="K235" t="s">
        <v>65</v>
      </c>
      <c r="L235" t="s">
        <v>66</v>
      </c>
      <c r="M235" t="s">
        <v>1006</v>
      </c>
      <c r="N235" t="s">
        <v>79</v>
      </c>
      <c r="O235" t="s">
        <v>80</v>
      </c>
      <c r="P235">
        <v>48.86</v>
      </c>
    </row>
    <row r="236" spans="1:16">
      <c r="A236" s="4">
        <v>2016</v>
      </c>
      <c r="B236" s="4">
        <v>128139</v>
      </c>
      <c r="C236" t="s">
        <v>1007</v>
      </c>
      <c r="D236" t="s">
        <v>1008</v>
      </c>
      <c r="E236" t="s">
        <v>18</v>
      </c>
      <c r="F236" t="s">
        <v>1009</v>
      </c>
      <c r="G236" t="s">
        <v>1010</v>
      </c>
      <c r="H236" t="s">
        <v>21</v>
      </c>
      <c r="I236" t="s">
        <v>97</v>
      </c>
      <c r="J236" t="s">
        <v>1011</v>
      </c>
      <c r="K236" t="s">
        <v>126</v>
      </c>
      <c r="L236" t="s">
        <v>45</v>
      </c>
      <c r="M236" t="s">
        <v>1012</v>
      </c>
      <c r="N236" t="s">
        <v>79</v>
      </c>
      <c r="O236" t="s">
        <v>138</v>
      </c>
      <c r="P236">
        <v>70.98</v>
      </c>
    </row>
    <row r="237" spans="1:16">
      <c r="A237" s="4">
        <v>2015</v>
      </c>
      <c r="B237" s="4">
        <v>103373</v>
      </c>
      <c r="C237" t="s">
        <v>1013</v>
      </c>
      <c r="D237" t="s">
        <v>1014</v>
      </c>
      <c r="E237" t="s">
        <v>18</v>
      </c>
      <c r="F237" t="s">
        <v>1015</v>
      </c>
      <c r="G237" t="s">
        <v>1016</v>
      </c>
      <c r="H237" t="s">
        <v>33</v>
      </c>
      <c r="I237" t="s">
        <v>97</v>
      </c>
      <c r="J237" t="s">
        <v>236</v>
      </c>
      <c r="K237" t="s">
        <v>237</v>
      </c>
      <c r="L237" t="s">
        <v>25</v>
      </c>
      <c r="M237" t="s">
        <v>1017</v>
      </c>
      <c r="N237" t="s">
        <v>38</v>
      </c>
      <c r="O237" t="s">
        <v>118</v>
      </c>
      <c r="P237">
        <v>779.79600000000005</v>
      </c>
    </row>
    <row r="238" spans="1:16">
      <c r="A238" s="4">
        <v>2018</v>
      </c>
      <c r="B238" s="4">
        <v>130631</v>
      </c>
      <c r="C238" t="s">
        <v>425</v>
      </c>
      <c r="D238" t="s">
        <v>1018</v>
      </c>
      <c r="E238" t="s">
        <v>18</v>
      </c>
      <c r="F238" t="s">
        <v>1015</v>
      </c>
      <c r="G238" t="s">
        <v>1016</v>
      </c>
      <c r="H238" t="s">
        <v>33</v>
      </c>
      <c r="I238" t="s">
        <v>97</v>
      </c>
      <c r="J238" t="s">
        <v>1019</v>
      </c>
      <c r="K238" t="s">
        <v>165</v>
      </c>
      <c r="L238" t="s">
        <v>66</v>
      </c>
      <c r="M238" t="s">
        <v>1020</v>
      </c>
      <c r="N238" t="s">
        <v>27</v>
      </c>
      <c r="O238" t="s">
        <v>452</v>
      </c>
      <c r="P238">
        <v>19.600000000000001</v>
      </c>
    </row>
    <row r="239" spans="1:16">
      <c r="A239" s="4">
        <v>2015</v>
      </c>
      <c r="B239" s="4">
        <v>133690</v>
      </c>
      <c r="C239" t="s">
        <v>806</v>
      </c>
      <c r="D239" t="s">
        <v>1021</v>
      </c>
      <c r="E239" t="s">
        <v>42</v>
      </c>
      <c r="F239" t="s">
        <v>1015</v>
      </c>
      <c r="G239" t="s">
        <v>1016</v>
      </c>
      <c r="H239" t="s">
        <v>33</v>
      </c>
      <c r="I239" t="s">
        <v>97</v>
      </c>
      <c r="J239" t="s">
        <v>636</v>
      </c>
      <c r="K239" t="s">
        <v>222</v>
      </c>
      <c r="L239" t="s">
        <v>66</v>
      </c>
      <c r="M239" t="s">
        <v>1022</v>
      </c>
      <c r="N239" t="s">
        <v>79</v>
      </c>
      <c r="O239" t="s">
        <v>347</v>
      </c>
      <c r="P239">
        <v>218.75</v>
      </c>
    </row>
    <row r="240" spans="1:16">
      <c r="A240" s="4">
        <v>2017</v>
      </c>
      <c r="B240" s="4">
        <v>124667</v>
      </c>
      <c r="C240" t="s">
        <v>930</v>
      </c>
      <c r="D240" t="s">
        <v>316</v>
      </c>
      <c r="E240" t="s">
        <v>18</v>
      </c>
      <c r="F240" t="s">
        <v>1023</v>
      </c>
      <c r="G240" t="s">
        <v>1024</v>
      </c>
      <c r="H240" t="s">
        <v>33</v>
      </c>
      <c r="I240" t="s">
        <v>97</v>
      </c>
      <c r="J240" t="s">
        <v>49</v>
      </c>
      <c r="K240" t="s">
        <v>50</v>
      </c>
      <c r="L240" t="s">
        <v>25</v>
      </c>
      <c r="M240" t="s">
        <v>1025</v>
      </c>
      <c r="N240" t="s">
        <v>38</v>
      </c>
      <c r="O240" t="s">
        <v>68</v>
      </c>
      <c r="P240">
        <v>59.97</v>
      </c>
    </row>
    <row r="241" spans="1:16">
      <c r="A241" s="4">
        <v>2017</v>
      </c>
      <c r="B241" s="4">
        <v>148698</v>
      </c>
      <c r="C241" t="s">
        <v>1026</v>
      </c>
      <c r="D241" t="s">
        <v>1027</v>
      </c>
      <c r="E241" t="s">
        <v>18</v>
      </c>
      <c r="F241" t="s">
        <v>1023</v>
      </c>
      <c r="G241" t="s">
        <v>1024</v>
      </c>
      <c r="H241" t="s">
        <v>33</v>
      </c>
      <c r="I241" t="s">
        <v>97</v>
      </c>
      <c r="J241" t="s">
        <v>183</v>
      </c>
      <c r="K241" t="s">
        <v>35</v>
      </c>
      <c r="L241" t="s">
        <v>36</v>
      </c>
      <c r="M241" t="s">
        <v>1028</v>
      </c>
      <c r="N241" t="s">
        <v>27</v>
      </c>
      <c r="O241" t="s">
        <v>28</v>
      </c>
      <c r="P241">
        <v>86.352000000000004</v>
      </c>
    </row>
    <row r="242" spans="1:16">
      <c r="A242" s="4">
        <v>2016</v>
      </c>
      <c r="B242" s="4">
        <v>157014</v>
      </c>
      <c r="C242" t="s">
        <v>1029</v>
      </c>
      <c r="D242" t="s">
        <v>1030</v>
      </c>
      <c r="E242" t="s">
        <v>144</v>
      </c>
      <c r="F242" t="s">
        <v>1031</v>
      </c>
      <c r="G242" t="s">
        <v>1032</v>
      </c>
      <c r="H242" t="s">
        <v>33</v>
      </c>
      <c r="I242" t="s">
        <v>97</v>
      </c>
      <c r="J242" t="s">
        <v>473</v>
      </c>
      <c r="K242" t="s">
        <v>237</v>
      </c>
      <c r="L242" t="s">
        <v>25</v>
      </c>
      <c r="M242" t="s">
        <v>1033</v>
      </c>
      <c r="N242" t="s">
        <v>27</v>
      </c>
      <c r="O242" t="s">
        <v>101</v>
      </c>
      <c r="P242">
        <v>32.07</v>
      </c>
    </row>
    <row r="243" spans="1:16">
      <c r="A243" s="4">
        <v>2017</v>
      </c>
      <c r="B243" s="4">
        <v>101966</v>
      </c>
      <c r="C243" t="s">
        <v>1034</v>
      </c>
      <c r="D243" t="s">
        <v>304</v>
      </c>
      <c r="E243" t="s">
        <v>144</v>
      </c>
      <c r="F243" t="s">
        <v>1031</v>
      </c>
      <c r="G243" t="s">
        <v>1032</v>
      </c>
      <c r="H243" t="s">
        <v>33</v>
      </c>
      <c r="I243" t="s">
        <v>97</v>
      </c>
      <c r="J243" t="s">
        <v>183</v>
      </c>
      <c r="K243" t="s">
        <v>35</v>
      </c>
      <c r="L243" t="s">
        <v>36</v>
      </c>
      <c r="M243" t="s">
        <v>1035</v>
      </c>
      <c r="N243" t="s">
        <v>38</v>
      </c>
      <c r="O243" t="s">
        <v>118</v>
      </c>
      <c r="P243">
        <v>419.94400000000002</v>
      </c>
    </row>
    <row r="244" spans="1:16">
      <c r="A244" s="4">
        <v>2017</v>
      </c>
      <c r="B244" s="4">
        <v>105473</v>
      </c>
      <c r="C244" t="s">
        <v>823</v>
      </c>
      <c r="D244" t="s">
        <v>1036</v>
      </c>
      <c r="E244" t="s">
        <v>144</v>
      </c>
      <c r="F244" t="s">
        <v>1031</v>
      </c>
      <c r="G244" t="s">
        <v>1032</v>
      </c>
      <c r="H244" t="s">
        <v>33</v>
      </c>
      <c r="I244" t="s">
        <v>97</v>
      </c>
      <c r="J244" t="s">
        <v>271</v>
      </c>
      <c r="K244" t="s">
        <v>165</v>
      </c>
      <c r="L244" t="s">
        <v>66</v>
      </c>
      <c r="M244" t="s">
        <v>1037</v>
      </c>
      <c r="N244" t="s">
        <v>27</v>
      </c>
      <c r="O244" t="s">
        <v>74</v>
      </c>
      <c r="P244">
        <v>28.8</v>
      </c>
    </row>
    <row r="245" spans="1:16">
      <c r="A245" s="4">
        <v>2015</v>
      </c>
      <c r="B245" s="4">
        <v>133270</v>
      </c>
      <c r="C245" t="s">
        <v>1038</v>
      </c>
      <c r="D245" t="s">
        <v>1004</v>
      </c>
      <c r="E245" t="s">
        <v>42</v>
      </c>
      <c r="F245" t="s">
        <v>1031</v>
      </c>
      <c r="G245" t="s">
        <v>1032</v>
      </c>
      <c r="H245" t="s">
        <v>33</v>
      </c>
      <c r="I245" t="s">
        <v>97</v>
      </c>
      <c r="J245" t="s">
        <v>663</v>
      </c>
      <c r="K245" t="s">
        <v>50</v>
      </c>
      <c r="L245" t="s">
        <v>25</v>
      </c>
      <c r="M245" t="s">
        <v>1039</v>
      </c>
      <c r="N245" t="s">
        <v>27</v>
      </c>
      <c r="O245" t="s">
        <v>28</v>
      </c>
      <c r="P245">
        <v>13.36</v>
      </c>
    </row>
    <row r="246" spans="1:16">
      <c r="A246" s="4">
        <v>2016</v>
      </c>
      <c r="B246" s="4">
        <v>122371</v>
      </c>
      <c r="C246" t="s">
        <v>1040</v>
      </c>
      <c r="D246" t="s">
        <v>499</v>
      </c>
      <c r="E246" t="s">
        <v>18</v>
      </c>
      <c r="F246" t="s">
        <v>1041</v>
      </c>
      <c r="G246" t="s">
        <v>1042</v>
      </c>
      <c r="H246" t="s">
        <v>33</v>
      </c>
      <c r="I246" t="s">
        <v>63</v>
      </c>
      <c r="J246" t="s">
        <v>630</v>
      </c>
      <c r="K246" t="s">
        <v>65</v>
      </c>
      <c r="L246" t="s">
        <v>66</v>
      </c>
      <c r="M246" t="s">
        <v>1043</v>
      </c>
      <c r="N246" t="s">
        <v>27</v>
      </c>
      <c r="O246" t="s">
        <v>58</v>
      </c>
      <c r="P246">
        <v>64.17</v>
      </c>
    </row>
    <row r="247" spans="1:16">
      <c r="A247" s="4">
        <v>2018</v>
      </c>
      <c r="B247" s="4">
        <v>135279</v>
      </c>
      <c r="C247" t="s">
        <v>1044</v>
      </c>
      <c r="D247" t="s">
        <v>1045</v>
      </c>
      <c r="E247" t="s">
        <v>42</v>
      </c>
      <c r="F247" t="s">
        <v>1041</v>
      </c>
      <c r="G247" t="s">
        <v>1042</v>
      </c>
      <c r="H247" t="s">
        <v>33</v>
      </c>
      <c r="I247" t="s">
        <v>63</v>
      </c>
      <c r="J247" t="s">
        <v>49</v>
      </c>
      <c r="K247" t="s">
        <v>50</v>
      </c>
      <c r="L247" t="s">
        <v>25</v>
      </c>
      <c r="M247" t="s">
        <v>1046</v>
      </c>
      <c r="N247" t="s">
        <v>27</v>
      </c>
      <c r="O247" t="s">
        <v>111</v>
      </c>
      <c r="P247">
        <v>9.82</v>
      </c>
    </row>
    <row r="248" spans="1:16">
      <c r="A248" s="4">
        <v>2015</v>
      </c>
      <c r="B248" s="4">
        <v>151554</v>
      </c>
      <c r="C248" t="s">
        <v>1047</v>
      </c>
      <c r="D248" t="s">
        <v>1048</v>
      </c>
      <c r="E248" t="s">
        <v>42</v>
      </c>
      <c r="F248" t="s">
        <v>1049</v>
      </c>
      <c r="G248" t="s">
        <v>1050</v>
      </c>
      <c r="H248" t="s">
        <v>33</v>
      </c>
      <c r="I248" t="s">
        <v>22</v>
      </c>
      <c r="J248" t="s">
        <v>1051</v>
      </c>
      <c r="K248" t="s">
        <v>35</v>
      </c>
      <c r="L248" t="s">
        <v>36</v>
      </c>
      <c r="M248" t="s">
        <v>1052</v>
      </c>
      <c r="N248" t="s">
        <v>27</v>
      </c>
      <c r="O248" t="s">
        <v>52</v>
      </c>
      <c r="P248">
        <v>20.736000000000001</v>
      </c>
    </row>
    <row r="249" spans="1:16">
      <c r="A249" s="4">
        <v>2017</v>
      </c>
      <c r="B249" s="4">
        <v>110730</v>
      </c>
      <c r="C249" t="s">
        <v>1053</v>
      </c>
      <c r="D249" t="s">
        <v>1054</v>
      </c>
      <c r="E249" t="s">
        <v>144</v>
      </c>
      <c r="F249" t="s">
        <v>1049</v>
      </c>
      <c r="G249" t="s">
        <v>1050</v>
      </c>
      <c r="H249" t="s">
        <v>33</v>
      </c>
      <c r="I249" t="s">
        <v>22</v>
      </c>
      <c r="J249" t="s">
        <v>271</v>
      </c>
      <c r="K249" t="s">
        <v>165</v>
      </c>
      <c r="L249" t="s">
        <v>66</v>
      </c>
      <c r="M249" t="s">
        <v>1055</v>
      </c>
      <c r="N249" t="s">
        <v>27</v>
      </c>
      <c r="O249" t="s">
        <v>74</v>
      </c>
      <c r="P249">
        <v>13.68</v>
      </c>
    </row>
    <row r="250" spans="1:16">
      <c r="A250" s="4">
        <v>2018</v>
      </c>
      <c r="B250" s="4">
        <v>140494</v>
      </c>
      <c r="C250" t="s">
        <v>1056</v>
      </c>
      <c r="D250" t="s">
        <v>1057</v>
      </c>
      <c r="E250" t="s">
        <v>144</v>
      </c>
      <c r="F250" t="s">
        <v>1049</v>
      </c>
      <c r="G250" t="s">
        <v>1050</v>
      </c>
      <c r="H250" t="s">
        <v>33</v>
      </c>
      <c r="I250" t="s">
        <v>22</v>
      </c>
      <c r="J250" t="s">
        <v>226</v>
      </c>
      <c r="K250" t="s">
        <v>65</v>
      </c>
      <c r="L250" t="s">
        <v>66</v>
      </c>
      <c r="M250" t="s">
        <v>1058</v>
      </c>
      <c r="N250" t="s">
        <v>38</v>
      </c>
      <c r="O250" t="s">
        <v>68</v>
      </c>
      <c r="P250">
        <v>111.96</v>
      </c>
    </row>
    <row r="251" spans="1:16">
      <c r="A251" s="4">
        <v>2015</v>
      </c>
      <c r="B251" s="4">
        <v>127383</v>
      </c>
      <c r="C251" t="s">
        <v>1059</v>
      </c>
      <c r="D251" t="s">
        <v>1060</v>
      </c>
      <c r="E251" t="s">
        <v>18</v>
      </c>
      <c r="F251" t="s">
        <v>1049</v>
      </c>
      <c r="G251" t="s">
        <v>1050</v>
      </c>
      <c r="H251" t="s">
        <v>33</v>
      </c>
      <c r="I251" t="s">
        <v>22</v>
      </c>
      <c r="J251" t="s">
        <v>1061</v>
      </c>
      <c r="K251" t="s">
        <v>35</v>
      </c>
      <c r="L251" t="s">
        <v>36</v>
      </c>
      <c r="M251" t="s">
        <v>1062</v>
      </c>
      <c r="N251" t="s">
        <v>27</v>
      </c>
      <c r="O251" t="s">
        <v>501</v>
      </c>
      <c r="P251">
        <v>49.567999999999998</v>
      </c>
    </row>
    <row r="252" spans="1:16">
      <c r="A252" s="4">
        <v>2018</v>
      </c>
      <c r="B252" s="4">
        <v>131828</v>
      </c>
      <c r="C252" t="s">
        <v>1063</v>
      </c>
      <c r="D252" t="s">
        <v>1064</v>
      </c>
      <c r="E252" t="s">
        <v>144</v>
      </c>
      <c r="F252" t="s">
        <v>1065</v>
      </c>
      <c r="G252" t="s">
        <v>1066</v>
      </c>
      <c r="H252" t="s">
        <v>21</v>
      </c>
      <c r="I252" t="s">
        <v>22</v>
      </c>
      <c r="J252" t="s">
        <v>271</v>
      </c>
      <c r="K252" t="s">
        <v>165</v>
      </c>
      <c r="L252" t="s">
        <v>66</v>
      </c>
      <c r="M252" t="s">
        <v>1067</v>
      </c>
      <c r="N252" t="s">
        <v>79</v>
      </c>
      <c r="O252" t="s">
        <v>138</v>
      </c>
      <c r="P252">
        <v>963.13599999999997</v>
      </c>
    </row>
    <row r="253" spans="1:16">
      <c r="A253" s="4">
        <v>2018</v>
      </c>
      <c r="B253" s="4">
        <v>158883</v>
      </c>
      <c r="C253" t="s">
        <v>258</v>
      </c>
      <c r="D253" t="s">
        <v>726</v>
      </c>
      <c r="E253" t="s">
        <v>132</v>
      </c>
      <c r="F253" t="s">
        <v>1068</v>
      </c>
      <c r="G253" t="s">
        <v>1069</v>
      </c>
      <c r="H253" t="s">
        <v>21</v>
      </c>
      <c r="I253" t="s">
        <v>97</v>
      </c>
      <c r="J253" t="s">
        <v>43</v>
      </c>
      <c r="K253" t="s">
        <v>44</v>
      </c>
      <c r="L253" t="s">
        <v>45</v>
      </c>
      <c r="M253" t="s">
        <v>1070</v>
      </c>
      <c r="N253" t="s">
        <v>27</v>
      </c>
      <c r="O253" t="s">
        <v>52</v>
      </c>
      <c r="P253">
        <v>25.344000000000001</v>
      </c>
    </row>
    <row r="254" spans="1:16">
      <c r="A254" s="4">
        <v>2018</v>
      </c>
      <c r="B254" s="4">
        <v>131583</v>
      </c>
      <c r="C254" t="s">
        <v>775</v>
      </c>
      <c r="D254" t="s">
        <v>775</v>
      </c>
      <c r="E254" t="s">
        <v>132</v>
      </c>
      <c r="F254" t="s">
        <v>1071</v>
      </c>
      <c r="G254" t="s">
        <v>1072</v>
      </c>
      <c r="H254" t="s">
        <v>33</v>
      </c>
      <c r="I254" t="s">
        <v>97</v>
      </c>
      <c r="J254" t="s">
        <v>23</v>
      </c>
      <c r="K254" t="s">
        <v>24</v>
      </c>
      <c r="L254" t="s">
        <v>25</v>
      </c>
      <c r="M254" t="s">
        <v>1073</v>
      </c>
      <c r="N254" t="s">
        <v>27</v>
      </c>
      <c r="O254" t="s">
        <v>52</v>
      </c>
      <c r="P254">
        <v>40.031999999999996</v>
      </c>
    </row>
    <row r="255" spans="1:16">
      <c r="A255" s="4">
        <v>2018</v>
      </c>
      <c r="B255" s="4">
        <v>121888</v>
      </c>
      <c r="C255" t="s">
        <v>702</v>
      </c>
      <c r="D255" t="s">
        <v>212</v>
      </c>
      <c r="E255" t="s">
        <v>144</v>
      </c>
      <c r="F255" t="s">
        <v>1071</v>
      </c>
      <c r="G255" t="s">
        <v>1072</v>
      </c>
      <c r="H255" t="s">
        <v>33</v>
      </c>
      <c r="I255" t="s">
        <v>97</v>
      </c>
      <c r="J255" t="s">
        <v>1074</v>
      </c>
      <c r="K255" t="s">
        <v>284</v>
      </c>
      <c r="L255" t="s">
        <v>25</v>
      </c>
      <c r="M255" t="s">
        <v>1075</v>
      </c>
      <c r="N255" t="s">
        <v>38</v>
      </c>
      <c r="O255" t="s">
        <v>118</v>
      </c>
      <c r="P255">
        <v>39.99</v>
      </c>
    </row>
    <row r="256" spans="1:16">
      <c r="A256" s="4">
        <v>2015</v>
      </c>
      <c r="B256" s="4">
        <v>133753</v>
      </c>
      <c r="C256" t="s">
        <v>1004</v>
      </c>
      <c r="D256" t="s">
        <v>1076</v>
      </c>
      <c r="E256" t="s">
        <v>144</v>
      </c>
      <c r="F256" t="s">
        <v>1077</v>
      </c>
      <c r="G256" t="s">
        <v>1078</v>
      </c>
      <c r="H256" t="s">
        <v>33</v>
      </c>
      <c r="I256" t="s">
        <v>63</v>
      </c>
      <c r="J256" t="s">
        <v>1079</v>
      </c>
      <c r="K256" t="s">
        <v>35</v>
      </c>
      <c r="L256" t="s">
        <v>36</v>
      </c>
      <c r="M256" t="s">
        <v>1080</v>
      </c>
      <c r="N256" t="s">
        <v>38</v>
      </c>
      <c r="O256" t="s">
        <v>118</v>
      </c>
      <c r="P256">
        <v>7.992</v>
      </c>
    </row>
    <row r="257" spans="1:16">
      <c r="A257" s="4">
        <v>2016</v>
      </c>
      <c r="B257" s="4">
        <v>119214</v>
      </c>
      <c r="C257" t="s">
        <v>1081</v>
      </c>
      <c r="D257" t="s">
        <v>1082</v>
      </c>
      <c r="E257" t="s">
        <v>18</v>
      </c>
      <c r="F257" t="s">
        <v>1077</v>
      </c>
      <c r="G257" t="s">
        <v>1078</v>
      </c>
      <c r="H257" t="s">
        <v>33</v>
      </c>
      <c r="I257" t="s">
        <v>63</v>
      </c>
      <c r="J257" t="s">
        <v>1083</v>
      </c>
      <c r="K257" t="s">
        <v>188</v>
      </c>
      <c r="L257" t="s">
        <v>66</v>
      </c>
      <c r="M257" t="s">
        <v>1084</v>
      </c>
      <c r="N257" t="s">
        <v>27</v>
      </c>
      <c r="O257" t="s">
        <v>52</v>
      </c>
      <c r="P257">
        <v>29.04</v>
      </c>
    </row>
    <row r="258" spans="1:16">
      <c r="A258" s="4">
        <v>2018</v>
      </c>
      <c r="B258" s="4">
        <v>152436</v>
      </c>
      <c r="C258" t="s">
        <v>224</v>
      </c>
      <c r="D258" t="s">
        <v>299</v>
      </c>
      <c r="E258" t="s">
        <v>144</v>
      </c>
      <c r="F258" t="s">
        <v>1077</v>
      </c>
      <c r="G258" t="s">
        <v>1078</v>
      </c>
      <c r="H258" t="s">
        <v>33</v>
      </c>
      <c r="I258" t="s">
        <v>63</v>
      </c>
      <c r="J258" t="s">
        <v>1085</v>
      </c>
      <c r="K258" t="s">
        <v>838</v>
      </c>
      <c r="L258" t="s">
        <v>25</v>
      </c>
      <c r="M258" t="s">
        <v>1086</v>
      </c>
      <c r="N258" t="s">
        <v>27</v>
      </c>
      <c r="O258" t="s">
        <v>58</v>
      </c>
      <c r="P258">
        <v>592.74</v>
      </c>
    </row>
    <row r="259" spans="1:16">
      <c r="A259" s="4">
        <v>2015</v>
      </c>
      <c r="B259" s="4">
        <v>147235</v>
      </c>
      <c r="C259" t="s">
        <v>1087</v>
      </c>
      <c r="D259" t="s">
        <v>1088</v>
      </c>
      <c r="E259" t="s">
        <v>18</v>
      </c>
      <c r="F259" t="s">
        <v>1089</v>
      </c>
      <c r="G259" t="s">
        <v>1090</v>
      </c>
      <c r="H259" t="s">
        <v>33</v>
      </c>
      <c r="I259" t="s">
        <v>97</v>
      </c>
      <c r="J259" t="s">
        <v>49</v>
      </c>
      <c r="K259" t="s">
        <v>50</v>
      </c>
      <c r="L259" t="s">
        <v>25</v>
      </c>
      <c r="M259" t="s">
        <v>1091</v>
      </c>
      <c r="N259" t="s">
        <v>27</v>
      </c>
      <c r="O259" t="s">
        <v>52</v>
      </c>
      <c r="P259">
        <v>24.9</v>
      </c>
    </row>
    <row r="260" spans="1:16">
      <c r="A260" s="4">
        <v>2017</v>
      </c>
      <c r="B260" s="4">
        <v>122017</v>
      </c>
      <c r="C260" t="s">
        <v>1092</v>
      </c>
      <c r="D260" t="s">
        <v>40</v>
      </c>
      <c r="E260" t="s">
        <v>18</v>
      </c>
      <c r="F260" t="s">
        <v>1089</v>
      </c>
      <c r="G260" t="s">
        <v>1090</v>
      </c>
      <c r="H260" t="s">
        <v>33</v>
      </c>
      <c r="I260" t="s">
        <v>97</v>
      </c>
      <c r="J260" t="s">
        <v>1093</v>
      </c>
      <c r="K260" t="s">
        <v>1094</v>
      </c>
      <c r="L260" t="s">
        <v>36</v>
      </c>
      <c r="M260" t="s">
        <v>1095</v>
      </c>
      <c r="N260" t="s">
        <v>79</v>
      </c>
      <c r="O260" t="s">
        <v>80</v>
      </c>
      <c r="P260">
        <v>70.56</v>
      </c>
    </row>
    <row r="261" spans="1:16">
      <c r="A261" s="4">
        <v>2016</v>
      </c>
      <c r="B261" s="4">
        <v>101910</v>
      </c>
      <c r="C261" t="s">
        <v>1096</v>
      </c>
      <c r="D261" t="s">
        <v>871</v>
      </c>
      <c r="E261" t="s">
        <v>18</v>
      </c>
      <c r="F261" t="s">
        <v>1089</v>
      </c>
      <c r="G261" t="s">
        <v>1090</v>
      </c>
      <c r="H261" t="s">
        <v>33</v>
      </c>
      <c r="I261" t="s">
        <v>97</v>
      </c>
      <c r="J261" t="s">
        <v>1097</v>
      </c>
      <c r="K261" t="s">
        <v>65</v>
      </c>
      <c r="L261" t="s">
        <v>66</v>
      </c>
      <c r="M261" t="s">
        <v>1098</v>
      </c>
      <c r="N261" t="s">
        <v>79</v>
      </c>
      <c r="O261" t="s">
        <v>138</v>
      </c>
      <c r="P261">
        <v>283.92</v>
      </c>
    </row>
    <row r="262" spans="1:16">
      <c r="A262" s="4">
        <v>2017</v>
      </c>
      <c r="B262" s="4">
        <v>135923</v>
      </c>
      <c r="C262" t="s">
        <v>555</v>
      </c>
      <c r="D262" t="s">
        <v>556</v>
      </c>
      <c r="E262" t="s">
        <v>18</v>
      </c>
      <c r="F262" t="s">
        <v>1099</v>
      </c>
      <c r="G262" t="s">
        <v>1100</v>
      </c>
      <c r="H262" t="s">
        <v>21</v>
      </c>
      <c r="I262" t="s">
        <v>97</v>
      </c>
      <c r="J262" t="s">
        <v>672</v>
      </c>
      <c r="K262" t="s">
        <v>44</v>
      </c>
      <c r="L262" t="s">
        <v>45</v>
      </c>
      <c r="M262" t="s">
        <v>1101</v>
      </c>
      <c r="N262" t="s">
        <v>79</v>
      </c>
      <c r="O262" t="s">
        <v>80</v>
      </c>
      <c r="P262">
        <v>14.272</v>
      </c>
    </row>
    <row r="263" spans="1:16">
      <c r="A263" s="4">
        <v>2015</v>
      </c>
      <c r="B263" s="4">
        <v>141257</v>
      </c>
      <c r="C263" t="s">
        <v>1102</v>
      </c>
      <c r="D263" t="s">
        <v>1005</v>
      </c>
      <c r="E263" t="s">
        <v>18</v>
      </c>
      <c r="F263" t="s">
        <v>1103</v>
      </c>
      <c r="G263" t="s">
        <v>1104</v>
      </c>
      <c r="H263" t="s">
        <v>33</v>
      </c>
      <c r="I263" t="s">
        <v>97</v>
      </c>
      <c r="J263" t="s">
        <v>271</v>
      </c>
      <c r="K263" t="s">
        <v>165</v>
      </c>
      <c r="L263" t="s">
        <v>66</v>
      </c>
      <c r="M263" t="s">
        <v>1105</v>
      </c>
      <c r="N263" t="s">
        <v>79</v>
      </c>
      <c r="O263" t="s">
        <v>138</v>
      </c>
      <c r="P263">
        <v>585.55200000000002</v>
      </c>
    </row>
    <row r="264" spans="1:16">
      <c r="A264" s="4">
        <v>2018</v>
      </c>
      <c r="B264" s="4">
        <v>118640</v>
      </c>
      <c r="C264" t="s">
        <v>1106</v>
      </c>
      <c r="D264" t="s">
        <v>1107</v>
      </c>
      <c r="E264" t="s">
        <v>18</v>
      </c>
      <c r="F264" t="s">
        <v>1103</v>
      </c>
      <c r="G264" t="s">
        <v>1104</v>
      </c>
      <c r="H264" t="s">
        <v>33</v>
      </c>
      <c r="I264" t="s">
        <v>97</v>
      </c>
      <c r="J264" t="s">
        <v>108</v>
      </c>
      <c r="K264" t="s">
        <v>109</v>
      </c>
      <c r="L264" t="s">
        <v>36</v>
      </c>
      <c r="M264" t="s">
        <v>1108</v>
      </c>
      <c r="N264" t="s">
        <v>27</v>
      </c>
      <c r="O264" t="s">
        <v>58</v>
      </c>
      <c r="P264">
        <v>69.712000000000003</v>
      </c>
    </row>
    <row r="265" spans="1:16">
      <c r="A265" s="4">
        <v>2016</v>
      </c>
      <c r="B265" s="4">
        <v>161452</v>
      </c>
      <c r="C265" t="s">
        <v>1109</v>
      </c>
      <c r="D265" t="s">
        <v>1110</v>
      </c>
      <c r="E265" t="s">
        <v>18</v>
      </c>
      <c r="F265" t="s">
        <v>1111</v>
      </c>
      <c r="G265" t="s">
        <v>1112</v>
      </c>
      <c r="H265" t="s">
        <v>21</v>
      </c>
      <c r="I265" t="s">
        <v>22</v>
      </c>
      <c r="J265" t="s">
        <v>64</v>
      </c>
      <c r="K265" t="s">
        <v>65</v>
      </c>
      <c r="L265" t="s">
        <v>66</v>
      </c>
      <c r="M265" t="s">
        <v>1113</v>
      </c>
      <c r="N265" t="s">
        <v>79</v>
      </c>
      <c r="O265" t="s">
        <v>138</v>
      </c>
      <c r="P265">
        <v>892.22400000000005</v>
      </c>
    </row>
    <row r="266" spans="1:16">
      <c r="A266" s="4">
        <v>2018</v>
      </c>
      <c r="B266" s="4">
        <v>119438</v>
      </c>
      <c r="C266" t="s">
        <v>779</v>
      </c>
      <c r="D266" t="s">
        <v>848</v>
      </c>
      <c r="E266" t="s">
        <v>18</v>
      </c>
      <c r="F266" t="s">
        <v>1114</v>
      </c>
      <c r="G266" t="s">
        <v>1115</v>
      </c>
      <c r="H266" t="s">
        <v>33</v>
      </c>
      <c r="I266" t="s">
        <v>97</v>
      </c>
      <c r="J266" t="s">
        <v>1116</v>
      </c>
      <c r="K266" t="s">
        <v>35</v>
      </c>
      <c r="L266" t="s">
        <v>36</v>
      </c>
      <c r="M266" t="s">
        <v>1117</v>
      </c>
      <c r="N266" t="s">
        <v>27</v>
      </c>
      <c r="O266" t="s">
        <v>228</v>
      </c>
      <c r="P266">
        <v>2.6880000000000002</v>
      </c>
    </row>
    <row r="267" spans="1:16">
      <c r="A267" s="4">
        <v>2017</v>
      </c>
      <c r="B267" s="4">
        <v>100083</v>
      </c>
      <c r="C267" t="s">
        <v>359</v>
      </c>
      <c r="D267" t="s">
        <v>1118</v>
      </c>
      <c r="E267" t="s">
        <v>18</v>
      </c>
      <c r="F267" t="s">
        <v>1114</v>
      </c>
      <c r="G267" t="s">
        <v>1115</v>
      </c>
      <c r="H267" t="s">
        <v>33</v>
      </c>
      <c r="I267" t="s">
        <v>97</v>
      </c>
      <c r="J267" t="s">
        <v>1119</v>
      </c>
      <c r="K267" t="s">
        <v>323</v>
      </c>
      <c r="L267" t="s">
        <v>66</v>
      </c>
      <c r="M267" t="s">
        <v>1120</v>
      </c>
      <c r="N267" t="s">
        <v>27</v>
      </c>
      <c r="O267" t="s">
        <v>52</v>
      </c>
      <c r="P267">
        <v>24.783999999999999</v>
      </c>
    </row>
    <row r="268" spans="1:16">
      <c r="A268" s="4">
        <v>2018</v>
      </c>
      <c r="B268" s="4">
        <v>137085</v>
      </c>
      <c r="C268" t="s">
        <v>494</v>
      </c>
      <c r="D268" t="s">
        <v>436</v>
      </c>
      <c r="E268" t="s">
        <v>18</v>
      </c>
      <c r="F268" t="s">
        <v>1121</v>
      </c>
      <c r="G268" t="s">
        <v>1122</v>
      </c>
      <c r="H268" t="s">
        <v>33</v>
      </c>
      <c r="I268" t="s">
        <v>97</v>
      </c>
      <c r="J268" t="s">
        <v>64</v>
      </c>
      <c r="K268" t="s">
        <v>65</v>
      </c>
      <c r="L268" t="s">
        <v>66</v>
      </c>
      <c r="M268" t="s">
        <v>1123</v>
      </c>
      <c r="N268" t="s">
        <v>27</v>
      </c>
      <c r="O268" t="s">
        <v>101</v>
      </c>
      <c r="P268">
        <v>312.55200000000002</v>
      </c>
    </row>
    <row r="269" spans="1:16">
      <c r="A269" s="4">
        <v>2016</v>
      </c>
      <c r="B269" s="4">
        <v>145849</v>
      </c>
      <c r="C269" t="s">
        <v>150</v>
      </c>
      <c r="D269" t="s">
        <v>1124</v>
      </c>
      <c r="E269" t="s">
        <v>144</v>
      </c>
      <c r="F269" t="s">
        <v>1121</v>
      </c>
      <c r="G269" t="s">
        <v>1122</v>
      </c>
      <c r="H269" t="s">
        <v>33</v>
      </c>
      <c r="I269" t="s">
        <v>97</v>
      </c>
      <c r="J269" t="s">
        <v>121</v>
      </c>
      <c r="K269" t="s">
        <v>122</v>
      </c>
      <c r="L269" t="s">
        <v>36</v>
      </c>
      <c r="M269" t="s">
        <v>1125</v>
      </c>
      <c r="N269" t="s">
        <v>27</v>
      </c>
      <c r="O269" t="s">
        <v>58</v>
      </c>
      <c r="P269">
        <v>190.86</v>
      </c>
    </row>
    <row r="270" spans="1:16">
      <c r="A270" s="4">
        <v>2017</v>
      </c>
      <c r="B270" s="4">
        <v>112977</v>
      </c>
      <c r="C270" t="s">
        <v>1126</v>
      </c>
      <c r="D270" t="s">
        <v>1127</v>
      </c>
      <c r="E270" t="s">
        <v>18</v>
      </c>
      <c r="F270" t="s">
        <v>1128</v>
      </c>
      <c r="G270" t="s">
        <v>1129</v>
      </c>
      <c r="H270" t="s">
        <v>33</v>
      </c>
      <c r="I270" t="s">
        <v>97</v>
      </c>
      <c r="J270" t="s">
        <v>1130</v>
      </c>
      <c r="K270" t="s">
        <v>50</v>
      </c>
      <c r="L270" t="s">
        <v>25</v>
      </c>
      <c r="M270" t="s">
        <v>1131</v>
      </c>
      <c r="N270" t="s">
        <v>79</v>
      </c>
      <c r="O270" t="s">
        <v>286</v>
      </c>
      <c r="P270">
        <v>176.78399999999999</v>
      </c>
    </row>
    <row r="271" spans="1:16">
      <c r="A271" s="4">
        <v>2017</v>
      </c>
      <c r="B271" s="4">
        <v>122392</v>
      </c>
      <c r="C271" t="s">
        <v>305</v>
      </c>
      <c r="D271" t="s">
        <v>1132</v>
      </c>
      <c r="E271" t="s">
        <v>18</v>
      </c>
      <c r="F271" t="s">
        <v>1128</v>
      </c>
      <c r="G271" t="s">
        <v>1129</v>
      </c>
      <c r="H271" t="s">
        <v>33</v>
      </c>
      <c r="I271" t="s">
        <v>97</v>
      </c>
      <c r="J271" t="s">
        <v>1133</v>
      </c>
      <c r="K271" t="s">
        <v>24</v>
      </c>
      <c r="L271" t="s">
        <v>25</v>
      </c>
      <c r="M271" t="s">
        <v>1134</v>
      </c>
      <c r="N271" t="s">
        <v>27</v>
      </c>
      <c r="O271" t="s">
        <v>28</v>
      </c>
      <c r="P271">
        <v>4.16</v>
      </c>
    </row>
    <row r="272" spans="1:16">
      <c r="A272" s="4">
        <v>2018</v>
      </c>
      <c r="B272" s="4">
        <v>122105</v>
      </c>
      <c r="C272" t="s">
        <v>1135</v>
      </c>
      <c r="D272" t="s">
        <v>1136</v>
      </c>
      <c r="E272" t="s">
        <v>18</v>
      </c>
      <c r="F272" t="s">
        <v>1128</v>
      </c>
      <c r="G272" t="s">
        <v>1129</v>
      </c>
      <c r="H272" t="s">
        <v>33</v>
      </c>
      <c r="I272" t="s">
        <v>97</v>
      </c>
      <c r="J272" t="s">
        <v>1137</v>
      </c>
      <c r="K272" t="s">
        <v>65</v>
      </c>
      <c r="L272" t="s">
        <v>66</v>
      </c>
      <c r="M272" t="s">
        <v>1138</v>
      </c>
      <c r="N272" t="s">
        <v>27</v>
      </c>
      <c r="O272" t="s">
        <v>28</v>
      </c>
      <c r="P272">
        <v>95.92</v>
      </c>
    </row>
    <row r="273" spans="1:16">
      <c r="A273" s="4">
        <v>2017</v>
      </c>
      <c r="B273" s="4">
        <v>161683</v>
      </c>
      <c r="C273" t="s">
        <v>1139</v>
      </c>
      <c r="D273" t="s">
        <v>220</v>
      </c>
      <c r="E273" t="s">
        <v>18</v>
      </c>
      <c r="F273" t="s">
        <v>1128</v>
      </c>
      <c r="G273" t="s">
        <v>1129</v>
      </c>
      <c r="H273" t="s">
        <v>33</v>
      </c>
      <c r="I273" t="s">
        <v>97</v>
      </c>
      <c r="J273" t="s">
        <v>23</v>
      </c>
      <c r="K273" t="s">
        <v>24</v>
      </c>
      <c r="L273" t="s">
        <v>25</v>
      </c>
      <c r="M273" t="s">
        <v>1140</v>
      </c>
      <c r="N273" t="s">
        <v>27</v>
      </c>
      <c r="O273" t="s">
        <v>228</v>
      </c>
      <c r="P273">
        <v>394.81599999999997</v>
      </c>
    </row>
    <row r="274" spans="1:16">
      <c r="A274" s="4">
        <v>2017</v>
      </c>
      <c r="B274" s="4">
        <v>128818</v>
      </c>
      <c r="C274" t="s">
        <v>1027</v>
      </c>
      <c r="D274" t="s">
        <v>1141</v>
      </c>
      <c r="E274" t="s">
        <v>18</v>
      </c>
      <c r="F274" t="s">
        <v>1128</v>
      </c>
      <c r="G274" t="s">
        <v>1129</v>
      </c>
      <c r="H274" t="s">
        <v>33</v>
      </c>
      <c r="I274" t="s">
        <v>97</v>
      </c>
      <c r="J274" t="s">
        <v>49</v>
      </c>
      <c r="K274" t="s">
        <v>50</v>
      </c>
      <c r="L274" t="s">
        <v>25</v>
      </c>
      <c r="M274" t="s">
        <v>1142</v>
      </c>
      <c r="N274" t="s">
        <v>27</v>
      </c>
      <c r="O274" t="s">
        <v>101</v>
      </c>
      <c r="P274">
        <v>85.231999999999999</v>
      </c>
    </row>
    <row r="275" spans="1:16">
      <c r="A275" s="4">
        <v>2018</v>
      </c>
      <c r="B275" s="4">
        <v>102204</v>
      </c>
      <c r="C275" t="s">
        <v>1143</v>
      </c>
      <c r="D275" t="s">
        <v>1144</v>
      </c>
      <c r="E275" t="s">
        <v>18</v>
      </c>
      <c r="F275" t="s">
        <v>1128</v>
      </c>
      <c r="G275" t="s">
        <v>1129</v>
      </c>
      <c r="H275" t="s">
        <v>33</v>
      </c>
      <c r="I275" t="s">
        <v>97</v>
      </c>
      <c r="J275" t="s">
        <v>43</v>
      </c>
      <c r="K275" t="s">
        <v>196</v>
      </c>
      <c r="L275" t="s">
        <v>45</v>
      </c>
      <c r="M275" t="s">
        <v>1145</v>
      </c>
      <c r="N275" t="s">
        <v>27</v>
      </c>
      <c r="O275" t="s">
        <v>74</v>
      </c>
      <c r="P275">
        <v>3.3279999999999998</v>
      </c>
    </row>
    <row r="276" spans="1:16">
      <c r="A276" s="4">
        <v>2015</v>
      </c>
      <c r="B276" s="4">
        <v>140004</v>
      </c>
      <c r="C276" t="s">
        <v>1146</v>
      </c>
      <c r="D276" t="s">
        <v>535</v>
      </c>
      <c r="E276" t="s">
        <v>18</v>
      </c>
      <c r="F276" t="s">
        <v>1147</v>
      </c>
      <c r="G276" t="s">
        <v>1148</v>
      </c>
      <c r="H276" t="s">
        <v>33</v>
      </c>
      <c r="I276" t="s">
        <v>97</v>
      </c>
      <c r="J276" t="s">
        <v>1149</v>
      </c>
      <c r="K276" t="s">
        <v>237</v>
      </c>
      <c r="L276" t="s">
        <v>25</v>
      </c>
      <c r="M276" t="s">
        <v>1150</v>
      </c>
      <c r="N276" t="s">
        <v>27</v>
      </c>
      <c r="O276" t="s">
        <v>28</v>
      </c>
      <c r="P276">
        <v>7.4080000000000004</v>
      </c>
    </row>
    <row r="277" spans="1:16">
      <c r="A277" s="4">
        <v>2018</v>
      </c>
      <c r="B277" s="4">
        <v>144484</v>
      </c>
      <c r="C277" t="s">
        <v>476</v>
      </c>
      <c r="D277" t="s">
        <v>476</v>
      </c>
      <c r="E277" t="s">
        <v>132</v>
      </c>
      <c r="F277" t="s">
        <v>1147</v>
      </c>
      <c r="G277" t="s">
        <v>1148</v>
      </c>
      <c r="H277" t="s">
        <v>33</v>
      </c>
      <c r="I277" t="s">
        <v>97</v>
      </c>
      <c r="J277" t="s">
        <v>226</v>
      </c>
      <c r="K277" t="s">
        <v>65</v>
      </c>
      <c r="L277" t="s">
        <v>66</v>
      </c>
      <c r="M277" t="s">
        <v>1151</v>
      </c>
      <c r="N277" t="s">
        <v>79</v>
      </c>
      <c r="O277" t="s">
        <v>80</v>
      </c>
      <c r="P277">
        <v>32.36</v>
      </c>
    </row>
    <row r="278" spans="1:16">
      <c r="A278" s="4">
        <v>2017</v>
      </c>
      <c r="B278" s="4">
        <v>164350</v>
      </c>
      <c r="C278" t="s">
        <v>486</v>
      </c>
      <c r="D278" t="s">
        <v>560</v>
      </c>
      <c r="E278" t="s">
        <v>144</v>
      </c>
      <c r="F278" t="s">
        <v>1152</v>
      </c>
      <c r="G278" t="s">
        <v>1153</v>
      </c>
      <c r="H278" t="s">
        <v>33</v>
      </c>
      <c r="I278" t="s">
        <v>63</v>
      </c>
      <c r="J278" t="s">
        <v>1154</v>
      </c>
      <c r="K278" t="s">
        <v>206</v>
      </c>
      <c r="L278" t="s">
        <v>45</v>
      </c>
      <c r="M278" t="s">
        <v>1155</v>
      </c>
      <c r="N278" t="s">
        <v>27</v>
      </c>
      <c r="O278" t="s">
        <v>28</v>
      </c>
      <c r="P278">
        <v>67.56</v>
      </c>
    </row>
    <row r="279" spans="1:16">
      <c r="A279" s="4">
        <v>2018</v>
      </c>
      <c r="B279" s="4">
        <v>104955</v>
      </c>
      <c r="C279" t="s">
        <v>1156</v>
      </c>
      <c r="D279" t="s">
        <v>1157</v>
      </c>
      <c r="E279" t="s">
        <v>18</v>
      </c>
      <c r="F279" t="s">
        <v>1152</v>
      </c>
      <c r="G279" t="s">
        <v>1153</v>
      </c>
      <c r="H279" t="s">
        <v>33</v>
      </c>
      <c r="I279" t="s">
        <v>63</v>
      </c>
      <c r="J279" t="s">
        <v>49</v>
      </c>
      <c r="K279" t="s">
        <v>50</v>
      </c>
      <c r="L279" t="s">
        <v>25</v>
      </c>
      <c r="M279" t="s">
        <v>1158</v>
      </c>
      <c r="N279" t="s">
        <v>27</v>
      </c>
      <c r="O279" t="s">
        <v>111</v>
      </c>
      <c r="P279">
        <v>28.91</v>
      </c>
    </row>
    <row r="280" spans="1:16">
      <c r="A280" s="4">
        <v>2017</v>
      </c>
      <c r="B280" s="4">
        <v>140081</v>
      </c>
      <c r="C280" t="s">
        <v>1159</v>
      </c>
      <c r="D280" t="s">
        <v>840</v>
      </c>
      <c r="E280" t="s">
        <v>18</v>
      </c>
      <c r="F280" t="s">
        <v>1152</v>
      </c>
      <c r="G280" t="s">
        <v>1153</v>
      </c>
      <c r="H280" t="s">
        <v>33</v>
      </c>
      <c r="I280" t="s">
        <v>63</v>
      </c>
      <c r="J280" t="s">
        <v>23</v>
      </c>
      <c r="K280" t="s">
        <v>24</v>
      </c>
      <c r="L280" t="s">
        <v>25</v>
      </c>
      <c r="M280" t="s">
        <v>1160</v>
      </c>
      <c r="N280" t="s">
        <v>27</v>
      </c>
      <c r="O280" t="s">
        <v>52</v>
      </c>
      <c r="P280">
        <v>45.055999999999997</v>
      </c>
    </row>
    <row r="281" spans="1:16">
      <c r="A281" s="4">
        <v>2017</v>
      </c>
      <c r="B281" s="4">
        <v>168081</v>
      </c>
      <c r="C281" t="s">
        <v>1161</v>
      </c>
      <c r="D281" t="s">
        <v>1162</v>
      </c>
      <c r="E281" t="s">
        <v>144</v>
      </c>
      <c r="F281" t="s">
        <v>1163</v>
      </c>
      <c r="G281" t="s">
        <v>1164</v>
      </c>
      <c r="H281" t="s">
        <v>33</v>
      </c>
      <c r="I281" t="s">
        <v>63</v>
      </c>
      <c r="J281" t="s">
        <v>183</v>
      </c>
      <c r="K281" t="s">
        <v>35</v>
      </c>
      <c r="L281" t="s">
        <v>36</v>
      </c>
      <c r="M281" t="s">
        <v>983</v>
      </c>
      <c r="N281" t="s">
        <v>38</v>
      </c>
      <c r="O281" t="s">
        <v>68</v>
      </c>
      <c r="P281">
        <v>258.69600000000003</v>
      </c>
    </row>
    <row r="282" spans="1:16">
      <c r="A282" s="4">
        <v>2017</v>
      </c>
      <c r="B282" s="4">
        <v>107328</v>
      </c>
      <c r="C282" t="s">
        <v>1165</v>
      </c>
      <c r="D282" t="s">
        <v>1166</v>
      </c>
      <c r="E282" t="s">
        <v>18</v>
      </c>
      <c r="F282" t="s">
        <v>1163</v>
      </c>
      <c r="G282" t="s">
        <v>1164</v>
      </c>
      <c r="H282" t="s">
        <v>33</v>
      </c>
      <c r="I282" t="s">
        <v>63</v>
      </c>
      <c r="J282" t="s">
        <v>64</v>
      </c>
      <c r="K282" t="s">
        <v>65</v>
      </c>
      <c r="L282" t="s">
        <v>66</v>
      </c>
      <c r="M282" t="s">
        <v>1167</v>
      </c>
      <c r="N282" t="s">
        <v>79</v>
      </c>
      <c r="O282" t="s">
        <v>347</v>
      </c>
      <c r="P282">
        <v>513.024</v>
      </c>
    </row>
    <row r="283" spans="1:16">
      <c r="A283" s="4">
        <v>2016</v>
      </c>
      <c r="B283" s="4">
        <v>123673</v>
      </c>
      <c r="C283" t="s">
        <v>393</v>
      </c>
      <c r="D283" t="s">
        <v>1168</v>
      </c>
      <c r="E283" t="s">
        <v>144</v>
      </c>
      <c r="F283" t="s">
        <v>1169</v>
      </c>
      <c r="G283" t="s">
        <v>1170</v>
      </c>
      <c r="H283" t="s">
        <v>33</v>
      </c>
      <c r="I283" t="s">
        <v>63</v>
      </c>
      <c r="J283" t="s">
        <v>879</v>
      </c>
      <c r="K283" t="s">
        <v>855</v>
      </c>
      <c r="L283" t="s">
        <v>36</v>
      </c>
      <c r="M283" t="s">
        <v>664</v>
      </c>
      <c r="N283" t="s">
        <v>38</v>
      </c>
      <c r="O283" t="s">
        <v>118</v>
      </c>
      <c r="P283">
        <v>299.89999999999998</v>
      </c>
    </row>
    <row r="284" spans="1:16">
      <c r="A284" s="4">
        <v>2016</v>
      </c>
      <c r="B284" s="4">
        <v>127110</v>
      </c>
      <c r="C284" t="s">
        <v>167</v>
      </c>
      <c r="D284" t="s">
        <v>168</v>
      </c>
      <c r="E284" t="s">
        <v>18</v>
      </c>
      <c r="F284" t="s">
        <v>1169</v>
      </c>
      <c r="G284" t="s">
        <v>1170</v>
      </c>
      <c r="H284" t="s">
        <v>33</v>
      </c>
      <c r="I284" t="s">
        <v>63</v>
      </c>
      <c r="J284" t="s">
        <v>23</v>
      </c>
      <c r="K284" t="s">
        <v>24</v>
      </c>
      <c r="L284" t="s">
        <v>25</v>
      </c>
      <c r="M284" t="s">
        <v>1171</v>
      </c>
      <c r="N284" t="s">
        <v>27</v>
      </c>
      <c r="O284" t="s">
        <v>52</v>
      </c>
      <c r="P284">
        <v>31.103999999999999</v>
      </c>
    </row>
    <row r="285" spans="1:16">
      <c r="A285" s="4">
        <v>2017</v>
      </c>
      <c r="B285" s="4">
        <v>109344</v>
      </c>
      <c r="C285" t="s">
        <v>1172</v>
      </c>
      <c r="D285" t="s">
        <v>1173</v>
      </c>
      <c r="E285" t="s">
        <v>144</v>
      </c>
      <c r="F285" t="s">
        <v>1169</v>
      </c>
      <c r="G285" t="s">
        <v>1170</v>
      </c>
      <c r="H285" t="s">
        <v>33</v>
      </c>
      <c r="I285" t="s">
        <v>63</v>
      </c>
      <c r="J285" t="s">
        <v>1174</v>
      </c>
      <c r="K285" t="s">
        <v>44</v>
      </c>
      <c r="L285" t="s">
        <v>45</v>
      </c>
      <c r="M285" t="s">
        <v>1175</v>
      </c>
      <c r="N285" t="s">
        <v>38</v>
      </c>
      <c r="O285" t="s">
        <v>118</v>
      </c>
      <c r="P285">
        <v>1127.9760000000001</v>
      </c>
    </row>
    <row r="286" spans="1:16">
      <c r="A286" s="4">
        <v>2018</v>
      </c>
      <c r="B286" s="4">
        <v>132430</v>
      </c>
      <c r="C286" t="s">
        <v>1176</v>
      </c>
      <c r="D286" t="s">
        <v>1177</v>
      </c>
      <c r="E286" t="s">
        <v>42</v>
      </c>
      <c r="F286" t="s">
        <v>1178</v>
      </c>
      <c r="G286" t="s">
        <v>1179</v>
      </c>
      <c r="H286" t="s">
        <v>33</v>
      </c>
      <c r="I286" t="s">
        <v>22</v>
      </c>
      <c r="J286" t="s">
        <v>868</v>
      </c>
      <c r="K286" t="s">
        <v>237</v>
      </c>
      <c r="L286" t="s">
        <v>25</v>
      </c>
      <c r="M286" t="s">
        <v>1180</v>
      </c>
      <c r="N286" t="s">
        <v>79</v>
      </c>
      <c r="O286" t="s">
        <v>80</v>
      </c>
      <c r="P286">
        <v>45.887999999999998</v>
      </c>
    </row>
    <row r="287" spans="1:16">
      <c r="A287" s="4">
        <v>2015</v>
      </c>
      <c r="B287" s="4">
        <v>127187</v>
      </c>
      <c r="C287" t="s">
        <v>1181</v>
      </c>
      <c r="D287" t="s">
        <v>1182</v>
      </c>
      <c r="E287" t="s">
        <v>18</v>
      </c>
      <c r="F287" t="s">
        <v>1178</v>
      </c>
      <c r="G287" t="s">
        <v>1179</v>
      </c>
      <c r="H287" t="s">
        <v>33</v>
      </c>
      <c r="I287" t="s">
        <v>22</v>
      </c>
      <c r="J287" t="s">
        <v>49</v>
      </c>
      <c r="K287" t="s">
        <v>50</v>
      </c>
      <c r="L287" t="s">
        <v>25</v>
      </c>
      <c r="M287" t="s">
        <v>400</v>
      </c>
      <c r="N287" t="s">
        <v>38</v>
      </c>
      <c r="O287" t="s">
        <v>118</v>
      </c>
      <c r="P287">
        <v>129.97999999999999</v>
      </c>
    </row>
    <row r="288" spans="1:16">
      <c r="A288" s="4">
        <v>2018</v>
      </c>
      <c r="B288" s="4">
        <v>167402</v>
      </c>
      <c r="C288" t="s">
        <v>1183</v>
      </c>
      <c r="D288" t="s">
        <v>1184</v>
      </c>
      <c r="E288" t="s">
        <v>144</v>
      </c>
      <c r="F288" t="s">
        <v>1178</v>
      </c>
      <c r="G288" t="s">
        <v>1179</v>
      </c>
      <c r="H288" t="s">
        <v>33</v>
      </c>
      <c r="I288" t="s">
        <v>22</v>
      </c>
      <c r="J288" t="s">
        <v>98</v>
      </c>
      <c r="K288" t="s">
        <v>99</v>
      </c>
      <c r="L288" t="s">
        <v>36</v>
      </c>
      <c r="M288" t="s">
        <v>1185</v>
      </c>
      <c r="N288" t="s">
        <v>27</v>
      </c>
      <c r="O288" t="s">
        <v>52</v>
      </c>
      <c r="P288">
        <v>32.4</v>
      </c>
    </row>
    <row r="289" spans="1:16">
      <c r="A289" s="4">
        <v>2017</v>
      </c>
      <c r="B289" s="4">
        <v>129308</v>
      </c>
      <c r="C289" t="s">
        <v>1186</v>
      </c>
      <c r="D289" t="s">
        <v>1187</v>
      </c>
      <c r="E289" t="s">
        <v>18</v>
      </c>
      <c r="F289" t="s">
        <v>1188</v>
      </c>
      <c r="G289" t="s">
        <v>1189</v>
      </c>
      <c r="H289" t="s">
        <v>33</v>
      </c>
      <c r="I289" t="s">
        <v>63</v>
      </c>
      <c r="J289" t="s">
        <v>23</v>
      </c>
      <c r="K289" t="s">
        <v>24</v>
      </c>
      <c r="L289" t="s">
        <v>25</v>
      </c>
      <c r="M289" t="s">
        <v>1190</v>
      </c>
      <c r="N289" t="s">
        <v>27</v>
      </c>
      <c r="O289" t="s">
        <v>111</v>
      </c>
      <c r="P289">
        <v>10.08</v>
      </c>
    </row>
    <row r="290" spans="1:16">
      <c r="A290" s="4">
        <v>2017</v>
      </c>
      <c r="B290" s="4">
        <v>161781</v>
      </c>
      <c r="C290" t="s">
        <v>1191</v>
      </c>
      <c r="D290" t="s">
        <v>1192</v>
      </c>
      <c r="E290" t="s">
        <v>42</v>
      </c>
      <c r="F290" t="s">
        <v>1188</v>
      </c>
      <c r="G290" t="s">
        <v>1189</v>
      </c>
      <c r="H290" t="s">
        <v>33</v>
      </c>
      <c r="I290" t="s">
        <v>63</v>
      </c>
      <c r="J290" t="s">
        <v>473</v>
      </c>
      <c r="K290" t="s">
        <v>122</v>
      </c>
      <c r="L290" t="s">
        <v>36</v>
      </c>
      <c r="M290" t="s">
        <v>1193</v>
      </c>
      <c r="N290" t="s">
        <v>27</v>
      </c>
      <c r="O290" t="s">
        <v>28</v>
      </c>
      <c r="P290">
        <v>40.880000000000003</v>
      </c>
    </row>
    <row r="291" spans="1:16">
      <c r="A291" s="4">
        <v>2018</v>
      </c>
      <c r="B291" s="4">
        <v>100524</v>
      </c>
      <c r="C291" t="s">
        <v>1194</v>
      </c>
      <c r="D291" t="s">
        <v>1195</v>
      </c>
      <c r="E291" t="s">
        <v>144</v>
      </c>
      <c r="F291" t="s">
        <v>1196</v>
      </c>
      <c r="G291" t="s">
        <v>1197</v>
      </c>
      <c r="H291" t="s">
        <v>21</v>
      </c>
      <c r="I291" t="s">
        <v>97</v>
      </c>
      <c r="J291" t="s">
        <v>49</v>
      </c>
      <c r="K291" t="s">
        <v>50</v>
      </c>
      <c r="L291" t="s">
        <v>25</v>
      </c>
      <c r="M291" t="s">
        <v>1198</v>
      </c>
      <c r="N291" t="s">
        <v>79</v>
      </c>
      <c r="O291" t="s">
        <v>80</v>
      </c>
      <c r="P291">
        <v>29.78</v>
      </c>
    </row>
    <row r="292" spans="1:16">
      <c r="A292" s="4">
        <v>2017</v>
      </c>
      <c r="B292" s="4">
        <v>144211</v>
      </c>
      <c r="C292" t="s">
        <v>1199</v>
      </c>
      <c r="D292" t="s">
        <v>1200</v>
      </c>
      <c r="E292" t="s">
        <v>18</v>
      </c>
      <c r="F292" t="s">
        <v>1201</v>
      </c>
      <c r="G292" t="s">
        <v>1202</v>
      </c>
      <c r="H292" t="s">
        <v>33</v>
      </c>
      <c r="I292" t="s">
        <v>97</v>
      </c>
      <c r="J292" t="s">
        <v>1203</v>
      </c>
      <c r="K292" t="s">
        <v>222</v>
      </c>
      <c r="L292" t="s">
        <v>66</v>
      </c>
      <c r="M292" t="s">
        <v>1204</v>
      </c>
      <c r="N292" t="s">
        <v>27</v>
      </c>
      <c r="O292" t="s">
        <v>52</v>
      </c>
      <c r="P292">
        <v>15.48</v>
      </c>
    </row>
    <row r="293" spans="1:16">
      <c r="A293" s="4">
        <v>2015</v>
      </c>
      <c r="B293" s="4">
        <v>118962</v>
      </c>
      <c r="C293" t="s">
        <v>1021</v>
      </c>
      <c r="D293" t="s">
        <v>409</v>
      </c>
      <c r="E293" t="s">
        <v>18</v>
      </c>
      <c r="F293" t="s">
        <v>1201</v>
      </c>
      <c r="G293" t="s">
        <v>1202</v>
      </c>
      <c r="H293" t="s">
        <v>33</v>
      </c>
      <c r="I293" t="s">
        <v>97</v>
      </c>
      <c r="J293" t="s">
        <v>64</v>
      </c>
      <c r="K293" t="s">
        <v>65</v>
      </c>
      <c r="L293" t="s">
        <v>66</v>
      </c>
      <c r="M293" t="s">
        <v>1205</v>
      </c>
      <c r="N293" t="s">
        <v>27</v>
      </c>
      <c r="O293" t="s">
        <v>52</v>
      </c>
      <c r="P293">
        <v>20.94</v>
      </c>
    </row>
    <row r="294" spans="1:16">
      <c r="A294" s="4">
        <v>2016</v>
      </c>
      <c r="B294" s="4">
        <v>102036</v>
      </c>
      <c r="C294" t="s">
        <v>1206</v>
      </c>
      <c r="D294" t="s">
        <v>1207</v>
      </c>
      <c r="E294" t="s">
        <v>18</v>
      </c>
      <c r="F294" t="s">
        <v>1201</v>
      </c>
      <c r="G294" t="s">
        <v>1202</v>
      </c>
      <c r="H294" t="s">
        <v>33</v>
      </c>
      <c r="I294" t="s">
        <v>97</v>
      </c>
      <c r="J294" t="s">
        <v>271</v>
      </c>
      <c r="K294" t="s">
        <v>165</v>
      </c>
      <c r="L294" t="s">
        <v>66</v>
      </c>
      <c r="M294" t="s">
        <v>1208</v>
      </c>
      <c r="N294" t="s">
        <v>27</v>
      </c>
      <c r="O294" t="s">
        <v>58</v>
      </c>
      <c r="P294">
        <v>199.74</v>
      </c>
    </row>
    <row r="295" spans="1:16">
      <c r="A295" s="4">
        <v>2016</v>
      </c>
      <c r="B295" s="4">
        <v>132906</v>
      </c>
      <c r="C295" t="s">
        <v>149</v>
      </c>
      <c r="D295" t="s">
        <v>1209</v>
      </c>
      <c r="E295" t="s">
        <v>18</v>
      </c>
      <c r="F295" t="s">
        <v>1210</v>
      </c>
      <c r="G295" t="s">
        <v>1211</v>
      </c>
      <c r="H295" t="s">
        <v>33</v>
      </c>
      <c r="I295" t="s">
        <v>97</v>
      </c>
      <c r="J295" t="s">
        <v>64</v>
      </c>
      <c r="K295" t="s">
        <v>65</v>
      </c>
      <c r="L295" t="s">
        <v>66</v>
      </c>
      <c r="M295" t="s">
        <v>1212</v>
      </c>
      <c r="N295" t="s">
        <v>27</v>
      </c>
      <c r="O295" t="s">
        <v>74</v>
      </c>
      <c r="P295">
        <v>51.52</v>
      </c>
    </row>
    <row r="296" spans="1:16">
      <c r="A296" s="4">
        <v>2018</v>
      </c>
      <c r="B296" s="4">
        <v>146185</v>
      </c>
      <c r="C296" t="s">
        <v>702</v>
      </c>
      <c r="D296" t="s">
        <v>926</v>
      </c>
      <c r="E296" t="s">
        <v>18</v>
      </c>
      <c r="F296" t="s">
        <v>1210</v>
      </c>
      <c r="G296" t="s">
        <v>1211</v>
      </c>
      <c r="H296" t="s">
        <v>33</v>
      </c>
      <c r="I296" t="s">
        <v>97</v>
      </c>
      <c r="J296" t="s">
        <v>183</v>
      </c>
      <c r="K296" t="s">
        <v>35</v>
      </c>
      <c r="L296" t="s">
        <v>36</v>
      </c>
      <c r="M296" t="s">
        <v>1213</v>
      </c>
      <c r="N296" t="s">
        <v>27</v>
      </c>
      <c r="O296" t="s">
        <v>28</v>
      </c>
      <c r="P296">
        <v>31.744</v>
      </c>
    </row>
    <row r="297" spans="1:16">
      <c r="A297" s="4">
        <v>2016</v>
      </c>
      <c r="B297" s="4">
        <v>122623</v>
      </c>
      <c r="C297" t="s">
        <v>1214</v>
      </c>
      <c r="D297" t="s">
        <v>1215</v>
      </c>
      <c r="E297" t="s">
        <v>18</v>
      </c>
      <c r="F297" t="s">
        <v>1210</v>
      </c>
      <c r="G297" t="s">
        <v>1211</v>
      </c>
      <c r="H297" t="s">
        <v>33</v>
      </c>
      <c r="I297" t="s">
        <v>97</v>
      </c>
      <c r="J297" t="s">
        <v>1061</v>
      </c>
      <c r="K297" t="s">
        <v>35</v>
      </c>
      <c r="L297" t="s">
        <v>36</v>
      </c>
      <c r="M297" t="s">
        <v>1216</v>
      </c>
      <c r="N297" t="s">
        <v>79</v>
      </c>
      <c r="O297" t="s">
        <v>138</v>
      </c>
      <c r="P297">
        <v>47.515999999999998</v>
      </c>
    </row>
    <row r="298" spans="1:16">
      <c r="A298" s="4">
        <v>2016</v>
      </c>
      <c r="B298" s="4">
        <v>121797</v>
      </c>
      <c r="C298" t="s">
        <v>1217</v>
      </c>
      <c r="D298" t="s">
        <v>1218</v>
      </c>
      <c r="E298" t="s">
        <v>18</v>
      </c>
      <c r="F298" t="s">
        <v>1210</v>
      </c>
      <c r="G298" t="s">
        <v>1211</v>
      </c>
      <c r="H298" t="s">
        <v>33</v>
      </c>
      <c r="I298" t="s">
        <v>97</v>
      </c>
      <c r="J298" t="s">
        <v>64</v>
      </c>
      <c r="K298" t="s">
        <v>65</v>
      </c>
      <c r="L298" t="s">
        <v>66</v>
      </c>
      <c r="M298" t="s">
        <v>1219</v>
      </c>
      <c r="N298" t="s">
        <v>79</v>
      </c>
      <c r="O298" t="s">
        <v>80</v>
      </c>
      <c r="P298">
        <v>227.36</v>
      </c>
    </row>
    <row r="299" spans="1:16">
      <c r="A299" s="4">
        <v>2018</v>
      </c>
      <c r="B299" s="4">
        <v>139955</v>
      </c>
      <c r="C299" t="s">
        <v>1220</v>
      </c>
      <c r="D299" t="s">
        <v>665</v>
      </c>
      <c r="E299" t="s">
        <v>144</v>
      </c>
      <c r="F299" t="s">
        <v>1221</v>
      </c>
      <c r="G299" t="s">
        <v>1222</v>
      </c>
      <c r="H299" t="s">
        <v>21</v>
      </c>
      <c r="I299" t="s">
        <v>97</v>
      </c>
      <c r="J299" t="s">
        <v>1223</v>
      </c>
      <c r="K299" t="s">
        <v>35</v>
      </c>
      <c r="L299" t="s">
        <v>36</v>
      </c>
      <c r="M299" t="s">
        <v>577</v>
      </c>
      <c r="N299" t="s">
        <v>27</v>
      </c>
      <c r="O299" t="s">
        <v>74</v>
      </c>
      <c r="P299">
        <v>1.744</v>
      </c>
    </row>
    <row r="300" spans="1:16">
      <c r="A300" s="4">
        <v>2017</v>
      </c>
      <c r="B300" s="4">
        <v>159415</v>
      </c>
      <c r="C300" t="s">
        <v>843</v>
      </c>
      <c r="D300" t="s">
        <v>1224</v>
      </c>
      <c r="E300" t="s">
        <v>18</v>
      </c>
      <c r="F300" t="s">
        <v>1225</v>
      </c>
      <c r="G300" t="s">
        <v>1226</v>
      </c>
      <c r="H300" t="s">
        <v>33</v>
      </c>
      <c r="I300" t="s">
        <v>22</v>
      </c>
      <c r="J300" t="s">
        <v>977</v>
      </c>
      <c r="K300" t="s">
        <v>206</v>
      </c>
      <c r="L300" t="s">
        <v>45</v>
      </c>
      <c r="M300" t="s">
        <v>1227</v>
      </c>
      <c r="N300" t="s">
        <v>79</v>
      </c>
      <c r="O300" t="s">
        <v>80</v>
      </c>
      <c r="P300">
        <v>79.12</v>
      </c>
    </row>
    <row r="301" spans="1:16">
      <c r="A301" s="4">
        <v>2017</v>
      </c>
      <c r="B301" s="4">
        <v>157714</v>
      </c>
      <c r="C301" t="s">
        <v>1054</v>
      </c>
      <c r="D301" t="s">
        <v>1228</v>
      </c>
      <c r="E301" t="s">
        <v>144</v>
      </c>
      <c r="F301" t="s">
        <v>1225</v>
      </c>
      <c r="G301" t="s">
        <v>1226</v>
      </c>
      <c r="H301" t="s">
        <v>33</v>
      </c>
      <c r="I301" t="s">
        <v>22</v>
      </c>
      <c r="J301" t="s">
        <v>1229</v>
      </c>
      <c r="K301" t="s">
        <v>797</v>
      </c>
      <c r="L301" t="s">
        <v>36</v>
      </c>
      <c r="M301" t="s">
        <v>1028</v>
      </c>
      <c r="N301" t="s">
        <v>27</v>
      </c>
      <c r="O301" t="s">
        <v>52</v>
      </c>
      <c r="P301">
        <v>9.99</v>
      </c>
    </row>
    <row r="302" spans="1:16">
      <c r="A302" s="4">
        <v>2018</v>
      </c>
      <c r="B302" s="4">
        <v>165386</v>
      </c>
      <c r="C302" t="s">
        <v>1230</v>
      </c>
      <c r="D302" t="s">
        <v>1231</v>
      </c>
      <c r="E302" t="s">
        <v>42</v>
      </c>
      <c r="F302" t="s">
        <v>1232</v>
      </c>
      <c r="G302" t="s">
        <v>1233</v>
      </c>
      <c r="H302" t="s">
        <v>33</v>
      </c>
      <c r="I302" t="s">
        <v>97</v>
      </c>
      <c r="J302" t="s">
        <v>108</v>
      </c>
      <c r="K302" t="s">
        <v>109</v>
      </c>
      <c r="L302" t="s">
        <v>36</v>
      </c>
      <c r="M302" t="s">
        <v>1234</v>
      </c>
      <c r="N302" t="s">
        <v>79</v>
      </c>
      <c r="O302" t="s">
        <v>286</v>
      </c>
      <c r="P302">
        <v>183.37200000000001</v>
      </c>
    </row>
    <row r="303" spans="1:16">
      <c r="A303" s="4">
        <v>2018</v>
      </c>
      <c r="B303" s="4">
        <v>118598</v>
      </c>
      <c r="C303" t="s">
        <v>1235</v>
      </c>
      <c r="D303" t="s">
        <v>1235</v>
      </c>
      <c r="E303" t="s">
        <v>132</v>
      </c>
      <c r="F303" t="s">
        <v>1232</v>
      </c>
      <c r="G303" t="s">
        <v>1233</v>
      </c>
      <c r="H303" t="s">
        <v>33</v>
      </c>
      <c r="I303" t="s">
        <v>97</v>
      </c>
      <c r="J303" t="s">
        <v>1236</v>
      </c>
      <c r="K303" t="s">
        <v>50</v>
      </c>
      <c r="L303" t="s">
        <v>25</v>
      </c>
      <c r="M303" t="s">
        <v>1237</v>
      </c>
      <c r="N303" t="s">
        <v>38</v>
      </c>
      <c r="O303" t="s">
        <v>118</v>
      </c>
      <c r="P303">
        <v>119.94</v>
      </c>
    </row>
    <row r="304" spans="1:16">
      <c r="A304" s="4">
        <v>2016</v>
      </c>
      <c r="B304" s="4">
        <v>158554</v>
      </c>
      <c r="C304" t="s">
        <v>93</v>
      </c>
      <c r="D304" t="s">
        <v>93</v>
      </c>
      <c r="E304" t="s">
        <v>132</v>
      </c>
      <c r="F304" t="s">
        <v>1232</v>
      </c>
      <c r="G304" t="s">
        <v>1233</v>
      </c>
      <c r="H304" t="s">
        <v>33</v>
      </c>
      <c r="I304" t="s">
        <v>97</v>
      </c>
      <c r="J304" t="s">
        <v>23</v>
      </c>
      <c r="K304" t="s">
        <v>24</v>
      </c>
      <c r="L304" t="s">
        <v>25</v>
      </c>
      <c r="M304" t="s">
        <v>1238</v>
      </c>
      <c r="N304" t="s">
        <v>27</v>
      </c>
      <c r="O304" t="s">
        <v>52</v>
      </c>
      <c r="P304">
        <v>11.352</v>
      </c>
    </row>
    <row r="305" spans="1:16">
      <c r="A305" s="4">
        <v>2017</v>
      </c>
      <c r="B305" s="4">
        <v>140018</v>
      </c>
      <c r="C305" t="s">
        <v>1239</v>
      </c>
      <c r="D305" t="s">
        <v>1240</v>
      </c>
      <c r="E305" t="s">
        <v>18</v>
      </c>
      <c r="F305" t="s">
        <v>1241</v>
      </c>
      <c r="G305" t="s">
        <v>1242</v>
      </c>
      <c r="H305" t="s">
        <v>33</v>
      </c>
      <c r="I305" t="s">
        <v>97</v>
      </c>
      <c r="J305" t="s">
        <v>473</v>
      </c>
      <c r="K305" t="s">
        <v>237</v>
      </c>
      <c r="L305" t="s">
        <v>25</v>
      </c>
      <c r="M305" t="s">
        <v>1243</v>
      </c>
      <c r="N305" t="s">
        <v>38</v>
      </c>
      <c r="O305" t="s">
        <v>39</v>
      </c>
      <c r="P305">
        <v>30.344999999999999</v>
      </c>
    </row>
    <row r="306" spans="1:16">
      <c r="A306" s="4">
        <v>2017</v>
      </c>
      <c r="B306" s="4">
        <v>100720</v>
      </c>
      <c r="C306" t="s">
        <v>304</v>
      </c>
      <c r="D306" t="s">
        <v>1244</v>
      </c>
      <c r="E306" t="s">
        <v>18</v>
      </c>
      <c r="F306" t="s">
        <v>1241</v>
      </c>
      <c r="G306" t="s">
        <v>1242</v>
      </c>
      <c r="H306" t="s">
        <v>33</v>
      </c>
      <c r="I306" t="s">
        <v>97</v>
      </c>
      <c r="J306" t="s">
        <v>23</v>
      </c>
      <c r="K306" t="s">
        <v>24</v>
      </c>
      <c r="L306" t="s">
        <v>25</v>
      </c>
      <c r="M306" t="s">
        <v>1245</v>
      </c>
      <c r="N306" t="s">
        <v>38</v>
      </c>
      <c r="O306" t="s">
        <v>118</v>
      </c>
      <c r="P306">
        <v>143.982</v>
      </c>
    </row>
    <row r="307" spans="1:16">
      <c r="A307" s="4">
        <v>2015</v>
      </c>
      <c r="B307" s="4">
        <v>166884</v>
      </c>
      <c r="C307" t="s">
        <v>1246</v>
      </c>
      <c r="D307" t="s">
        <v>1247</v>
      </c>
      <c r="E307" t="s">
        <v>144</v>
      </c>
      <c r="F307" t="s">
        <v>1241</v>
      </c>
      <c r="G307" t="s">
        <v>1242</v>
      </c>
      <c r="H307" t="s">
        <v>33</v>
      </c>
      <c r="I307" t="s">
        <v>97</v>
      </c>
      <c r="J307" t="s">
        <v>473</v>
      </c>
      <c r="K307" t="s">
        <v>237</v>
      </c>
      <c r="L307" t="s">
        <v>25</v>
      </c>
      <c r="M307" t="s">
        <v>1248</v>
      </c>
      <c r="N307" t="s">
        <v>79</v>
      </c>
      <c r="O307" t="s">
        <v>80</v>
      </c>
      <c r="P307">
        <v>8.32</v>
      </c>
    </row>
    <row r="308" spans="1:16">
      <c r="A308" s="4">
        <v>2015</v>
      </c>
      <c r="B308" s="4">
        <v>113929</v>
      </c>
      <c r="C308" t="s">
        <v>1249</v>
      </c>
      <c r="D308" t="s">
        <v>1250</v>
      </c>
      <c r="E308" t="s">
        <v>18</v>
      </c>
      <c r="F308" t="s">
        <v>1241</v>
      </c>
      <c r="G308" t="s">
        <v>1242</v>
      </c>
      <c r="H308" t="s">
        <v>33</v>
      </c>
      <c r="I308" t="s">
        <v>97</v>
      </c>
      <c r="J308" t="s">
        <v>1251</v>
      </c>
      <c r="K308" t="s">
        <v>50</v>
      </c>
      <c r="L308" t="s">
        <v>25</v>
      </c>
      <c r="M308" t="s">
        <v>1252</v>
      </c>
      <c r="N308" t="s">
        <v>27</v>
      </c>
      <c r="O308" t="s">
        <v>501</v>
      </c>
      <c r="P308">
        <v>41.4</v>
      </c>
    </row>
    <row r="309" spans="1:16">
      <c r="A309" s="4">
        <v>2018</v>
      </c>
      <c r="B309" s="4">
        <v>161410</v>
      </c>
      <c r="C309" t="s">
        <v>1253</v>
      </c>
      <c r="D309" t="s">
        <v>1254</v>
      </c>
      <c r="E309" t="s">
        <v>18</v>
      </c>
      <c r="F309" t="s">
        <v>1255</v>
      </c>
      <c r="G309" t="s">
        <v>1256</v>
      </c>
      <c r="H309" t="s">
        <v>33</v>
      </c>
      <c r="I309" t="s">
        <v>97</v>
      </c>
      <c r="J309" t="s">
        <v>23</v>
      </c>
      <c r="K309" t="s">
        <v>24</v>
      </c>
      <c r="L309" t="s">
        <v>25</v>
      </c>
      <c r="M309" t="s">
        <v>1257</v>
      </c>
      <c r="N309" t="s">
        <v>38</v>
      </c>
      <c r="O309" t="s">
        <v>118</v>
      </c>
      <c r="P309">
        <v>358.2</v>
      </c>
    </row>
    <row r="310" spans="1:16">
      <c r="A310" s="4">
        <v>2018</v>
      </c>
      <c r="B310" s="4">
        <v>107888</v>
      </c>
      <c r="C310" t="s">
        <v>1235</v>
      </c>
      <c r="D310" t="s">
        <v>124</v>
      </c>
      <c r="E310" t="s">
        <v>42</v>
      </c>
      <c r="F310" t="s">
        <v>1255</v>
      </c>
      <c r="G310" t="s">
        <v>1256</v>
      </c>
      <c r="H310" t="s">
        <v>33</v>
      </c>
      <c r="I310" t="s">
        <v>97</v>
      </c>
      <c r="J310" t="s">
        <v>271</v>
      </c>
      <c r="K310" t="s">
        <v>165</v>
      </c>
      <c r="L310" t="s">
        <v>66</v>
      </c>
      <c r="M310" t="s">
        <v>1258</v>
      </c>
      <c r="N310" t="s">
        <v>27</v>
      </c>
      <c r="O310" t="s">
        <v>52</v>
      </c>
      <c r="P310">
        <v>73.680000000000007</v>
      </c>
    </row>
    <row r="311" spans="1:16">
      <c r="A311" s="4">
        <v>2016</v>
      </c>
      <c r="B311" s="4">
        <v>147879</v>
      </c>
      <c r="C311" t="s">
        <v>1259</v>
      </c>
      <c r="D311" t="s">
        <v>321</v>
      </c>
      <c r="E311" t="s">
        <v>18</v>
      </c>
      <c r="F311" t="s">
        <v>1255</v>
      </c>
      <c r="G311" t="s">
        <v>1256</v>
      </c>
      <c r="H311" t="s">
        <v>33</v>
      </c>
      <c r="I311" t="s">
        <v>97</v>
      </c>
      <c r="J311" t="s">
        <v>1260</v>
      </c>
      <c r="K311" t="s">
        <v>126</v>
      </c>
      <c r="L311" t="s">
        <v>45</v>
      </c>
      <c r="M311" t="s">
        <v>1261</v>
      </c>
      <c r="N311" t="s">
        <v>27</v>
      </c>
      <c r="O311" t="s">
        <v>52</v>
      </c>
      <c r="P311">
        <v>45.68</v>
      </c>
    </row>
    <row r="312" spans="1:16">
      <c r="A312" s="4">
        <v>2017</v>
      </c>
      <c r="B312" s="4">
        <v>155474</v>
      </c>
      <c r="C312" t="s">
        <v>1262</v>
      </c>
      <c r="D312" t="s">
        <v>1034</v>
      </c>
      <c r="E312" t="s">
        <v>18</v>
      </c>
      <c r="F312" t="s">
        <v>1255</v>
      </c>
      <c r="G312" t="s">
        <v>1256</v>
      </c>
      <c r="H312" t="s">
        <v>33</v>
      </c>
      <c r="I312" t="s">
        <v>97</v>
      </c>
      <c r="J312" t="s">
        <v>271</v>
      </c>
      <c r="K312" t="s">
        <v>165</v>
      </c>
      <c r="L312" t="s">
        <v>66</v>
      </c>
      <c r="M312" t="s">
        <v>487</v>
      </c>
      <c r="N312" t="s">
        <v>38</v>
      </c>
      <c r="O312" t="s">
        <v>118</v>
      </c>
      <c r="P312">
        <v>107.98399999999999</v>
      </c>
    </row>
    <row r="313" spans="1:16">
      <c r="A313" s="4">
        <v>2018</v>
      </c>
      <c r="B313" s="4">
        <v>152695</v>
      </c>
      <c r="C313" t="s">
        <v>299</v>
      </c>
      <c r="D313" t="s">
        <v>299</v>
      </c>
      <c r="E313" t="s">
        <v>132</v>
      </c>
      <c r="F313" t="s">
        <v>1255</v>
      </c>
      <c r="G313" t="s">
        <v>1256</v>
      </c>
      <c r="H313" t="s">
        <v>33</v>
      </c>
      <c r="I313" t="s">
        <v>97</v>
      </c>
      <c r="J313" t="s">
        <v>1263</v>
      </c>
      <c r="K313" t="s">
        <v>390</v>
      </c>
      <c r="L313" t="s">
        <v>25</v>
      </c>
      <c r="M313" t="s">
        <v>1264</v>
      </c>
      <c r="N313" t="s">
        <v>27</v>
      </c>
      <c r="O313" t="s">
        <v>501</v>
      </c>
      <c r="P313">
        <v>10.86</v>
      </c>
    </row>
    <row r="314" spans="1:16">
      <c r="A314" s="4">
        <v>2017</v>
      </c>
      <c r="B314" s="4">
        <v>101525</v>
      </c>
      <c r="C314" t="s">
        <v>1265</v>
      </c>
      <c r="D314" t="s">
        <v>1266</v>
      </c>
      <c r="E314" t="s">
        <v>144</v>
      </c>
      <c r="F314" t="s">
        <v>1267</v>
      </c>
      <c r="G314" t="s">
        <v>1268</v>
      </c>
      <c r="H314" t="s">
        <v>21</v>
      </c>
      <c r="I314" t="s">
        <v>97</v>
      </c>
      <c r="J314" t="s">
        <v>1269</v>
      </c>
      <c r="K314" t="s">
        <v>1270</v>
      </c>
      <c r="L314" t="s">
        <v>45</v>
      </c>
      <c r="M314" t="s">
        <v>1271</v>
      </c>
      <c r="N314" t="s">
        <v>27</v>
      </c>
      <c r="O314" t="s">
        <v>52</v>
      </c>
      <c r="P314">
        <v>109.92</v>
      </c>
    </row>
    <row r="315" spans="1:16">
      <c r="A315" s="4">
        <v>2016</v>
      </c>
      <c r="B315" s="4">
        <v>121041</v>
      </c>
      <c r="C315" t="s">
        <v>1272</v>
      </c>
      <c r="D315" t="s">
        <v>208</v>
      </c>
      <c r="E315" t="s">
        <v>18</v>
      </c>
      <c r="F315" t="s">
        <v>1273</v>
      </c>
      <c r="G315" t="s">
        <v>1274</v>
      </c>
      <c r="H315" t="s">
        <v>33</v>
      </c>
      <c r="I315" t="s">
        <v>22</v>
      </c>
      <c r="J315" t="s">
        <v>1275</v>
      </c>
      <c r="K315" t="s">
        <v>35</v>
      </c>
      <c r="L315" t="s">
        <v>36</v>
      </c>
      <c r="M315" t="s">
        <v>1276</v>
      </c>
      <c r="N315" t="s">
        <v>27</v>
      </c>
      <c r="O315" t="s">
        <v>501</v>
      </c>
      <c r="P315">
        <v>6.6079999999999997</v>
      </c>
    </row>
    <row r="316" spans="1:16">
      <c r="A316" s="4">
        <v>2017</v>
      </c>
      <c r="B316" s="4">
        <v>161095</v>
      </c>
      <c r="C316" t="s">
        <v>1277</v>
      </c>
      <c r="D316" t="s">
        <v>1277</v>
      </c>
      <c r="E316" t="s">
        <v>132</v>
      </c>
      <c r="F316" t="s">
        <v>1273</v>
      </c>
      <c r="G316" t="s">
        <v>1274</v>
      </c>
      <c r="H316" t="s">
        <v>33</v>
      </c>
      <c r="I316" t="s">
        <v>22</v>
      </c>
      <c r="J316" t="s">
        <v>64</v>
      </c>
      <c r="K316" t="s">
        <v>65</v>
      </c>
      <c r="L316" t="s">
        <v>66</v>
      </c>
      <c r="M316" t="s">
        <v>1278</v>
      </c>
      <c r="N316" t="s">
        <v>27</v>
      </c>
      <c r="O316" t="s">
        <v>101</v>
      </c>
      <c r="P316">
        <v>7.7519999999999998</v>
      </c>
    </row>
    <row r="317" spans="1:16">
      <c r="A317" s="4">
        <v>2016</v>
      </c>
      <c r="B317" s="4">
        <v>120362</v>
      </c>
      <c r="C317" t="s">
        <v>1209</v>
      </c>
      <c r="D317" t="s">
        <v>1279</v>
      </c>
      <c r="E317" t="s">
        <v>18</v>
      </c>
      <c r="F317" t="s">
        <v>1280</v>
      </c>
      <c r="G317" t="s">
        <v>1281</v>
      </c>
      <c r="H317" t="s">
        <v>33</v>
      </c>
      <c r="I317" t="s">
        <v>97</v>
      </c>
      <c r="J317" t="s">
        <v>216</v>
      </c>
      <c r="K317" t="s">
        <v>217</v>
      </c>
      <c r="L317" t="s">
        <v>66</v>
      </c>
      <c r="M317" t="s">
        <v>1282</v>
      </c>
      <c r="N317" t="s">
        <v>79</v>
      </c>
      <c r="O317" t="s">
        <v>347</v>
      </c>
      <c r="P317">
        <v>912.75</v>
      </c>
    </row>
    <row r="318" spans="1:16">
      <c r="A318" s="4">
        <v>2018</v>
      </c>
      <c r="B318" s="4">
        <v>102610</v>
      </c>
      <c r="C318" t="s">
        <v>1283</v>
      </c>
      <c r="D318" t="s">
        <v>1284</v>
      </c>
      <c r="E318" t="s">
        <v>18</v>
      </c>
      <c r="F318" t="s">
        <v>1280</v>
      </c>
      <c r="G318" t="s">
        <v>1281</v>
      </c>
      <c r="H318" t="s">
        <v>33</v>
      </c>
      <c r="I318" t="s">
        <v>97</v>
      </c>
      <c r="J318" t="s">
        <v>1285</v>
      </c>
      <c r="K318" t="s">
        <v>206</v>
      </c>
      <c r="L318" t="s">
        <v>45</v>
      </c>
      <c r="M318" t="s">
        <v>1286</v>
      </c>
      <c r="N318" t="s">
        <v>38</v>
      </c>
      <c r="O318" t="s">
        <v>68</v>
      </c>
      <c r="P318">
        <v>95.975999999999999</v>
      </c>
    </row>
    <row r="319" spans="1:16">
      <c r="A319" s="4">
        <v>2017</v>
      </c>
      <c r="B319" s="4">
        <v>106894</v>
      </c>
      <c r="C319" t="s">
        <v>129</v>
      </c>
      <c r="D319" t="s">
        <v>129</v>
      </c>
      <c r="E319" t="s">
        <v>132</v>
      </c>
      <c r="F319" t="s">
        <v>1280</v>
      </c>
      <c r="G319" t="s">
        <v>1281</v>
      </c>
      <c r="H319" t="s">
        <v>33</v>
      </c>
      <c r="I319" t="s">
        <v>97</v>
      </c>
      <c r="J319" t="s">
        <v>98</v>
      </c>
      <c r="K319" t="s">
        <v>56</v>
      </c>
      <c r="L319" t="s">
        <v>45</v>
      </c>
      <c r="M319" t="s">
        <v>1287</v>
      </c>
      <c r="N319" t="s">
        <v>38</v>
      </c>
      <c r="O319" t="s">
        <v>68</v>
      </c>
      <c r="P319">
        <v>100</v>
      </c>
    </row>
    <row r="320" spans="1:16">
      <c r="A320" s="4">
        <v>2015</v>
      </c>
      <c r="B320" s="4">
        <v>111171</v>
      </c>
      <c r="C320" t="s">
        <v>181</v>
      </c>
      <c r="D320" t="s">
        <v>1059</v>
      </c>
      <c r="E320" t="s">
        <v>18</v>
      </c>
      <c r="F320" t="s">
        <v>1280</v>
      </c>
      <c r="G320" t="s">
        <v>1281</v>
      </c>
      <c r="H320" t="s">
        <v>33</v>
      </c>
      <c r="I320" t="s">
        <v>97</v>
      </c>
      <c r="J320" t="s">
        <v>108</v>
      </c>
      <c r="K320" t="s">
        <v>109</v>
      </c>
      <c r="L320" t="s">
        <v>36</v>
      </c>
      <c r="M320" t="s">
        <v>1288</v>
      </c>
      <c r="N320" t="s">
        <v>27</v>
      </c>
      <c r="O320" t="s">
        <v>101</v>
      </c>
      <c r="P320">
        <v>8.69</v>
      </c>
    </row>
    <row r="321" spans="1:16">
      <c r="A321" s="4">
        <v>2018</v>
      </c>
      <c r="B321" s="4">
        <v>117534</v>
      </c>
      <c r="C321" t="s">
        <v>849</v>
      </c>
      <c r="D321" t="s">
        <v>1289</v>
      </c>
      <c r="E321" t="s">
        <v>42</v>
      </c>
      <c r="F321" t="s">
        <v>1290</v>
      </c>
      <c r="G321" t="s">
        <v>1291</v>
      </c>
      <c r="H321" t="s">
        <v>21</v>
      </c>
      <c r="I321" t="s">
        <v>97</v>
      </c>
      <c r="J321" t="s">
        <v>1292</v>
      </c>
      <c r="K321" t="s">
        <v>65</v>
      </c>
      <c r="L321" t="s">
        <v>66</v>
      </c>
      <c r="M321" t="s">
        <v>1293</v>
      </c>
      <c r="N321" t="s">
        <v>27</v>
      </c>
      <c r="O321" t="s">
        <v>228</v>
      </c>
      <c r="P321">
        <v>176.04</v>
      </c>
    </row>
    <row r="322" spans="1:16">
      <c r="A322" s="4">
        <v>2018</v>
      </c>
      <c r="B322" s="4">
        <v>145366</v>
      </c>
      <c r="C322" t="s">
        <v>163</v>
      </c>
      <c r="D322" t="s">
        <v>1294</v>
      </c>
      <c r="E322" t="s">
        <v>18</v>
      </c>
      <c r="F322" t="s">
        <v>1295</v>
      </c>
      <c r="G322" t="s">
        <v>1296</v>
      </c>
      <c r="H322" t="s">
        <v>21</v>
      </c>
      <c r="I322" t="s">
        <v>22</v>
      </c>
      <c r="J322" t="s">
        <v>341</v>
      </c>
      <c r="K322" t="s">
        <v>237</v>
      </c>
      <c r="L322" t="s">
        <v>25</v>
      </c>
      <c r="M322" t="s">
        <v>1297</v>
      </c>
      <c r="N322" t="s">
        <v>27</v>
      </c>
      <c r="O322" t="s">
        <v>58</v>
      </c>
      <c r="P322">
        <v>37.207999999999998</v>
      </c>
    </row>
    <row r="323" spans="1:16">
      <c r="A323" s="4">
        <v>2015</v>
      </c>
      <c r="B323" s="4">
        <v>104472</v>
      </c>
      <c r="C323" t="s">
        <v>1298</v>
      </c>
      <c r="D323" t="s">
        <v>714</v>
      </c>
      <c r="E323" t="s">
        <v>18</v>
      </c>
      <c r="F323" t="s">
        <v>1299</v>
      </c>
      <c r="G323" t="s">
        <v>1300</v>
      </c>
      <c r="H323" t="s">
        <v>21</v>
      </c>
      <c r="I323" t="s">
        <v>63</v>
      </c>
      <c r="J323" t="s">
        <v>1301</v>
      </c>
      <c r="K323" t="s">
        <v>217</v>
      </c>
      <c r="L323" t="s">
        <v>66</v>
      </c>
      <c r="M323" t="s">
        <v>1302</v>
      </c>
      <c r="N323" t="s">
        <v>27</v>
      </c>
      <c r="O323" t="s">
        <v>101</v>
      </c>
      <c r="P323">
        <v>59.808</v>
      </c>
    </row>
    <row r="324" spans="1:16">
      <c r="A324" s="4">
        <v>2017</v>
      </c>
      <c r="B324" s="4">
        <v>127642</v>
      </c>
      <c r="C324" t="s">
        <v>1303</v>
      </c>
      <c r="D324" t="s">
        <v>515</v>
      </c>
      <c r="E324" t="s">
        <v>42</v>
      </c>
      <c r="F324" t="s">
        <v>1304</v>
      </c>
      <c r="G324" t="s">
        <v>1305</v>
      </c>
      <c r="H324" t="s">
        <v>33</v>
      </c>
      <c r="I324" t="s">
        <v>22</v>
      </c>
      <c r="J324" t="s">
        <v>1306</v>
      </c>
      <c r="K324" t="s">
        <v>838</v>
      </c>
      <c r="L324" t="s">
        <v>25</v>
      </c>
      <c r="M324" t="s">
        <v>1307</v>
      </c>
      <c r="N324" t="s">
        <v>27</v>
      </c>
      <c r="O324" t="s">
        <v>52</v>
      </c>
      <c r="P324">
        <v>111.96</v>
      </c>
    </row>
    <row r="325" spans="1:16">
      <c r="A325" s="4">
        <v>2015</v>
      </c>
      <c r="B325" s="4">
        <v>148838</v>
      </c>
      <c r="C325" t="s">
        <v>1308</v>
      </c>
      <c r="D325" t="s">
        <v>1146</v>
      </c>
      <c r="E325" t="s">
        <v>18</v>
      </c>
      <c r="F325" t="s">
        <v>1304</v>
      </c>
      <c r="G325" t="s">
        <v>1305</v>
      </c>
      <c r="H325" t="s">
        <v>33</v>
      </c>
      <c r="I325" t="s">
        <v>22</v>
      </c>
      <c r="J325" t="s">
        <v>49</v>
      </c>
      <c r="K325" t="s">
        <v>50</v>
      </c>
      <c r="L325" t="s">
        <v>25</v>
      </c>
      <c r="M325" t="s">
        <v>1309</v>
      </c>
      <c r="N325" t="s">
        <v>79</v>
      </c>
      <c r="O325" t="s">
        <v>347</v>
      </c>
      <c r="P325">
        <v>1579.7460000000001</v>
      </c>
    </row>
    <row r="326" spans="1:16">
      <c r="A326" s="4">
        <v>2017</v>
      </c>
      <c r="B326" s="4">
        <v>108098</v>
      </c>
      <c r="C326" t="s">
        <v>723</v>
      </c>
      <c r="D326" t="s">
        <v>1310</v>
      </c>
      <c r="E326" t="s">
        <v>18</v>
      </c>
      <c r="F326" t="s">
        <v>1304</v>
      </c>
      <c r="G326" t="s">
        <v>1305</v>
      </c>
      <c r="H326" t="s">
        <v>33</v>
      </c>
      <c r="I326" t="s">
        <v>22</v>
      </c>
      <c r="J326" t="s">
        <v>271</v>
      </c>
      <c r="K326" t="s">
        <v>165</v>
      </c>
      <c r="L326" t="s">
        <v>66</v>
      </c>
      <c r="M326" t="s">
        <v>1311</v>
      </c>
      <c r="N326" t="s">
        <v>38</v>
      </c>
      <c r="O326" t="s">
        <v>68</v>
      </c>
      <c r="P326">
        <v>177</v>
      </c>
    </row>
    <row r="327" spans="1:16">
      <c r="A327" s="4">
        <v>2018</v>
      </c>
      <c r="B327" s="4">
        <v>165687</v>
      </c>
      <c r="C327" t="s">
        <v>1312</v>
      </c>
      <c r="D327" t="s">
        <v>125</v>
      </c>
      <c r="E327" t="s">
        <v>18</v>
      </c>
      <c r="F327" t="s">
        <v>1313</v>
      </c>
      <c r="G327" t="s">
        <v>1314</v>
      </c>
      <c r="H327" t="s">
        <v>33</v>
      </c>
      <c r="I327" t="s">
        <v>97</v>
      </c>
      <c r="J327" t="s">
        <v>322</v>
      </c>
      <c r="K327" t="s">
        <v>56</v>
      </c>
      <c r="L327" t="s">
        <v>45</v>
      </c>
      <c r="M327" t="s">
        <v>1315</v>
      </c>
      <c r="N327" t="s">
        <v>27</v>
      </c>
      <c r="O327" t="s">
        <v>228</v>
      </c>
      <c r="P327">
        <v>35.04</v>
      </c>
    </row>
    <row r="328" spans="1:16">
      <c r="A328" s="4">
        <v>2018</v>
      </c>
      <c r="B328" s="4">
        <v>124296</v>
      </c>
      <c r="C328" t="s">
        <v>424</v>
      </c>
      <c r="D328" t="s">
        <v>1316</v>
      </c>
      <c r="E328" t="s">
        <v>18</v>
      </c>
      <c r="F328" t="s">
        <v>1313</v>
      </c>
      <c r="G328" t="s">
        <v>1314</v>
      </c>
      <c r="H328" t="s">
        <v>33</v>
      </c>
      <c r="I328" t="s">
        <v>97</v>
      </c>
      <c r="J328" t="s">
        <v>376</v>
      </c>
      <c r="K328" t="s">
        <v>377</v>
      </c>
      <c r="L328" t="s">
        <v>45</v>
      </c>
      <c r="M328" t="s">
        <v>26</v>
      </c>
      <c r="N328" t="s">
        <v>38</v>
      </c>
      <c r="O328" t="s">
        <v>39</v>
      </c>
      <c r="P328">
        <v>479.97</v>
      </c>
    </row>
    <row r="329" spans="1:16">
      <c r="A329" s="4">
        <v>2015</v>
      </c>
      <c r="B329" s="4">
        <v>109043</v>
      </c>
      <c r="C329" t="s">
        <v>1317</v>
      </c>
      <c r="D329" t="s">
        <v>1318</v>
      </c>
      <c r="E329" t="s">
        <v>42</v>
      </c>
      <c r="F329" t="s">
        <v>1313</v>
      </c>
      <c r="G329" t="s">
        <v>1314</v>
      </c>
      <c r="H329" t="s">
        <v>33</v>
      </c>
      <c r="I329" t="s">
        <v>97</v>
      </c>
      <c r="J329" t="s">
        <v>1319</v>
      </c>
      <c r="K329" t="s">
        <v>196</v>
      </c>
      <c r="L329" t="s">
        <v>45</v>
      </c>
      <c r="M329" t="s">
        <v>1320</v>
      </c>
      <c r="N329" t="s">
        <v>27</v>
      </c>
      <c r="O329" t="s">
        <v>52</v>
      </c>
      <c r="P329">
        <v>91.36</v>
      </c>
    </row>
    <row r="330" spans="1:16">
      <c r="A330" s="4">
        <v>2016</v>
      </c>
      <c r="B330" s="4">
        <v>145352</v>
      </c>
      <c r="C330" t="s">
        <v>1321</v>
      </c>
      <c r="D330" t="s">
        <v>1322</v>
      </c>
      <c r="E330" t="s">
        <v>18</v>
      </c>
      <c r="F330" t="s">
        <v>1323</v>
      </c>
      <c r="G330" t="s">
        <v>1324</v>
      </c>
      <c r="H330" t="s">
        <v>21</v>
      </c>
      <c r="I330" t="s">
        <v>97</v>
      </c>
      <c r="J330" t="s">
        <v>85</v>
      </c>
      <c r="K330" t="s">
        <v>86</v>
      </c>
      <c r="L330" t="s">
        <v>45</v>
      </c>
      <c r="M330" t="s">
        <v>1325</v>
      </c>
      <c r="N330" t="s">
        <v>27</v>
      </c>
      <c r="O330" t="s">
        <v>28</v>
      </c>
      <c r="P330">
        <v>2.74</v>
      </c>
    </row>
    <row r="331" spans="1:16">
      <c r="A331" s="4">
        <v>2018</v>
      </c>
      <c r="B331" s="4">
        <v>135111</v>
      </c>
      <c r="C331" t="s">
        <v>1316</v>
      </c>
      <c r="D331" t="s">
        <v>1018</v>
      </c>
      <c r="E331" t="s">
        <v>18</v>
      </c>
      <c r="F331" t="s">
        <v>1326</v>
      </c>
      <c r="G331" t="s">
        <v>1327</v>
      </c>
      <c r="H331" t="s">
        <v>33</v>
      </c>
      <c r="I331" t="s">
        <v>63</v>
      </c>
      <c r="J331" t="s">
        <v>1328</v>
      </c>
      <c r="K331" t="s">
        <v>1329</v>
      </c>
      <c r="L331" t="s">
        <v>36</v>
      </c>
      <c r="M331" t="s">
        <v>1330</v>
      </c>
      <c r="N331" t="s">
        <v>27</v>
      </c>
      <c r="O331" t="s">
        <v>28</v>
      </c>
      <c r="P331">
        <v>2.48</v>
      </c>
    </row>
    <row r="332" spans="1:16">
      <c r="A332" s="4">
        <v>2018</v>
      </c>
      <c r="B332" s="4">
        <v>119662</v>
      </c>
      <c r="C332" t="s">
        <v>1331</v>
      </c>
      <c r="D332" t="s">
        <v>1235</v>
      </c>
      <c r="E332" t="s">
        <v>42</v>
      </c>
      <c r="F332" t="s">
        <v>1326</v>
      </c>
      <c r="G332" t="s">
        <v>1327</v>
      </c>
      <c r="H332" t="s">
        <v>33</v>
      </c>
      <c r="I332" t="s">
        <v>63</v>
      </c>
      <c r="J332" t="s">
        <v>108</v>
      </c>
      <c r="K332" t="s">
        <v>109</v>
      </c>
      <c r="L332" t="s">
        <v>36</v>
      </c>
      <c r="M332" t="s">
        <v>1332</v>
      </c>
      <c r="N332" t="s">
        <v>27</v>
      </c>
      <c r="O332" t="s">
        <v>58</v>
      </c>
      <c r="P332">
        <v>230.376</v>
      </c>
    </row>
    <row r="333" spans="1:16">
      <c r="A333" s="4">
        <v>2017</v>
      </c>
      <c r="B333" s="4">
        <v>140207</v>
      </c>
      <c r="C333" t="s">
        <v>276</v>
      </c>
      <c r="D333" t="s">
        <v>277</v>
      </c>
      <c r="E333" t="s">
        <v>18</v>
      </c>
      <c r="F333" t="s">
        <v>1326</v>
      </c>
      <c r="G333" t="s">
        <v>1327</v>
      </c>
      <c r="H333" t="s">
        <v>33</v>
      </c>
      <c r="I333" t="s">
        <v>63</v>
      </c>
      <c r="J333" t="s">
        <v>1333</v>
      </c>
      <c r="K333" t="s">
        <v>65</v>
      </c>
      <c r="L333" t="s">
        <v>66</v>
      </c>
      <c r="M333" t="s">
        <v>1334</v>
      </c>
      <c r="N333" t="s">
        <v>27</v>
      </c>
      <c r="O333" t="s">
        <v>101</v>
      </c>
      <c r="P333">
        <v>29.12</v>
      </c>
    </row>
    <row r="334" spans="1:16">
      <c r="A334" s="4">
        <v>2015</v>
      </c>
      <c r="B334" s="4">
        <v>127586</v>
      </c>
      <c r="C334" t="s">
        <v>1335</v>
      </c>
      <c r="D334" t="s">
        <v>770</v>
      </c>
      <c r="E334" t="s">
        <v>18</v>
      </c>
      <c r="F334" t="s">
        <v>1326</v>
      </c>
      <c r="G334" t="s">
        <v>1327</v>
      </c>
      <c r="H334" t="s">
        <v>33</v>
      </c>
      <c r="I334" t="s">
        <v>63</v>
      </c>
      <c r="J334" t="s">
        <v>271</v>
      </c>
      <c r="K334" t="s">
        <v>165</v>
      </c>
      <c r="L334" t="s">
        <v>66</v>
      </c>
      <c r="M334" t="s">
        <v>685</v>
      </c>
      <c r="N334" t="s">
        <v>27</v>
      </c>
      <c r="O334" t="s">
        <v>58</v>
      </c>
      <c r="P334">
        <v>310.12</v>
      </c>
    </row>
    <row r="335" spans="1:16">
      <c r="A335" s="4">
        <v>2018</v>
      </c>
      <c r="B335" s="4">
        <v>100930</v>
      </c>
      <c r="C335" t="s">
        <v>1336</v>
      </c>
      <c r="D335" t="s">
        <v>834</v>
      </c>
      <c r="E335" t="s">
        <v>18</v>
      </c>
      <c r="F335" t="s">
        <v>1326</v>
      </c>
      <c r="G335" t="s">
        <v>1327</v>
      </c>
      <c r="H335" t="s">
        <v>33</v>
      </c>
      <c r="I335" t="s">
        <v>63</v>
      </c>
      <c r="J335" t="s">
        <v>241</v>
      </c>
      <c r="K335" t="s">
        <v>196</v>
      </c>
      <c r="L335" t="s">
        <v>45</v>
      </c>
      <c r="M335" t="s">
        <v>1337</v>
      </c>
      <c r="N335" t="s">
        <v>79</v>
      </c>
      <c r="O335" t="s">
        <v>347</v>
      </c>
      <c r="P335">
        <v>233.86</v>
      </c>
    </row>
    <row r="336" spans="1:16">
      <c r="A336" s="4">
        <v>2017</v>
      </c>
      <c r="B336" s="4">
        <v>147417</v>
      </c>
      <c r="C336" t="s">
        <v>1338</v>
      </c>
      <c r="D336" t="s">
        <v>1132</v>
      </c>
      <c r="E336" t="s">
        <v>42</v>
      </c>
      <c r="F336" t="s">
        <v>1339</v>
      </c>
      <c r="G336" t="s">
        <v>1340</v>
      </c>
      <c r="H336" t="s">
        <v>21</v>
      </c>
      <c r="I336" t="s">
        <v>97</v>
      </c>
      <c r="J336" t="s">
        <v>473</v>
      </c>
      <c r="K336" t="s">
        <v>237</v>
      </c>
      <c r="L336" t="s">
        <v>25</v>
      </c>
      <c r="M336" t="s">
        <v>1341</v>
      </c>
      <c r="N336" t="s">
        <v>38</v>
      </c>
      <c r="O336" t="s">
        <v>190</v>
      </c>
      <c r="P336">
        <v>1439.9760000000001</v>
      </c>
    </row>
    <row r="337" spans="1:16">
      <c r="A337" s="4">
        <v>2017</v>
      </c>
      <c r="B337" s="4">
        <v>118570</v>
      </c>
      <c r="C337" t="s">
        <v>1342</v>
      </c>
      <c r="D337" t="s">
        <v>931</v>
      </c>
      <c r="E337" t="s">
        <v>18</v>
      </c>
      <c r="F337" t="s">
        <v>1343</v>
      </c>
      <c r="G337" t="s">
        <v>1344</v>
      </c>
      <c r="H337" t="s">
        <v>33</v>
      </c>
      <c r="I337" t="s">
        <v>63</v>
      </c>
      <c r="J337" t="s">
        <v>23</v>
      </c>
      <c r="K337" t="s">
        <v>24</v>
      </c>
      <c r="L337" t="s">
        <v>25</v>
      </c>
      <c r="M337" t="s">
        <v>1345</v>
      </c>
      <c r="N337" t="s">
        <v>27</v>
      </c>
      <c r="O337" t="s">
        <v>52</v>
      </c>
      <c r="P337">
        <v>217.05600000000001</v>
      </c>
    </row>
    <row r="338" spans="1:16">
      <c r="A338" s="4">
        <v>2018</v>
      </c>
      <c r="B338" s="4">
        <v>125290</v>
      </c>
      <c r="C338" t="s">
        <v>579</v>
      </c>
      <c r="D338" t="s">
        <v>1346</v>
      </c>
      <c r="E338" t="s">
        <v>144</v>
      </c>
      <c r="F338" t="s">
        <v>1343</v>
      </c>
      <c r="G338" t="s">
        <v>1344</v>
      </c>
      <c r="H338" t="s">
        <v>33</v>
      </c>
      <c r="I338" t="s">
        <v>63</v>
      </c>
      <c r="J338" t="s">
        <v>371</v>
      </c>
      <c r="K338" t="s">
        <v>372</v>
      </c>
      <c r="L338" t="s">
        <v>36</v>
      </c>
      <c r="M338" t="s">
        <v>1347</v>
      </c>
      <c r="N338" t="s">
        <v>27</v>
      </c>
      <c r="O338" t="s">
        <v>28</v>
      </c>
      <c r="P338">
        <v>13.9</v>
      </c>
    </row>
    <row r="339" spans="1:16">
      <c r="A339" s="4">
        <v>2018</v>
      </c>
      <c r="B339" s="4">
        <v>126221</v>
      </c>
      <c r="C339" t="s">
        <v>1348</v>
      </c>
      <c r="D339" t="s">
        <v>1349</v>
      </c>
      <c r="E339" t="s">
        <v>18</v>
      </c>
      <c r="F339" t="s">
        <v>1343</v>
      </c>
      <c r="G339" t="s">
        <v>1344</v>
      </c>
      <c r="H339" t="s">
        <v>33</v>
      </c>
      <c r="I339" t="s">
        <v>63</v>
      </c>
      <c r="J339" t="s">
        <v>473</v>
      </c>
      <c r="K339" t="s">
        <v>122</v>
      </c>
      <c r="L339" t="s">
        <v>36</v>
      </c>
      <c r="M339" t="s">
        <v>1350</v>
      </c>
      <c r="N339" t="s">
        <v>27</v>
      </c>
      <c r="O339" t="s">
        <v>228</v>
      </c>
      <c r="P339">
        <v>209.3</v>
      </c>
    </row>
    <row r="340" spans="1:16">
      <c r="A340" s="4">
        <v>2017</v>
      </c>
      <c r="B340" s="4">
        <v>116736</v>
      </c>
      <c r="C340" t="s">
        <v>1351</v>
      </c>
      <c r="D340" t="s">
        <v>1352</v>
      </c>
      <c r="E340" t="s">
        <v>18</v>
      </c>
      <c r="F340" t="s">
        <v>1343</v>
      </c>
      <c r="G340" t="s">
        <v>1344</v>
      </c>
      <c r="H340" t="s">
        <v>33</v>
      </c>
      <c r="I340" t="s">
        <v>63</v>
      </c>
      <c r="J340" t="s">
        <v>71</v>
      </c>
      <c r="K340" t="s">
        <v>72</v>
      </c>
      <c r="L340" t="s">
        <v>25</v>
      </c>
      <c r="M340" t="s">
        <v>1353</v>
      </c>
      <c r="N340" t="s">
        <v>79</v>
      </c>
      <c r="O340" t="s">
        <v>80</v>
      </c>
      <c r="P340">
        <v>322.58999999999997</v>
      </c>
    </row>
    <row r="341" spans="1:16">
      <c r="A341" s="4">
        <v>2017</v>
      </c>
      <c r="B341" s="4">
        <v>163384</v>
      </c>
      <c r="C341" t="s">
        <v>277</v>
      </c>
      <c r="D341" t="s">
        <v>1354</v>
      </c>
      <c r="E341" t="s">
        <v>42</v>
      </c>
      <c r="F341" t="s">
        <v>1343</v>
      </c>
      <c r="G341" t="s">
        <v>1344</v>
      </c>
      <c r="H341" t="s">
        <v>33</v>
      </c>
      <c r="I341" t="s">
        <v>63</v>
      </c>
      <c r="J341" t="s">
        <v>226</v>
      </c>
      <c r="K341" t="s">
        <v>65</v>
      </c>
      <c r="L341" t="s">
        <v>66</v>
      </c>
      <c r="M341" t="s">
        <v>1355</v>
      </c>
      <c r="N341" t="s">
        <v>27</v>
      </c>
      <c r="O341" t="s">
        <v>101</v>
      </c>
      <c r="P341">
        <v>13.215999999999999</v>
      </c>
    </row>
    <row r="342" spans="1:16">
      <c r="A342" s="4">
        <v>2015</v>
      </c>
      <c r="B342" s="4">
        <v>133851</v>
      </c>
      <c r="C342" t="s">
        <v>1004</v>
      </c>
      <c r="D342" t="s">
        <v>1249</v>
      </c>
      <c r="E342" t="s">
        <v>18</v>
      </c>
      <c r="F342" t="s">
        <v>1356</v>
      </c>
      <c r="G342" t="s">
        <v>1357</v>
      </c>
      <c r="H342" t="s">
        <v>21</v>
      </c>
      <c r="I342" t="s">
        <v>97</v>
      </c>
      <c r="J342" t="s">
        <v>226</v>
      </c>
      <c r="K342" t="s">
        <v>65</v>
      </c>
      <c r="L342" t="s">
        <v>66</v>
      </c>
      <c r="M342" t="s">
        <v>1358</v>
      </c>
      <c r="N342" t="s">
        <v>27</v>
      </c>
      <c r="O342" t="s">
        <v>74</v>
      </c>
      <c r="P342">
        <v>7.36</v>
      </c>
    </row>
    <row r="343" spans="1:16">
      <c r="A343" s="4">
        <v>2018</v>
      </c>
      <c r="B343" s="4">
        <v>126179</v>
      </c>
      <c r="C343" t="s">
        <v>1254</v>
      </c>
      <c r="D343" t="s">
        <v>525</v>
      </c>
      <c r="E343" t="s">
        <v>18</v>
      </c>
      <c r="F343" t="s">
        <v>1359</v>
      </c>
      <c r="G343" t="s">
        <v>1360</v>
      </c>
      <c r="H343" t="s">
        <v>21</v>
      </c>
      <c r="I343" t="s">
        <v>97</v>
      </c>
      <c r="J343" t="s">
        <v>473</v>
      </c>
      <c r="K343" t="s">
        <v>86</v>
      </c>
      <c r="L343" t="s">
        <v>45</v>
      </c>
      <c r="M343" t="s">
        <v>1361</v>
      </c>
      <c r="N343" t="s">
        <v>79</v>
      </c>
      <c r="O343" t="s">
        <v>80</v>
      </c>
      <c r="P343">
        <v>23.99</v>
      </c>
    </row>
    <row r="344" spans="1:16">
      <c r="A344" s="4">
        <v>2017</v>
      </c>
      <c r="B344" s="4">
        <v>155033</v>
      </c>
      <c r="C344" t="s">
        <v>1362</v>
      </c>
      <c r="D344" t="s">
        <v>1363</v>
      </c>
      <c r="E344" t="s">
        <v>18</v>
      </c>
      <c r="F344" t="s">
        <v>1364</v>
      </c>
      <c r="G344" t="s">
        <v>1365</v>
      </c>
      <c r="H344" t="s">
        <v>33</v>
      </c>
      <c r="I344" t="s">
        <v>97</v>
      </c>
      <c r="J344" t="s">
        <v>64</v>
      </c>
      <c r="K344" t="s">
        <v>65</v>
      </c>
      <c r="L344" t="s">
        <v>66</v>
      </c>
      <c r="M344" t="s">
        <v>1366</v>
      </c>
      <c r="N344" t="s">
        <v>27</v>
      </c>
      <c r="O344" t="s">
        <v>52</v>
      </c>
      <c r="P344">
        <v>10.56</v>
      </c>
    </row>
    <row r="345" spans="1:16">
      <c r="A345" s="4">
        <v>2017</v>
      </c>
      <c r="B345" s="4">
        <v>158260</v>
      </c>
      <c r="C345" t="s">
        <v>267</v>
      </c>
      <c r="D345" t="s">
        <v>268</v>
      </c>
      <c r="E345" t="s">
        <v>18</v>
      </c>
      <c r="F345" t="s">
        <v>1364</v>
      </c>
      <c r="G345" t="s">
        <v>1365</v>
      </c>
      <c r="H345" t="s">
        <v>33</v>
      </c>
      <c r="I345" t="s">
        <v>97</v>
      </c>
      <c r="J345" t="s">
        <v>630</v>
      </c>
      <c r="K345" t="s">
        <v>65</v>
      </c>
      <c r="L345" t="s">
        <v>66</v>
      </c>
      <c r="M345" t="s">
        <v>1367</v>
      </c>
      <c r="N345" t="s">
        <v>38</v>
      </c>
      <c r="O345" t="s">
        <v>39</v>
      </c>
      <c r="P345">
        <v>686.4</v>
      </c>
    </row>
    <row r="346" spans="1:16">
      <c r="A346" s="4">
        <v>2017</v>
      </c>
      <c r="B346" s="4">
        <v>100671</v>
      </c>
      <c r="C346" t="s">
        <v>1368</v>
      </c>
      <c r="D346" t="s">
        <v>267</v>
      </c>
      <c r="E346" t="s">
        <v>42</v>
      </c>
      <c r="F346" t="s">
        <v>1369</v>
      </c>
      <c r="G346" t="s">
        <v>1370</v>
      </c>
      <c r="H346" t="s">
        <v>21</v>
      </c>
      <c r="I346" t="s">
        <v>22</v>
      </c>
      <c r="J346" t="s">
        <v>1371</v>
      </c>
      <c r="K346" t="s">
        <v>35</v>
      </c>
      <c r="L346" t="s">
        <v>36</v>
      </c>
      <c r="M346" t="s">
        <v>1372</v>
      </c>
      <c r="N346" t="s">
        <v>27</v>
      </c>
      <c r="O346" t="s">
        <v>58</v>
      </c>
      <c r="P346">
        <v>111.672</v>
      </c>
    </row>
    <row r="347" spans="1:16">
      <c r="A347" s="4">
        <v>2017</v>
      </c>
      <c r="B347" s="4">
        <v>134208</v>
      </c>
      <c r="C347" t="s">
        <v>561</v>
      </c>
      <c r="D347" t="s">
        <v>1053</v>
      </c>
      <c r="E347" t="s">
        <v>18</v>
      </c>
      <c r="F347" t="s">
        <v>1373</v>
      </c>
      <c r="G347" t="s">
        <v>1374</v>
      </c>
      <c r="H347" t="s">
        <v>33</v>
      </c>
      <c r="I347" t="s">
        <v>97</v>
      </c>
      <c r="J347" t="s">
        <v>473</v>
      </c>
      <c r="K347" t="s">
        <v>86</v>
      </c>
      <c r="L347" t="s">
        <v>45</v>
      </c>
      <c r="M347" t="s">
        <v>1375</v>
      </c>
      <c r="N347" t="s">
        <v>38</v>
      </c>
      <c r="O347" t="s">
        <v>39</v>
      </c>
      <c r="P347">
        <v>396</v>
      </c>
    </row>
    <row r="348" spans="1:16">
      <c r="A348" s="4">
        <v>2016</v>
      </c>
      <c r="B348" s="4">
        <v>159380</v>
      </c>
      <c r="C348" t="s">
        <v>321</v>
      </c>
      <c r="D348" t="s">
        <v>531</v>
      </c>
      <c r="E348" t="s">
        <v>18</v>
      </c>
      <c r="F348" t="s">
        <v>1373</v>
      </c>
      <c r="G348" t="s">
        <v>1374</v>
      </c>
      <c r="H348" t="s">
        <v>33</v>
      </c>
      <c r="I348" t="s">
        <v>97</v>
      </c>
      <c r="J348" t="s">
        <v>226</v>
      </c>
      <c r="K348" t="s">
        <v>65</v>
      </c>
      <c r="L348" t="s">
        <v>66</v>
      </c>
      <c r="M348" t="s">
        <v>1376</v>
      </c>
      <c r="N348" t="s">
        <v>27</v>
      </c>
      <c r="O348" t="s">
        <v>52</v>
      </c>
      <c r="P348">
        <v>12.84</v>
      </c>
    </row>
    <row r="349" spans="1:16">
      <c r="A349" s="4">
        <v>2017</v>
      </c>
      <c r="B349" s="4">
        <v>152156</v>
      </c>
      <c r="C349" t="s">
        <v>268</v>
      </c>
      <c r="D349" t="s">
        <v>930</v>
      </c>
      <c r="E349" t="s">
        <v>144</v>
      </c>
      <c r="F349" t="s">
        <v>1377</v>
      </c>
      <c r="G349" t="s">
        <v>1378</v>
      </c>
      <c r="H349" t="s">
        <v>21</v>
      </c>
      <c r="I349" t="s">
        <v>97</v>
      </c>
      <c r="J349" t="s">
        <v>90</v>
      </c>
      <c r="K349" t="s">
        <v>126</v>
      </c>
      <c r="L349" t="s">
        <v>45</v>
      </c>
      <c r="M349" t="s">
        <v>1379</v>
      </c>
      <c r="N349" t="s">
        <v>79</v>
      </c>
      <c r="O349" t="s">
        <v>286</v>
      </c>
      <c r="P349">
        <v>261.95999999999998</v>
      </c>
    </row>
    <row r="350" spans="1:16">
      <c r="A350" s="4">
        <v>2018</v>
      </c>
      <c r="B350" s="4">
        <v>136826</v>
      </c>
      <c r="C350" t="s">
        <v>251</v>
      </c>
      <c r="D350" t="s">
        <v>1380</v>
      </c>
      <c r="E350" t="s">
        <v>18</v>
      </c>
      <c r="F350" t="s">
        <v>1381</v>
      </c>
      <c r="G350" t="s">
        <v>1382</v>
      </c>
      <c r="H350" t="s">
        <v>33</v>
      </c>
      <c r="I350" t="s">
        <v>22</v>
      </c>
      <c r="J350" t="s">
        <v>1383</v>
      </c>
      <c r="K350" t="s">
        <v>44</v>
      </c>
      <c r="L350" t="s">
        <v>45</v>
      </c>
      <c r="M350" t="s">
        <v>1384</v>
      </c>
      <c r="N350" t="s">
        <v>27</v>
      </c>
      <c r="O350" t="s">
        <v>28</v>
      </c>
      <c r="P350">
        <v>14.016</v>
      </c>
    </row>
    <row r="351" spans="1:16">
      <c r="A351" s="4">
        <v>2016</v>
      </c>
      <c r="B351" s="4">
        <v>113971</v>
      </c>
      <c r="C351" t="s">
        <v>320</v>
      </c>
      <c r="D351" t="s">
        <v>1385</v>
      </c>
      <c r="E351" t="s">
        <v>18</v>
      </c>
      <c r="F351" t="s">
        <v>1381</v>
      </c>
      <c r="G351" t="s">
        <v>1382</v>
      </c>
      <c r="H351" t="s">
        <v>33</v>
      </c>
      <c r="I351" t="s">
        <v>22</v>
      </c>
      <c r="J351" t="s">
        <v>1386</v>
      </c>
      <c r="K351" t="s">
        <v>237</v>
      </c>
      <c r="L351" t="s">
        <v>25</v>
      </c>
      <c r="M351" t="s">
        <v>1387</v>
      </c>
      <c r="N351" t="s">
        <v>79</v>
      </c>
      <c r="O351" t="s">
        <v>80</v>
      </c>
      <c r="P351">
        <v>8.3520000000000003</v>
      </c>
    </row>
    <row r="352" spans="1:16">
      <c r="A352" s="4">
        <v>2017</v>
      </c>
      <c r="B352" s="4">
        <v>147585</v>
      </c>
      <c r="C352" t="s">
        <v>1388</v>
      </c>
      <c r="D352" t="s">
        <v>1354</v>
      </c>
      <c r="E352" t="s">
        <v>18</v>
      </c>
      <c r="F352" t="s">
        <v>1381</v>
      </c>
      <c r="G352" t="s">
        <v>1382</v>
      </c>
      <c r="H352" t="s">
        <v>33</v>
      </c>
      <c r="I352" t="s">
        <v>22</v>
      </c>
      <c r="J352" t="s">
        <v>226</v>
      </c>
      <c r="K352" t="s">
        <v>65</v>
      </c>
      <c r="L352" t="s">
        <v>66</v>
      </c>
      <c r="M352" t="s">
        <v>1389</v>
      </c>
      <c r="N352" t="s">
        <v>79</v>
      </c>
      <c r="O352" t="s">
        <v>80</v>
      </c>
      <c r="P352">
        <v>14.82</v>
      </c>
    </row>
    <row r="353" spans="1:16">
      <c r="A353" s="4">
        <v>2016</v>
      </c>
      <c r="B353" s="4">
        <v>111094</v>
      </c>
      <c r="C353" t="s">
        <v>1008</v>
      </c>
      <c r="D353" t="s">
        <v>1390</v>
      </c>
      <c r="E353" t="s">
        <v>18</v>
      </c>
      <c r="F353" t="s">
        <v>1381</v>
      </c>
      <c r="G353" t="s">
        <v>1382</v>
      </c>
      <c r="H353" t="s">
        <v>33</v>
      </c>
      <c r="I353" t="s">
        <v>22</v>
      </c>
      <c r="J353" t="s">
        <v>283</v>
      </c>
      <c r="K353" t="s">
        <v>284</v>
      </c>
      <c r="L353" t="s">
        <v>25</v>
      </c>
      <c r="M353" t="s">
        <v>1391</v>
      </c>
      <c r="N353" t="s">
        <v>27</v>
      </c>
      <c r="O353" t="s">
        <v>52</v>
      </c>
      <c r="P353">
        <v>6.58</v>
      </c>
    </row>
    <row r="354" spans="1:16">
      <c r="A354" s="4">
        <v>2016</v>
      </c>
      <c r="B354" s="4">
        <v>104514</v>
      </c>
      <c r="C354" t="s">
        <v>570</v>
      </c>
      <c r="D354" t="s">
        <v>655</v>
      </c>
      <c r="E354" t="s">
        <v>144</v>
      </c>
      <c r="F354" t="s">
        <v>1381</v>
      </c>
      <c r="G354" t="s">
        <v>1382</v>
      </c>
      <c r="H354" t="s">
        <v>33</v>
      </c>
      <c r="I354" t="s">
        <v>22</v>
      </c>
      <c r="J354" t="s">
        <v>987</v>
      </c>
      <c r="K354" t="s">
        <v>1392</v>
      </c>
      <c r="L354" t="s">
        <v>25</v>
      </c>
      <c r="M354" t="s">
        <v>637</v>
      </c>
      <c r="N354" t="s">
        <v>27</v>
      </c>
      <c r="O354" t="s">
        <v>58</v>
      </c>
      <c r="P354">
        <v>85.52</v>
      </c>
    </row>
    <row r="355" spans="1:16">
      <c r="A355" s="4">
        <v>2018</v>
      </c>
      <c r="B355" s="4">
        <v>123071</v>
      </c>
      <c r="C355" t="s">
        <v>1393</v>
      </c>
      <c r="D355" t="s">
        <v>903</v>
      </c>
      <c r="E355" t="s">
        <v>42</v>
      </c>
      <c r="F355" t="s">
        <v>1394</v>
      </c>
      <c r="G355" t="s">
        <v>1395</v>
      </c>
      <c r="H355" t="s">
        <v>33</v>
      </c>
      <c r="I355" t="s">
        <v>97</v>
      </c>
      <c r="J355" t="s">
        <v>256</v>
      </c>
      <c r="K355" t="s">
        <v>35</v>
      </c>
      <c r="L355" t="s">
        <v>36</v>
      </c>
      <c r="M355" t="s">
        <v>1396</v>
      </c>
      <c r="N355" t="s">
        <v>27</v>
      </c>
      <c r="O355" t="s">
        <v>52</v>
      </c>
      <c r="P355">
        <v>10.368</v>
      </c>
    </row>
    <row r="356" spans="1:16">
      <c r="A356" s="4">
        <v>2018</v>
      </c>
      <c r="B356" s="4">
        <v>118542</v>
      </c>
      <c r="C356" t="s">
        <v>1397</v>
      </c>
      <c r="D356" t="s">
        <v>103</v>
      </c>
      <c r="E356" t="s">
        <v>18</v>
      </c>
      <c r="F356" t="s">
        <v>1394</v>
      </c>
      <c r="G356" t="s">
        <v>1395</v>
      </c>
      <c r="H356" t="s">
        <v>33</v>
      </c>
      <c r="I356" t="s">
        <v>97</v>
      </c>
      <c r="J356" t="s">
        <v>64</v>
      </c>
      <c r="K356" t="s">
        <v>65</v>
      </c>
      <c r="L356" t="s">
        <v>66</v>
      </c>
      <c r="M356" t="s">
        <v>1398</v>
      </c>
      <c r="N356" t="s">
        <v>27</v>
      </c>
      <c r="O356" t="s">
        <v>52</v>
      </c>
      <c r="P356">
        <v>45.36</v>
      </c>
    </row>
    <row r="357" spans="1:16">
      <c r="A357" s="4">
        <v>2015</v>
      </c>
      <c r="B357" s="4">
        <v>116239</v>
      </c>
      <c r="C357" t="s">
        <v>1399</v>
      </c>
      <c r="D357" t="s">
        <v>1399</v>
      </c>
      <c r="E357" t="s">
        <v>132</v>
      </c>
      <c r="F357" t="s">
        <v>1400</v>
      </c>
      <c r="G357" t="s">
        <v>1401</v>
      </c>
      <c r="H357" t="s">
        <v>33</v>
      </c>
      <c r="I357" t="s">
        <v>97</v>
      </c>
      <c r="J357" t="s">
        <v>977</v>
      </c>
      <c r="K357" t="s">
        <v>1402</v>
      </c>
      <c r="L357" t="s">
        <v>45</v>
      </c>
      <c r="M357" t="s">
        <v>1403</v>
      </c>
      <c r="N357" t="s">
        <v>27</v>
      </c>
      <c r="O357" t="s">
        <v>58</v>
      </c>
      <c r="P357">
        <v>354.9</v>
      </c>
    </row>
    <row r="358" spans="1:16">
      <c r="A358" s="4">
        <v>2017</v>
      </c>
      <c r="B358" s="4">
        <v>128867</v>
      </c>
      <c r="C358" t="s">
        <v>1404</v>
      </c>
      <c r="D358" t="s">
        <v>277</v>
      </c>
      <c r="E358" t="s">
        <v>18</v>
      </c>
      <c r="F358" t="s">
        <v>1400</v>
      </c>
      <c r="G358" t="s">
        <v>1401</v>
      </c>
      <c r="H358" t="s">
        <v>33</v>
      </c>
      <c r="I358" t="s">
        <v>97</v>
      </c>
      <c r="J358" t="s">
        <v>1405</v>
      </c>
      <c r="K358" t="s">
        <v>797</v>
      </c>
      <c r="L358" t="s">
        <v>36</v>
      </c>
      <c r="M358" t="s">
        <v>1073</v>
      </c>
      <c r="N358" t="s">
        <v>27</v>
      </c>
      <c r="O358" t="s">
        <v>28</v>
      </c>
      <c r="P358">
        <v>75.959999999999994</v>
      </c>
    </row>
    <row r="359" spans="1:16">
      <c r="A359" s="4">
        <v>2017</v>
      </c>
      <c r="B359" s="4">
        <v>106530</v>
      </c>
      <c r="C359" t="s">
        <v>1406</v>
      </c>
      <c r="D359" t="s">
        <v>1406</v>
      </c>
      <c r="E359" t="s">
        <v>132</v>
      </c>
      <c r="F359" t="s">
        <v>1400</v>
      </c>
      <c r="G359" t="s">
        <v>1401</v>
      </c>
      <c r="H359" t="s">
        <v>33</v>
      </c>
      <c r="I359" t="s">
        <v>97</v>
      </c>
      <c r="J359" t="s">
        <v>236</v>
      </c>
      <c r="K359" t="s">
        <v>237</v>
      </c>
      <c r="L359" t="s">
        <v>25</v>
      </c>
      <c r="M359" t="s">
        <v>1407</v>
      </c>
      <c r="N359" t="s">
        <v>27</v>
      </c>
      <c r="O359" t="s">
        <v>58</v>
      </c>
      <c r="P359">
        <v>1006.056</v>
      </c>
    </row>
    <row r="360" spans="1:16">
      <c r="A360" s="4">
        <v>2018</v>
      </c>
      <c r="B360" s="4">
        <v>129567</v>
      </c>
      <c r="C360" t="s">
        <v>1408</v>
      </c>
      <c r="D360" t="s">
        <v>1409</v>
      </c>
      <c r="E360" t="s">
        <v>144</v>
      </c>
      <c r="F360" t="s">
        <v>1400</v>
      </c>
      <c r="G360" t="s">
        <v>1401</v>
      </c>
      <c r="H360" t="s">
        <v>33</v>
      </c>
      <c r="I360" t="s">
        <v>97</v>
      </c>
      <c r="J360" t="s">
        <v>884</v>
      </c>
      <c r="K360" t="s">
        <v>65</v>
      </c>
      <c r="L360" t="s">
        <v>66</v>
      </c>
      <c r="M360" t="s">
        <v>1410</v>
      </c>
      <c r="N360" t="s">
        <v>27</v>
      </c>
      <c r="O360" t="s">
        <v>101</v>
      </c>
      <c r="P360">
        <v>17.456</v>
      </c>
    </row>
    <row r="361" spans="1:16">
      <c r="A361" s="4">
        <v>2018</v>
      </c>
      <c r="B361" s="4">
        <v>100902</v>
      </c>
      <c r="C361" t="s">
        <v>1312</v>
      </c>
      <c r="D361" t="s">
        <v>143</v>
      </c>
      <c r="E361" t="s">
        <v>18</v>
      </c>
      <c r="F361" t="s">
        <v>1411</v>
      </c>
      <c r="G361" t="s">
        <v>1412</v>
      </c>
      <c r="H361" t="s">
        <v>33</v>
      </c>
      <c r="I361" t="s">
        <v>97</v>
      </c>
      <c r="J361" t="s">
        <v>1413</v>
      </c>
      <c r="K361" t="s">
        <v>44</v>
      </c>
      <c r="L361" t="s">
        <v>45</v>
      </c>
      <c r="M361" t="s">
        <v>1414</v>
      </c>
      <c r="N361" t="s">
        <v>27</v>
      </c>
      <c r="O361" t="s">
        <v>52</v>
      </c>
      <c r="P361">
        <v>268.24</v>
      </c>
    </row>
    <row r="362" spans="1:16">
      <c r="A362" s="4">
        <v>2018</v>
      </c>
      <c r="B362" s="4">
        <v>138611</v>
      </c>
      <c r="C362" t="s">
        <v>1415</v>
      </c>
      <c r="D362" t="s">
        <v>1312</v>
      </c>
      <c r="E362" t="s">
        <v>144</v>
      </c>
      <c r="F362" t="s">
        <v>1411</v>
      </c>
      <c r="G362" t="s">
        <v>1412</v>
      </c>
      <c r="H362" t="s">
        <v>33</v>
      </c>
      <c r="I362" t="s">
        <v>97</v>
      </c>
      <c r="J362" t="s">
        <v>1416</v>
      </c>
      <c r="K362" t="s">
        <v>237</v>
      </c>
      <c r="L362" t="s">
        <v>25</v>
      </c>
      <c r="M362" t="s">
        <v>1417</v>
      </c>
      <c r="N362" t="s">
        <v>38</v>
      </c>
      <c r="O362" t="s">
        <v>118</v>
      </c>
      <c r="P362">
        <v>119.94</v>
      </c>
    </row>
    <row r="363" spans="1:16">
      <c r="A363" s="4">
        <v>2015</v>
      </c>
      <c r="B363" s="4">
        <v>106264</v>
      </c>
      <c r="C363" t="s">
        <v>181</v>
      </c>
      <c r="D363" t="s">
        <v>365</v>
      </c>
      <c r="E363" t="s">
        <v>18</v>
      </c>
      <c r="F363" t="s">
        <v>1411</v>
      </c>
      <c r="G363" t="s">
        <v>1412</v>
      </c>
      <c r="H363" t="s">
        <v>33</v>
      </c>
      <c r="I363" t="s">
        <v>97</v>
      </c>
      <c r="J363" t="s">
        <v>630</v>
      </c>
      <c r="K363" t="s">
        <v>65</v>
      </c>
      <c r="L363" t="s">
        <v>66</v>
      </c>
      <c r="M363" t="s">
        <v>1418</v>
      </c>
      <c r="N363" t="s">
        <v>27</v>
      </c>
      <c r="O363" t="s">
        <v>74</v>
      </c>
      <c r="P363">
        <v>11.91</v>
      </c>
    </row>
    <row r="364" spans="1:16">
      <c r="A364" s="4">
        <v>2015</v>
      </c>
      <c r="B364" s="4">
        <v>124688</v>
      </c>
      <c r="C364" t="s">
        <v>633</v>
      </c>
      <c r="D364" t="s">
        <v>1419</v>
      </c>
      <c r="E364" t="s">
        <v>42</v>
      </c>
      <c r="F364" t="s">
        <v>1420</v>
      </c>
      <c r="G364" t="s">
        <v>1421</v>
      </c>
      <c r="H364" t="s">
        <v>33</v>
      </c>
      <c r="I364" t="s">
        <v>22</v>
      </c>
      <c r="J364" t="s">
        <v>98</v>
      </c>
      <c r="K364" t="s">
        <v>56</v>
      </c>
      <c r="L364" t="s">
        <v>45</v>
      </c>
      <c r="M364" t="s">
        <v>1422</v>
      </c>
      <c r="N364" t="s">
        <v>38</v>
      </c>
      <c r="O364" t="s">
        <v>118</v>
      </c>
      <c r="P364">
        <v>579.95000000000005</v>
      </c>
    </row>
    <row r="365" spans="1:16">
      <c r="A365" s="4">
        <v>2017</v>
      </c>
      <c r="B365" s="4">
        <v>157707</v>
      </c>
      <c r="C365" t="s">
        <v>1423</v>
      </c>
      <c r="D365" t="s">
        <v>1363</v>
      </c>
      <c r="E365" t="s">
        <v>42</v>
      </c>
      <c r="F365" t="s">
        <v>1420</v>
      </c>
      <c r="G365" t="s">
        <v>1421</v>
      </c>
      <c r="H365" t="s">
        <v>33</v>
      </c>
      <c r="I365" t="s">
        <v>22</v>
      </c>
      <c r="J365" t="s">
        <v>636</v>
      </c>
      <c r="K365" t="s">
        <v>222</v>
      </c>
      <c r="L365" t="s">
        <v>66</v>
      </c>
      <c r="M365" t="s">
        <v>1424</v>
      </c>
      <c r="N365" t="s">
        <v>79</v>
      </c>
      <c r="O365" t="s">
        <v>286</v>
      </c>
      <c r="P365">
        <v>90.882000000000005</v>
      </c>
    </row>
    <row r="366" spans="1:16">
      <c r="A366" s="4">
        <v>2016</v>
      </c>
      <c r="B366" s="4">
        <v>132507</v>
      </c>
      <c r="C366" t="s">
        <v>1425</v>
      </c>
      <c r="D366" t="s">
        <v>1426</v>
      </c>
      <c r="E366" t="s">
        <v>144</v>
      </c>
      <c r="F366" t="s">
        <v>1420</v>
      </c>
      <c r="G366" t="s">
        <v>1421</v>
      </c>
      <c r="H366" t="s">
        <v>33</v>
      </c>
      <c r="I366" t="s">
        <v>22</v>
      </c>
      <c r="J366" t="s">
        <v>183</v>
      </c>
      <c r="K366" t="s">
        <v>35</v>
      </c>
      <c r="L366" t="s">
        <v>36</v>
      </c>
      <c r="M366" t="s">
        <v>1427</v>
      </c>
      <c r="N366" t="s">
        <v>27</v>
      </c>
      <c r="O366" t="s">
        <v>58</v>
      </c>
      <c r="P366">
        <v>61.792000000000002</v>
      </c>
    </row>
    <row r="367" spans="1:16">
      <c r="A367" s="4">
        <v>2015</v>
      </c>
      <c r="B367" s="4">
        <v>111003</v>
      </c>
      <c r="C367" t="s">
        <v>1428</v>
      </c>
      <c r="D367" t="s">
        <v>1038</v>
      </c>
      <c r="E367" t="s">
        <v>18</v>
      </c>
      <c r="F367" t="s">
        <v>1429</v>
      </c>
      <c r="G367" t="s">
        <v>1430</v>
      </c>
      <c r="H367" t="s">
        <v>21</v>
      </c>
      <c r="I367" t="s">
        <v>63</v>
      </c>
      <c r="J367" t="s">
        <v>868</v>
      </c>
      <c r="K367" t="s">
        <v>869</v>
      </c>
      <c r="L367" t="s">
        <v>25</v>
      </c>
      <c r="M367" t="s">
        <v>1431</v>
      </c>
      <c r="N367" t="s">
        <v>27</v>
      </c>
      <c r="O367" t="s">
        <v>101</v>
      </c>
      <c r="P367">
        <v>45.48</v>
      </c>
    </row>
    <row r="368" spans="1:16">
      <c r="A368" s="4">
        <v>2015</v>
      </c>
      <c r="B368" s="4">
        <v>136280</v>
      </c>
      <c r="C368" t="s">
        <v>1432</v>
      </c>
      <c r="D368" t="s">
        <v>1433</v>
      </c>
      <c r="E368" t="s">
        <v>18</v>
      </c>
      <c r="F368" t="s">
        <v>1434</v>
      </c>
      <c r="G368" t="s">
        <v>1435</v>
      </c>
      <c r="H368" t="s">
        <v>21</v>
      </c>
      <c r="I368" t="s">
        <v>97</v>
      </c>
      <c r="J368" t="s">
        <v>23</v>
      </c>
      <c r="K368" t="s">
        <v>24</v>
      </c>
      <c r="L368" t="s">
        <v>25</v>
      </c>
      <c r="M368" t="s">
        <v>1436</v>
      </c>
      <c r="N368" t="s">
        <v>27</v>
      </c>
      <c r="O368" t="s">
        <v>111</v>
      </c>
      <c r="P368">
        <v>5.04</v>
      </c>
    </row>
    <row r="369" spans="1:16">
      <c r="A369" s="4">
        <v>2018</v>
      </c>
      <c r="B369" s="4">
        <v>113418</v>
      </c>
      <c r="C369" t="s">
        <v>1437</v>
      </c>
      <c r="D369" t="s">
        <v>367</v>
      </c>
      <c r="E369" t="s">
        <v>42</v>
      </c>
      <c r="F369" t="s">
        <v>1438</v>
      </c>
      <c r="G369" t="s">
        <v>1439</v>
      </c>
      <c r="H369" t="s">
        <v>33</v>
      </c>
      <c r="I369" t="s">
        <v>63</v>
      </c>
      <c r="J369" t="s">
        <v>49</v>
      </c>
      <c r="K369" t="s">
        <v>50</v>
      </c>
      <c r="L369" t="s">
        <v>25</v>
      </c>
      <c r="M369" t="s">
        <v>1440</v>
      </c>
      <c r="N369" t="s">
        <v>38</v>
      </c>
      <c r="O369" t="s">
        <v>39</v>
      </c>
      <c r="P369">
        <v>1704.89</v>
      </c>
    </row>
    <row r="370" spans="1:16">
      <c r="A370" s="4">
        <v>2016</v>
      </c>
      <c r="B370" s="4">
        <v>140410</v>
      </c>
      <c r="C370" t="s">
        <v>1272</v>
      </c>
      <c r="D370" t="s">
        <v>1441</v>
      </c>
      <c r="E370" t="s">
        <v>18</v>
      </c>
      <c r="F370" t="s">
        <v>1438</v>
      </c>
      <c r="G370" t="s">
        <v>1439</v>
      </c>
      <c r="H370" t="s">
        <v>33</v>
      </c>
      <c r="I370" t="s">
        <v>63</v>
      </c>
      <c r="J370" t="s">
        <v>64</v>
      </c>
      <c r="K370" t="s">
        <v>65</v>
      </c>
      <c r="L370" t="s">
        <v>66</v>
      </c>
      <c r="M370" t="s">
        <v>1442</v>
      </c>
      <c r="N370" t="s">
        <v>38</v>
      </c>
      <c r="O370" t="s">
        <v>118</v>
      </c>
      <c r="P370">
        <v>1212.848</v>
      </c>
    </row>
    <row r="371" spans="1:16">
      <c r="A371" s="4">
        <v>2017</v>
      </c>
      <c r="B371" s="4">
        <v>169026</v>
      </c>
      <c r="C371" t="s">
        <v>1165</v>
      </c>
      <c r="D371" t="s">
        <v>1443</v>
      </c>
      <c r="E371" t="s">
        <v>18</v>
      </c>
      <c r="F371" t="s">
        <v>1438</v>
      </c>
      <c r="G371" t="s">
        <v>1439</v>
      </c>
      <c r="H371" t="s">
        <v>33</v>
      </c>
      <c r="I371" t="s">
        <v>63</v>
      </c>
      <c r="J371" t="s">
        <v>854</v>
      </c>
      <c r="K371" t="s">
        <v>1444</v>
      </c>
      <c r="L371" t="s">
        <v>45</v>
      </c>
      <c r="M371" t="s">
        <v>1445</v>
      </c>
      <c r="N371" t="s">
        <v>27</v>
      </c>
      <c r="O371" t="s">
        <v>452</v>
      </c>
      <c r="P371">
        <v>23.34</v>
      </c>
    </row>
    <row r="372" spans="1:16">
      <c r="A372" s="4">
        <v>2017</v>
      </c>
      <c r="B372" s="4">
        <v>113677</v>
      </c>
      <c r="C372" t="s">
        <v>1342</v>
      </c>
      <c r="D372" t="s">
        <v>1446</v>
      </c>
      <c r="E372" t="s">
        <v>18</v>
      </c>
      <c r="F372" t="s">
        <v>1438</v>
      </c>
      <c r="G372" t="s">
        <v>1439</v>
      </c>
      <c r="H372" t="s">
        <v>33</v>
      </c>
      <c r="I372" t="s">
        <v>63</v>
      </c>
      <c r="J372" t="s">
        <v>49</v>
      </c>
      <c r="K372" t="s">
        <v>50</v>
      </c>
      <c r="L372" t="s">
        <v>25</v>
      </c>
      <c r="M372" t="s">
        <v>1447</v>
      </c>
      <c r="N372" t="s">
        <v>38</v>
      </c>
      <c r="O372" t="s">
        <v>118</v>
      </c>
      <c r="P372">
        <v>2279.96</v>
      </c>
    </row>
    <row r="373" spans="1:16">
      <c r="A373" s="4">
        <v>2017</v>
      </c>
      <c r="B373" s="4">
        <v>167759</v>
      </c>
      <c r="C373" t="s">
        <v>287</v>
      </c>
      <c r="D373" t="s">
        <v>288</v>
      </c>
      <c r="E373" t="s">
        <v>144</v>
      </c>
      <c r="F373" t="s">
        <v>1448</v>
      </c>
      <c r="G373" t="s">
        <v>1449</v>
      </c>
      <c r="H373" t="s">
        <v>33</v>
      </c>
      <c r="I373" t="s">
        <v>97</v>
      </c>
      <c r="J373" t="s">
        <v>1450</v>
      </c>
      <c r="K373" t="s">
        <v>122</v>
      </c>
      <c r="L373" t="s">
        <v>36</v>
      </c>
      <c r="M373" t="s">
        <v>1451</v>
      </c>
      <c r="N373" t="s">
        <v>38</v>
      </c>
      <c r="O373" t="s">
        <v>118</v>
      </c>
      <c r="P373">
        <v>134.85</v>
      </c>
    </row>
    <row r="374" spans="1:16">
      <c r="A374" s="4">
        <v>2017</v>
      </c>
      <c r="B374" s="4">
        <v>152121</v>
      </c>
      <c r="C374" t="s">
        <v>1452</v>
      </c>
      <c r="D374" t="s">
        <v>1118</v>
      </c>
      <c r="E374" t="s">
        <v>144</v>
      </c>
      <c r="F374" t="s">
        <v>1448</v>
      </c>
      <c r="G374" t="s">
        <v>1449</v>
      </c>
      <c r="H374" t="s">
        <v>33</v>
      </c>
      <c r="I374" t="s">
        <v>97</v>
      </c>
      <c r="J374" t="s">
        <v>547</v>
      </c>
      <c r="K374" t="s">
        <v>136</v>
      </c>
      <c r="L374" t="s">
        <v>66</v>
      </c>
      <c r="M374" t="s">
        <v>1453</v>
      </c>
      <c r="N374" t="s">
        <v>38</v>
      </c>
      <c r="O374" t="s">
        <v>118</v>
      </c>
      <c r="P374">
        <v>271.99200000000002</v>
      </c>
    </row>
    <row r="375" spans="1:16">
      <c r="A375" s="4">
        <v>2018</v>
      </c>
      <c r="B375" s="4">
        <v>163139</v>
      </c>
      <c r="C375" t="s">
        <v>1397</v>
      </c>
      <c r="D375" t="s">
        <v>1393</v>
      </c>
      <c r="E375" t="s">
        <v>144</v>
      </c>
      <c r="F375" t="s">
        <v>1448</v>
      </c>
      <c r="G375" t="s">
        <v>1449</v>
      </c>
      <c r="H375" t="s">
        <v>33</v>
      </c>
      <c r="I375" t="s">
        <v>97</v>
      </c>
      <c r="J375" t="s">
        <v>49</v>
      </c>
      <c r="K375" t="s">
        <v>50</v>
      </c>
      <c r="L375" t="s">
        <v>25</v>
      </c>
      <c r="M375" t="s">
        <v>1454</v>
      </c>
      <c r="N375" t="s">
        <v>38</v>
      </c>
      <c r="O375" t="s">
        <v>68</v>
      </c>
      <c r="P375">
        <v>20.37</v>
      </c>
    </row>
    <row r="376" spans="1:16">
      <c r="A376" s="4">
        <v>2017</v>
      </c>
      <c r="B376" s="4">
        <v>100419</v>
      </c>
      <c r="C376" t="s">
        <v>573</v>
      </c>
      <c r="D376" t="s">
        <v>192</v>
      </c>
      <c r="E376" t="s">
        <v>144</v>
      </c>
      <c r="F376" t="s">
        <v>1448</v>
      </c>
      <c r="G376" t="s">
        <v>1449</v>
      </c>
      <c r="H376" t="s">
        <v>33</v>
      </c>
      <c r="I376" t="s">
        <v>97</v>
      </c>
      <c r="J376" t="s">
        <v>108</v>
      </c>
      <c r="K376" t="s">
        <v>109</v>
      </c>
      <c r="L376" t="s">
        <v>36</v>
      </c>
      <c r="M376" t="s">
        <v>1455</v>
      </c>
      <c r="N376" t="s">
        <v>27</v>
      </c>
      <c r="O376" t="s">
        <v>101</v>
      </c>
      <c r="P376">
        <v>4.7880000000000003</v>
      </c>
    </row>
    <row r="377" spans="1:16">
      <c r="A377" s="4">
        <v>2016</v>
      </c>
      <c r="B377" s="4">
        <v>109190</v>
      </c>
      <c r="C377" t="s">
        <v>1456</v>
      </c>
      <c r="D377" t="s">
        <v>1457</v>
      </c>
      <c r="E377" t="s">
        <v>18</v>
      </c>
      <c r="F377" t="s">
        <v>1458</v>
      </c>
      <c r="G377" t="s">
        <v>1459</v>
      </c>
      <c r="H377" t="s">
        <v>21</v>
      </c>
      <c r="I377" t="s">
        <v>97</v>
      </c>
      <c r="J377" t="s">
        <v>1460</v>
      </c>
      <c r="K377" t="s">
        <v>35</v>
      </c>
      <c r="L377" t="s">
        <v>36</v>
      </c>
      <c r="M377" t="s">
        <v>1461</v>
      </c>
      <c r="N377" t="s">
        <v>27</v>
      </c>
      <c r="O377" t="s">
        <v>52</v>
      </c>
      <c r="P377">
        <v>60.735999999999997</v>
      </c>
    </row>
    <row r="378" spans="1:16">
      <c r="A378" s="4">
        <v>2015</v>
      </c>
      <c r="B378" s="4">
        <v>103492</v>
      </c>
      <c r="C378" t="s">
        <v>1462</v>
      </c>
      <c r="D378" t="s">
        <v>463</v>
      </c>
      <c r="E378" t="s">
        <v>18</v>
      </c>
      <c r="F378" t="s">
        <v>1463</v>
      </c>
      <c r="G378" t="s">
        <v>1464</v>
      </c>
      <c r="H378" t="s">
        <v>21</v>
      </c>
      <c r="I378" t="s">
        <v>22</v>
      </c>
      <c r="J378" t="s">
        <v>1079</v>
      </c>
      <c r="K378" t="s">
        <v>35</v>
      </c>
      <c r="L378" t="s">
        <v>36</v>
      </c>
      <c r="M378" t="s">
        <v>1465</v>
      </c>
      <c r="N378" t="s">
        <v>38</v>
      </c>
      <c r="O378" t="s">
        <v>118</v>
      </c>
      <c r="P378">
        <v>719.952</v>
      </c>
    </row>
    <row r="379" spans="1:16">
      <c r="A379" s="4">
        <v>2017</v>
      </c>
      <c r="B379" s="4">
        <v>137239</v>
      </c>
      <c r="C379" t="s">
        <v>1466</v>
      </c>
      <c r="D379" t="s">
        <v>1199</v>
      </c>
      <c r="E379" t="s">
        <v>18</v>
      </c>
      <c r="F379" t="s">
        <v>1467</v>
      </c>
      <c r="G379" t="s">
        <v>1468</v>
      </c>
      <c r="H379" t="s">
        <v>33</v>
      </c>
      <c r="I379" t="s">
        <v>97</v>
      </c>
      <c r="J379" t="s">
        <v>473</v>
      </c>
      <c r="K379" t="s">
        <v>237</v>
      </c>
      <c r="L379" t="s">
        <v>25</v>
      </c>
      <c r="M379" t="s">
        <v>537</v>
      </c>
      <c r="N379" t="s">
        <v>27</v>
      </c>
      <c r="O379" t="s">
        <v>228</v>
      </c>
      <c r="P379">
        <v>113.55200000000001</v>
      </c>
    </row>
    <row r="380" spans="1:16">
      <c r="A380" s="4">
        <v>2017</v>
      </c>
      <c r="B380" s="4">
        <v>164035</v>
      </c>
      <c r="C380" t="s">
        <v>1469</v>
      </c>
      <c r="D380" t="s">
        <v>1470</v>
      </c>
      <c r="E380" t="s">
        <v>18</v>
      </c>
      <c r="F380" t="s">
        <v>1467</v>
      </c>
      <c r="G380" t="s">
        <v>1468</v>
      </c>
      <c r="H380" t="s">
        <v>33</v>
      </c>
      <c r="I380" t="s">
        <v>97</v>
      </c>
      <c r="J380" t="s">
        <v>108</v>
      </c>
      <c r="K380" t="s">
        <v>109</v>
      </c>
      <c r="L380" t="s">
        <v>36</v>
      </c>
      <c r="M380" t="s">
        <v>829</v>
      </c>
      <c r="N380" t="s">
        <v>27</v>
      </c>
      <c r="O380" t="s">
        <v>52</v>
      </c>
      <c r="P380">
        <v>23.12</v>
      </c>
    </row>
    <row r="381" spans="1:16">
      <c r="A381" s="4">
        <v>2017</v>
      </c>
      <c r="B381" s="4">
        <v>166163</v>
      </c>
      <c r="C381" t="s">
        <v>1166</v>
      </c>
      <c r="D381" t="s">
        <v>1471</v>
      </c>
      <c r="E381" t="s">
        <v>144</v>
      </c>
      <c r="F381" t="s">
        <v>1472</v>
      </c>
      <c r="G381" t="s">
        <v>1473</v>
      </c>
      <c r="H381" t="s">
        <v>21</v>
      </c>
      <c r="I381" t="s">
        <v>22</v>
      </c>
      <c r="J381" t="s">
        <v>1474</v>
      </c>
      <c r="K381" t="s">
        <v>65</v>
      </c>
      <c r="L381" t="s">
        <v>66</v>
      </c>
      <c r="M381" t="s">
        <v>1475</v>
      </c>
      <c r="N381" t="s">
        <v>38</v>
      </c>
      <c r="O381" t="s">
        <v>118</v>
      </c>
      <c r="P381">
        <v>71.975999999999999</v>
      </c>
    </row>
    <row r="382" spans="1:16">
      <c r="A382" s="4">
        <v>2015</v>
      </c>
      <c r="B382" s="4">
        <v>107755</v>
      </c>
      <c r="C382" t="s">
        <v>1476</v>
      </c>
      <c r="D382" t="s">
        <v>1477</v>
      </c>
      <c r="E382" t="s">
        <v>18</v>
      </c>
      <c r="F382" t="s">
        <v>1478</v>
      </c>
      <c r="G382" t="s">
        <v>1479</v>
      </c>
      <c r="H382" t="s">
        <v>33</v>
      </c>
      <c r="I382" t="s">
        <v>22</v>
      </c>
      <c r="J382" t="s">
        <v>1480</v>
      </c>
      <c r="K382" t="s">
        <v>869</v>
      </c>
      <c r="L382" t="s">
        <v>25</v>
      </c>
      <c r="M382" t="s">
        <v>1481</v>
      </c>
      <c r="N382" t="s">
        <v>38</v>
      </c>
      <c r="O382" t="s">
        <v>68</v>
      </c>
      <c r="P382">
        <v>115.36</v>
      </c>
    </row>
    <row r="383" spans="1:16">
      <c r="A383" s="4">
        <v>2018</v>
      </c>
      <c r="B383" s="4">
        <v>117247</v>
      </c>
      <c r="C383" t="s">
        <v>1176</v>
      </c>
      <c r="D383" t="s">
        <v>799</v>
      </c>
      <c r="E383" t="s">
        <v>18</v>
      </c>
      <c r="F383" t="s">
        <v>1478</v>
      </c>
      <c r="G383" t="s">
        <v>1479</v>
      </c>
      <c r="H383" t="s">
        <v>33</v>
      </c>
      <c r="I383" t="s">
        <v>22</v>
      </c>
      <c r="J383" t="s">
        <v>1482</v>
      </c>
      <c r="K383" t="s">
        <v>109</v>
      </c>
      <c r="L383" t="s">
        <v>36</v>
      </c>
      <c r="M383" t="s">
        <v>1483</v>
      </c>
      <c r="N383" t="s">
        <v>79</v>
      </c>
      <c r="O383" t="s">
        <v>347</v>
      </c>
      <c r="P383">
        <v>652.45000000000005</v>
      </c>
    </row>
    <row r="384" spans="1:16">
      <c r="A384" s="4">
        <v>2015</v>
      </c>
      <c r="B384" s="4">
        <v>145576</v>
      </c>
      <c r="C384" t="s">
        <v>661</v>
      </c>
      <c r="D384" t="s">
        <v>1484</v>
      </c>
      <c r="E384" t="s">
        <v>144</v>
      </c>
      <c r="F384" t="s">
        <v>1485</v>
      </c>
      <c r="G384" t="s">
        <v>1486</v>
      </c>
      <c r="H384" t="s">
        <v>33</v>
      </c>
      <c r="I384" t="s">
        <v>97</v>
      </c>
      <c r="J384" t="s">
        <v>241</v>
      </c>
      <c r="K384" t="s">
        <v>196</v>
      </c>
      <c r="L384" t="s">
        <v>45</v>
      </c>
      <c r="M384" t="s">
        <v>1487</v>
      </c>
      <c r="N384" t="s">
        <v>27</v>
      </c>
      <c r="O384" t="s">
        <v>228</v>
      </c>
      <c r="P384">
        <v>13</v>
      </c>
    </row>
    <row r="385" spans="1:16">
      <c r="A385" s="4">
        <v>2015</v>
      </c>
      <c r="B385" s="4">
        <v>140858</v>
      </c>
      <c r="C385" t="s">
        <v>1488</v>
      </c>
      <c r="D385" t="s">
        <v>1489</v>
      </c>
      <c r="E385" t="s">
        <v>18</v>
      </c>
      <c r="F385" t="s">
        <v>1485</v>
      </c>
      <c r="G385" t="s">
        <v>1486</v>
      </c>
      <c r="H385" t="s">
        <v>33</v>
      </c>
      <c r="I385" t="s">
        <v>97</v>
      </c>
      <c r="J385" t="s">
        <v>23</v>
      </c>
      <c r="K385" t="s">
        <v>24</v>
      </c>
      <c r="L385" t="s">
        <v>25</v>
      </c>
      <c r="M385" t="s">
        <v>1490</v>
      </c>
      <c r="N385" t="s">
        <v>27</v>
      </c>
      <c r="O385" t="s">
        <v>52</v>
      </c>
      <c r="P385">
        <v>41.472000000000001</v>
      </c>
    </row>
    <row r="386" spans="1:16">
      <c r="A386" s="4">
        <v>2016</v>
      </c>
      <c r="B386" s="4">
        <v>140200</v>
      </c>
      <c r="C386" t="s">
        <v>1491</v>
      </c>
      <c r="D386" t="s">
        <v>1492</v>
      </c>
      <c r="E386" t="s">
        <v>42</v>
      </c>
      <c r="F386" t="s">
        <v>1485</v>
      </c>
      <c r="G386" t="s">
        <v>1486</v>
      </c>
      <c r="H386" t="s">
        <v>33</v>
      </c>
      <c r="I386" t="s">
        <v>97</v>
      </c>
      <c r="J386" t="s">
        <v>330</v>
      </c>
      <c r="K386" t="s">
        <v>136</v>
      </c>
      <c r="L386" t="s">
        <v>66</v>
      </c>
      <c r="M386" t="s">
        <v>1493</v>
      </c>
      <c r="N386" t="s">
        <v>79</v>
      </c>
      <c r="O386" t="s">
        <v>347</v>
      </c>
      <c r="P386">
        <v>393.16500000000002</v>
      </c>
    </row>
    <row r="387" spans="1:16">
      <c r="A387" s="4">
        <v>2017</v>
      </c>
      <c r="B387" s="4">
        <v>132857</v>
      </c>
      <c r="C387" t="s">
        <v>572</v>
      </c>
      <c r="D387" t="s">
        <v>1494</v>
      </c>
      <c r="E387" t="s">
        <v>18</v>
      </c>
      <c r="F387" t="s">
        <v>1485</v>
      </c>
      <c r="G387" t="s">
        <v>1486</v>
      </c>
      <c r="H387" t="s">
        <v>33</v>
      </c>
      <c r="I387" t="s">
        <v>97</v>
      </c>
      <c r="J387" t="s">
        <v>1495</v>
      </c>
      <c r="K387" t="s">
        <v>206</v>
      </c>
      <c r="L387" t="s">
        <v>45</v>
      </c>
      <c r="M387" t="s">
        <v>1496</v>
      </c>
      <c r="N387" t="s">
        <v>27</v>
      </c>
      <c r="O387" t="s">
        <v>28</v>
      </c>
      <c r="P387">
        <v>6.6719999999999997</v>
      </c>
    </row>
    <row r="388" spans="1:16">
      <c r="A388" s="4">
        <v>2017</v>
      </c>
      <c r="B388" s="4">
        <v>124352</v>
      </c>
      <c r="C388" t="s">
        <v>1497</v>
      </c>
      <c r="D388" t="s">
        <v>1498</v>
      </c>
      <c r="E388" t="s">
        <v>18</v>
      </c>
      <c r="F388" t="s">
        <v>1499</v>
      </c>
      <c r="G388" t="s">
        <v>1500</v>
      </c>
      <c r="H388" t="s">
        <v>33</v>
      </c>
      <c r="I388" t="s">
        <v>63</v>
      </c>
      <c r="J388" t="s">
        <v>648</v>
      </c>
      <c r="K388" t="s">
        <v>152</v>
      </c>
      <c r="L388" t="s">
        <v>36</v>
      </c>
      <c r="M388" t="s">
        <v>1501</v>
      </c>
      <c r="N388" t="s">
        <v>27</v>
      </c>
      <c r="O388" t="s">
        <v>111</v>
      </c>
      <c r="P388">
        <v>20.16</v>
      </c>
    </row>
    <row r="389" spans="1:16">
      <c r="A389" s="4">
        <v>2016</v>
      </c>
      <c r="B389" s="4">
        <v>149972</v>
      </c>
      <c r="C389" t="s">
        <v>1206</v>
      </c>
      <c r="D389" t="s">
        <v>1502</v>
      </c>
      <c r="E389" t="s">
        <v>42</v>
      </c>
      <c r="F389" t="s">
        <v>1499</v>
      </c>
      <c r="G389" t="s">
        <v>1500</v>
      </c>
      <c r="H389" t="s">
        <v>33</v>
      </c>
      <c r="I389" t="s">
        <v>63</v>
      </c>
      <c r="J389" t="s">
        <v>64</v>
      </c>
      <c r="K389" t="s">
        <v>65</v>
      </c>
      <c r="L389" t="s">
        <v>66</v>
      </c>
      <c r="M389" t="s">
        <v>1503</v>
      </c>
      <c r="N389" t="s">
        <v>79</v>
      </c>
      <c r="O389" t="s">
        <v>138</v>
      </c>
      <c r="P389">
        <v>601.53599999999994</v>
      </c>
    </row>
    <row r="390" spans="1:16">
      <c r="A390" s="4">
        <v>2015</v>
      </c>
      <c r="B390" s="4">
        <v>139857</v>
      </c>
      <c r="C390" t="s">
        <v>1504</v>
      </c>
      <c r="D390" t="s">
        <v>1505</v>
      </c>
      <c r="E390" t="s">
        <v>18</v>
      </c>
      <c r="F390" t="s">
        <v>1499</v>
      </c>
      <c r="G390" t="s">
        <v>1500</v>
      </c>
      <c r="H390" t="s">
        <v>33</v>
      </c>
      <c r="I390" t="s">
        <v>63</v>
      </c>
      <c r="J390" t="s">
        <v>630</v>
      </c>
      <c r="K390" t="s">
        <v>65</v>
      </c>
      <c r="L390" t="s">
        <v>66</v>
      </c>
      <c r="M390" t="s">
        <v>1506</v>
      </c>
      <c r="N390" t="s">
        <v>27</v>
      </c>
      <c r="O390" t="s">
        <v>452</v>
      </c>
      <c r="P390">
        <v>12.35</v>
      </c>
    </row>
    <row r="391" spans="1:16">
      <c r="A391" s="4">
        <v>2018</v>
      </c>
      <c r="B391" s="4">
        <v>157252</v>
      </c>
      <c r="C391" t="s">
        <v>1507</v>
      </c>
      <c r="D391" t="s">
        <v>1508</v>
      </c>
      <c r="E391" t="s">
        <v>144</v>
      </c>
      <c r="F391" t="s">
        <v>1509</v>
      </c>
      <c r="G391" t="s">
        <v>1510</v>
      </c>
      <c r="H391" t="s">
        <v>33</v>
      </c>
      <c r="I391" t="s">
        <v>22</v>
      </c>
      <c r="J391" t="s">
        <v>49</v>
      </c>
      <c r="K391" t="s">
        <v>50</v>
      </c>
      <c r="L391" t="s">
        <v>25</v>
      </c>
      <c r="M391" t="s">
        <v>1511</v>
      </c>
      <c r="N391" t="s">
        <v>79</v>
      </c>
      <c r="O391" t="s">
        <v>138</v>
      </c>
      <c r="P391">
        <v>207.846</v>
      </c>
    </row>
    <row r="392" spans="1:16">
      <c r="A392" s="4">
        <v>2018</v>
      </c>
      <c r="B392" s="4">
        <v>164707</v>
      </c>
      <c r="C392" t="s">
        <v>1512</v>
      </c>
      <c r="D392" t="s">
        <v>1513</v>
      </c>
      <c r="E392" t="s">
        <v>144</v>
      </c>
      <c r="F392" t="s">
        <v>1509</v>
      </c>
      <c r="G392" t="s">
        <v>1510</v>
      </c>
      <c r="H392" t="s">
        <v>33</v>
      </c>
      <c r="I392" t="s">
        <v>22</v>
      </c>
      <c r="J392" t="s">
        <v>64</v>
      </c>
      <c r="K392" t="s">
        <v>65</v>
      </c>
      <c r="L392" t="s">
        <v>66</v>
      </c>
      <c r="M392" t="s">
        <v>1514</v>
      </c>
      <c r="N392" t="s">
        <v>38</v>
      </c>
      <c r="O392" t="s">
        <v>118</v>
      </c>
      <c r="P392">
        <v>167.976</v>
      </c>
    </row>
    <row r="393" spans="1:16">
      <c r="A393" s="4">
        <v>2018</v>
      </c>
      <c r="B393" s="4">
        <v>146780</v>
      </c>
      <c r="C393" t="s">
        <v>916</v>
      </c>
      <c r="D393" t="s">
        <v>1348</v>
      </c>
      <c r="E393" t="s">
        <v>18</v>
      </c>
      <c r="F393" t="s">
        <v>1509</v>
      </c>
      <c r="G393" t="s">
        <v>1510</v>
      </c>
      <c r="H393" t="s">
        <v>33</v>
      </c>
      <c r="I393" t="s">
        <v>22</v>
      </c>
      <c r="J393" t="s">
        <v>49</v>
      </c>
      <c r="K393" t="s">
        <v>50</v>
      </c>
      <c r="L393" t="s">
        <v>25</v>
      </c>
      <c r="M393" t="s">
        <v>713</v>
      </c>
      <c r="N393" t="s">
        <v>79</v>
      </c>
      <c r="O393" t="s">
        <v>80</v>
      </c>
      <c r="P393">
        <v>41.96</v>
      </c>
    </row>
    <row r="394" spans="1:16">
      <c r="A394" s="4">
        <v>2017</v>
      </c>
      <c r="B394" s="4">
        <v>120859</v>
      </c>
      <c r="C394" t="s">
        <v>1515</v>
      </c>
      <c r="D394" t="s">
        <v>1516</v>
      </c>
      <c r="E394" t="s">
        <v>42</v>
      </c>
      <c r="F394" t="s">
        <v>1509</v>
      </c>
      <c r="G394" t="s">
        <v>1510</v>
      </c>
      <c r="H394" t="s">
        <v>33</v>
      </c>
      <c r="I394" t="s">
        <v>22</v>
      </c>
      <c r="J394" t="s">
        <v>226</v>
      </c>
      <c r="K394" t="s">
        <v>65</v>
      </c>
      <c r="L394" t="s">
        <v>66</v>
      </c>
      <c r="M394" t="s">
        <v>1517</v>
      </c>
      <c r="N394" t="s">
        <v>27</v>
      </c>
      <c r="O394" t="s">
        <v>501</v>
      </c>
      <c r="P394">
        <v>21.88</v>
      </c>
    </row>
    <row r="395" spans="1:16">
      <c r="A395" s="4">
        <v>2018</v>
      </c>
      <c r="B395" s="4">
        <v>159149</v>
      </c>
      <c r="C395" t="s">
        <v>1518</v>
      </c>
      <c r="D395" t="s">
        <v>1519</v>
      </c>
      <c r="E395" t="s">
        <v>42</v>
      </c>
      <c r="F395" t="s">
        <v>1520</v>
      </c>
      <c r="G395" t="s">
        <v>1521</v>
      </c>
      <c r="H395" t="s">
        <v>21</v>
      </c>
      <c r="I395" t="s">
        <v>63</v>
      </c>
      <c r="J395" t="s">
        <v>183</v>
      </c>
      <c r="K395" t="s">
        <v>35</v>
      </c>
      <c r="L395" t="s">
        <v>36</v>
      </c>
      <c r="M395" t="s">
        <v>1522</v>
      </c>
      <c r="N395" t="s">
        <v>79</v>
      </c>
      <c r="O395" t="s">
        <v>286</v>
      </c>
      <c r="P395">
        <v>89.066400000000002</v>
      </c>
    </row>
    <row r="396" spans="1:16">
      <c r="A396" s="4">
        <v>2016</v>
      </c>
      <c r="B396" s="4">
        <v>164448</v>
      </c>
      <c r="C396" t="s">
        <v>1523</v>
      </c>
      <c r="D396" t="s">
        <v>1524</v>
      </c>
      <c r="E396" t="s">
        <v>144</v>
      </c>
      <c r="F396" t="s">
        <v>1525</v>
      </c>
      <c r="G396" t="s">
        <v>1526</v>
      </c>
      <c r="H396" t="s">
        <v>33</v>
      </c>
      <c r="I396" t="s">
        <v>22</v>
      </c>
      <c r="J396" t="s">
        <v>1527</v>
      </c>
      <c r="K396" t="s">
        <v>65</v>
      </c>
      <c r="L396" t="s">
        <v>66</v>
      </c>
      <c r="M396" t="s">
        <v>1528</v>
      </c>
      <c r="N396" t="s">
        <v>27</v>
      </c>
      <c r="O396" t="s">
        <v>101</v>
      </c>
      <c r="P396">
        <v>9.7279999999999998</v>
      </c>
    </row>
    <row r="397" spans="1:16">
      <c r="A397" s="4">
        <v>2018</v>
      </c>
      <c r="B397" s="4">
        <v>149489</v>
      </c>
      <c r="C397" t="s">
        <v>1529</v>
      </c>
      <c r="D397" t="s">
        <v>1530</v>
      </c>
      <c r="E397" t="s">
        <v>42</v>
      </c>
      <c r="F397" t="s">
        <v>1525</v>
      </c>
      <c r="G397" t="s">
        <v>1526</v>
      </c>
      <c r="H397" t="s">
        <v>33</v>
      </c>
      <c r="I397" t="s">
        <v>22</v>
      </c>
      <c r="J397" t="s">
        <v>23</v>
      </c>
      <c r="K397" t="s">
        <v>24</v>
      </c>
      <c r="L397" t="s">
        <v>25</v>
      </c>
      <c r="M397" t="s">
        <v>1531</v>
      </c>
      <c r="N397" t="s">
        <v>27</v>
      </c>
      <c r="O397" t="s">
        <v>228</v>
      </c>
      <c r="P397">
        <v>99.28</v>
      </c>
    </row>
    <row r="398" spans="1:16">
      <c r="A398" s="4">
        <v>2017</v>
      </c>
      <c r="B398" s="4">
        <v>161844</v>
      </c>
      <c r="C398" t="s">
        <v>1532</v>
      </c>
      <c r="D398" t="s">
        <v>1533</v>
      </c>
      <c r="E398" t="s">
        <v>144</v>
      </c>
      <c r="F398" t="s">
        <v>1525</v>
      </c>
      <c r="G398" t="s">
        <v>1526</v>
      </c>
      <c r="H398" t="s">
        <v>33</v>
      </c>
      <c r="I398" t="s">
        <v>22</v>
      </c>
      <c r="J398" t="s">
        <v>283</v>
      </c>
      <c r="K398" t="s">
        <v>206</v>
      </c>
      <c r="L398" t="s">
        <v>45</v>
      </c>
      <c r="M398" t="s">
        <v>1534</v>
      </c>
      <c r="N398" t="s">
        <v>79</v>
      </c>
      <c r="O398" t="s">
        <v>347</v>
      </c>
      <c r="P398">
        <v>79.974000000000004</v>
      </c>
    </row>
    <row r="399" spans="1:16">
      <c r="A399" s="4">
        <v>2018</v>
      </c>
      <c r="B399" s="4">
        <v>139199</v>
      </c>
      <c r="C399" t="s">
        <v>163</v>
      </c>
      <c r="D399" t="s">
        <v>1294</v>
      </c>
      <c r="E399" t="s">
        <v>18</v>
      </c>
      <c r="F399" t="s">
        <v>1525</v>
      </c>
      <c r="G399" t="s">
        <v>1526</v>
      </c>
      <c r="H399" t="s">
        <v>33</v>
      </c>
      <c r="I399" t="s">
        <v>22</v>
      </c>
      <c r="J399" t="s">
        <v>879</v>
      </c>
      <c r="K399" t="s">
        <v>855</v>
      </c>
      <c r="L399" t="s">
        <v>36</v>
      </c>
      <c r="M399" t="s">
        <v>1535</v>
      </c>
      <c r="N399" t="s">
        <v>79</v>
      </c>
      <c r="O399" t="s">
        <v>138</v>
      </c>
      <c r="P399">
        <v>872.94</v>
      </c>
    </row>
    <row r="400" spans="1:16">
      <c r="A400" s="4">
        <v>2015</v>
      </c>
      <c r="B400" s="4">
        <v>141838</v>
      </c>
      <c r="C400" t="s">
        <v>813</v>
      </c>
      <c r="D400" t="s">
        <v>296</v>
      </c>
      <c r="E400" t="s">
        <v>144</v>
      </c>
      <c r="F400" t="s">
        <v>1525</v>
      </c>
      <c r="G400" t="s">
        <v>1526</v>
      </c>
      <c r="H400" t="s">
        <v>33</v>
      </c>
      <c r="I400" t="s">
        <v>22</v>
      </c>
      <c r="J400" t="s">
        <v>226</v>
      </c>
      <c r="K400" t="s">
        <v>65</v>
      </c>
      <c r="L400" t="s">
        <v>66</v>
      </c>
      <c r="M400" t="s">
        <v>554</v>
      </c>
      <c r="N400" t="s">
        <v>27</v>
      </c>
      <c r="O400" t="s">
        <v>28</v>
      </c>
      <c r="P400">
        <v>3.36</v>
      </c>
    </row>
    <row r="401" spans="1:16">
      <c r="A401" s="4">
        <v>2018</v>
      </c>
      <c r="B401" s="4">
        <v>100426</v>
      </c>
      <c r="C401" t="s">
        <v>1536</v>
      </c>
      <c r="D401" t="s">
        <v>1537</v>
      </c>
      <c r="E401" t="s">
        <v>18</v>
      </c>
      <c r="F401" t="s">
        <v>1538</v>
      </c>
      <c r="G401" t="s">
        <v>1539</v>
      </c>
      <c r="H401" t="s">
        <v>33</v>
      </c>
      <c r="I401" t="s">
        <v>97</v>
      </c>
      <c r="J401" t="s">
        <v>517</v>
      </c>
      <c r="K401" t="s">
        <v>518</v>
      </c>
      <c r="L401" t="s">
        <v>45</v>
      </c>
      <c r="M401" t="s">
        <v>1540</v>
      </c>
      <c r="N401" t="s">
        <v>27</v>
      </c>
      <c r="O401" t="s">
        <v>52</v>
      </c>
      <c r="P401">
        <v>12.48</v>
      </c>
    </row>
    <row r="402" spans="1:16">
      <c r="A402" s="4">
        <v>2018</v>
      </c>
      <c r="B402" s="4">
        <v>133781</v>
      </c>
      <c r="C402" t="s">
        <v>1541</v>
      </c>
      <c r="D402" t="s">
        <v>349</v>
      </c>
      <c r="E402" t="s">
        <v>42</v>
      </c>
      <c r="F402" t="s">
        <v>1538</v>
      </c>
      <c r="G402" t="s">
        <v>1539</v>
      </c>
      <c r="H402" t="s">
        <v>33</v>
      </c>
      <c r="I402" t="s">
        <v>97</v>
      </c>
      <c r="J402" t="s">
        <v>437</v>
      </c>
      <c r="K402" t="s">
        <v>196</v>
      </c>
      <c r="L402" t="s">
        <v>45</v>
      </c>
      <c r="M402" t="s">
        <v>1542</v>
      </c>
      <c r="N402" t="s">
        <v>27</v>
      </c>
      <c r="O402" t="s">
        <v>501</v>
      </c>
      <c r="P402">
        <v>37.607999999999997</v>
      </c>
    </row>
    <row r="403" spans="1:16">
      <c r="A403" s="4">
        <v>2015</v>
      </c>
      <c r="B403" s="4">
        <v>145212</v>
      </c>
      <c r="C403" t="s">
        <v>1543</v>
      </c>
      <c r="D403" t="s">
        <v>662</v>
      </c>
      <c r="E403" t="s">
        <v>18</v>
      </c>
      <c r="F403" t="s">
        <v>1538</v>
      </c>
      <c r="G403" t="s">
        <v>1539</v>
      </c>
      <c r="H403" t="s">
        <v>33</v>
      </c>
      <c r="I403" t="s">
        <v>97</v>
      </c>
      <c r="J403" t="s">
        <v>49</v>
      </c>
      <c r="K403" t="s">
        <v>50</v>
      </c>
      <c r="L403" t="s">
        <v>25</v>
      </c>
      <c r="M403" t="s">
        <v>1544</v>
      </c>
      <c r="N403" t="s">
        <v>27</v>
      </c>
      <c r="O403" t="s">
        <v>28</v>
      </c>
      <c r="P403">
        <v>5.46</v>
      </c>
    </row>
    <row r="404" spans="1:16">
      <c r="A404" s="4">
        <v>2015</v>
      </c>
      <c r="B404" s="4">
        <v>165974</v>
      </c>
      <c r="C404" t="s">
        <v>1545</v>
      </c>
      <c r="D404" t="s">
        <v>1546</v>
      </c>
      <c r="E404" t="s">
        <v>18</v>
      </c>
      <c r="F404" t="s">
        <v>1547</v>
      </c>
      <c r="G404" t="s">
        <v>1548</v>
      </c>
      <c r="H404" t="s">
        <v>33</v>
      </c>
      <c r="I404" t="s">
        <v>97</v>
      </c>
      <c r="J404" t="s">
        <v>341</v>
      </c>
      <c r="K404" t="s">
        <v>237</v>
      </c>
      <c r="L404" t="s">
        <v>25</v>
      </c>
      <c r="M404" t="s">
        <v>1549</v>
      </c>
      <c r="N404" t="s">
        <v>27</v>
      </c>
      <c r="O404" t="s">
        <v>28</v>
      </c>
      <c r="P404">
        <v>32.76</v>
      </c>
    </row>
    <row r="405" spans="1:16">
      <c r="A405" s="4">
        <v>2017</v>
      </c>
      <c r="B405" s="4">
        <v>102456</v>
      </c>
      <c r="C405" t="s">
        <v>202</v>
      </c>
      <c r="D405" t="s">
        <v>1550</v>
      </c>
      <c r="E405" t="s">
        <v>42</v>
      </c>
      <c r="F405" t="s">
        <v>1547</v>
      </c>
      <c r="G405" t="s">
        <v>1548</v>
      </c>
      <c r="H405" t="s">
        <v>33</v>
      </c>
      <c r="I405" t="s">
        <v>97</v>
      </c>
      <c r="J405" t="s">
        <v>49</v>
      </c>
      <c r="K405" t="s">
        <v>50</v>
      </c>
      <c r="L405" t="s">
        <v>25</v>
      </c>
      <c r="M405" t="s">
        <v>1551</v>
      </c>
      <c r="N405" t="s">
        <v>27</v>
      </c>
      <c r="O405" t="s">
        <v>228</v>
      </c>
      <c r="P405">
        <v>170.88</v>
      </c>
    </row>
    <row r="406" spans="1:16">
      <c r="A406" s="4">
        <v>2016</v>
      </c>
      <c r="B406" s="4">
        <v>156524</v>
      </c>
      <c r="C406" t="s">
        <v>972</v>
      </c>
      <c r="D406" t="s">
        <v>419</v>
      </c>
      <c r="E406" t="s">
        <v>18</v>
      </c>
      <c r="F406" t="s">
        <v>1547</v>
      </c>
      <c r="G406" t="s">
        <v>1548</v>
      </c>
      <c r="H406" t="s">
        <v>33</v>
      </c>
      <c r="I406" t="s">
        <v>97</v>
      </c>
      <c r="J406" t="s">
        <v>49</v>
      </c>
      <c r="K406" t="s">
        <v>50</v>
      </c>
      <c r="L406" t="s">
        <v>25</v>
      </c>
      <c r="M406" t="s">
        <v>1552</v>
      </c>
      <c r="N406" t="s">
        <v>27</v>
      </c>
      <c r="O406" t="s">
        <v>52</v>
      </c>
      <c r="P406">
        <v>19.649999999999999</v>
      </c>
    </row>
    <row r="407" spans="1:16">
      <c r="A407" s="4">
        <v>2018</v>
      </c>
      <c r="B407" s="4">
        <v>154718</v>
      </c>
      <c r="C407" t="s">
        <v>1553</v>
      </c>
      <c r="D407" t="s">
        <v>1508</v>
      </c>
      <c r="E407" t="s">
        <v>144</v>
      </c>
      <c r="F407" t="s">
        <v>1547</v>
      </c>
      <c r="G407" t="s">
        <v>1548</v>
      </c>
      <c r="H407" t="s">
        <v>33</v>
      </c>
      <c r="I407" t="s">
        <v>97</v>
      </c>
      <c r="J407" t="s">
        <v>1554</v>
      </c>
      <c r="K407" t="s">
        <v>35</v>
      </c>
      <c r="L407" t="s">
        <v>36</v>
      </c>
      <c r="M407" t="s">
        <v>1555</v>
      </c>
      <c r="N407" t="s">
        <v>27</v>
      </c>
      <c r="O407" t="s">
        <v>111</v>
      </c>
      <c r="P407">
        <v>6</v>
      </c>
    </row>
    <row r="408" spans="1:16">
      <c r="A408" s="4">
        <v>2018</v>
      </c>
      <c r="B408" s="4">
        <v>134404</v>
      </c>
      <c r="C408" t="s">
        <v>1556</v>
      </c>
      <c r="D408" t="s">
        <v>1556</v>
      </c>
      <c r="E408" t="s">
        <v>132</v>
      </c>
      <c r="F408" t="s">
        <v>1557</v>
      </c>
      <c r="G408" t="s">
        <v>1558</v>
      </c>
      <c r="H408" t="s">
        <v>33</v>
      </c>
      <c r="I408" t="s">
        <v>22</v>
      </c>
      <c r="J408" t="s">
        <v>987</v>
      </c>
      <c r="K408" t="s">
        <v>237</v>
      </c>
      <c r="L408" t="s">
        <v>25</v>
      </c>
      <c r="M408" t="s">
        <v>1559</v>
      </c>
      <c r="N408" t="s">
        <v>38</v>
      </c>
      <c r="O408" t="s">
        <v>118</v>
      </c>
      <c r="P408">
        <v>164.38800000000001</v>
      </c>
    </row>
    <row r="409" spans="1:16">
      <c r="A409" s="4">
        <v>2016</v>
      </c>
      <c r="B409" s="4">
        <v>159982</v>
      </c>
      <c r="C409" t="s">
        <v>1560</v>
      </c>
      <c r="D409" t="s">
        <v>876</v>
      </c>
      <c r="E409" t="s">
        <v>18</v>
      </c>
      <c r="F409" t="s">
        <v>1557</v>
      </c>
      <c r="G409" t="s">
        <v>1558</v>
      </c>
      <c r="H409" t="s">
        <v>33</v>
      </c>
      <c r="I409" t="s">
        <v>22</v>
      </c>
      <c r="J409" t="s">
        <v>108</v>
      </c>
      <c r="K409" t="s">
        <v>109</v>
      </c>
      <c r="L409" t="s">
        <v>36</v>
      </c>
      <c r="M409" t="s">
        <v>1561</v>
      </c>
      <c r="N409" t="s">
        <v>79</v>
      </c>
      <c r="O409" t="s">
        <v>80</v>
      </c>
      <c r="P409">
        <v>12.132</v>
      </c>
    </row>
    <row r="410" spans="1:16">
      <c r="A410" s="4">
        <v>2016</v>
      </c>
      <c r="B410" s="4">
        <v>103933</v>
      </c>
      <c r="C410" t="s">
        <v>498</v>
      </c>
      <c r="D410" t="s">
        <v>1207</v>
      </c>
      <c r="E410" t="s">
        <v>42</v>
      </c>
      <c r="F410" t="s">
        <v>1557</v>
      </c>
      <c r="G410" t="s">
        <v>1558</v>
      </c>
      <c r="H410" t="s">
        <v>33</v>
      </c>
      <c r="I410" t="s">
        <v>22</v>
      </c>
      <c r="J410" t="s">
        <v>49</v>
      </c>
      <c r="K410" t="s">
        <v>50</v>
      </c>
      <c r="L410" t="s">
        <v>25</v>
      </c>
      <c r="M410" t="s">
        <v>1562</v>
      </c>
      <c r="N410" t="s">
        <v>38</v>
      </c>
      <c r="O410" t="s">
        <v>68</v>
      </c>
      <c r="P410">
        <v>899.91</v>
      </c>
    </row>
    <row r="411" spans="1:16">
      <c r="A411" s="4">
        <v>2016</v>
      </c>
      <c r="B411" s="4">
        <v>139738</v>
      </c>
      <c r="C411" t="s">
        <v>498</v>
      </c>
      <c r="D411" t="s">
        <v>1563</v>
      </c>
      <c r="E411" t="s">
        <v>18</v>
      </c>
      <c r="F411" t="s">
        <v>1564</v>
      </c>
      <c r="G411" t="s">
        <v>1565</v>
      </c>
      <c r="H411" t="s">
        <v>33</v>
      </c>
      <c r="I411" t="s">
        <v>97</v>
      </c>
      <c r="J411" t="s">
        <v>1566</v>
      </c>
      <c r="K411" t="s">
        <v>109</v>
      </c>
      <c r="L411" t="s">
        <v>36</v>
      </c>
      <c r="M411" t="s">
        <v>1567</v>
      </c>
      <c r="N411" t="s">
        <v>27</v>
      </c>
      <c r="O411" t="s">
        <v>28</v>
      </c>
      <c r="P411">
        <v>128.744</v>
      </c>
    </row>
    <row r="412" spans="1:16">
      <c r="A412" s="4">
        <v>2018</v>
      </c>
      <c r="B412" s="4">
        <v>108112</v>
      </c>
      <c r="C412" t="s">
        <v>1568</v>
      </c>
      <c r="D412" t="s">
        <v>984</v>
      </c>
      <c r="E412" t="s">
        <v>18</v>
      </c>
      <c r="F412" t="s">
        <v>1564</v>
      </c>
      <c r="G412" t="s">
        <v>1565</v>
      </c>
      <c r="H412" t="s">
        <v>33</v>
      </c>
      <c r="I412" t="s">
        <v>97</v>
      </c>
      <c r="J412" t="s">
        <v>1569</v>
      </c>
      <c r="K412" t="s">
        <v>196</v>
      </c>
      <c r="L412" t="s">
        <v>45</v>
      </c>
      <c r="M412" t="s">
        <v>1570</v>
      </c>
      <c r="N412" t="s">
        <v>79</v>
      </c>
      <c r="O412" t="s">
        <v>80</v>
      </c>
      <c r="P412">
        <v>220.06399999999999</v>
      </c>
    </row>
    <row r="413" spans="1:16">
      <c r="A413" s="4">
        <v>2017</v>
      </c>
      <c r="B413" s="4">
        <v>127985</v>
      </c>
      <c r="C413" t="s">
        <v>674</v>
      </c>
      <c r="D413" t="s">
        <v>1571</v>
      </c>
      <c r="E413" t="s">
        <v>144</v>
      </c>
      <c r="F413" t="s">
        <v>1572</v>
      </c>
      <c r="G413" t="s">
        <v>1573</v>
      </c>
      <c r="H413" t="s">
        <v>33</v>
      </c>
      <c r="I413" t="s">
        <v>63</v>
      </c>
      <c r="J413" t="s">
        <v>473</v>
      </c>
      <c r="K413" t="s">
        <v>86</v>
      </c>
      <c r="L413" t="s">
        <v>45</v>
      </c>
      <c r="M413" t="s">
        <v>1574</v>
      </c>
      <c r="N413" t="s">
        <v>79</v>
      </c>
      <c r="O413" t="s">
        <v>80</v>
      </c>
      <c r="P413">
        <v>7.04</v>
      </c>
    </row>
    <row r="414" spans="1:16">
      <c r="A414" s="4">
        <v>2018</v>
      </c>
      <c r="B414" s="4">
        <v>159205</v>
      </c>
      <c r="C414" t="s">
        <v>1194</v>
      </c>
      <c r="D414" t="s">
        <v>1195</v>
      </c>
      <c r="E414" t="s">
        <v>144</v>
      </c>
      <c r="F414" t="s">
        <v>1572</v>
      </c>
      <c r="G414" t="s">
        <v>1573</v>
      </c>
      <c r="H414" t="s">
        <v>33</v>
      </c>
      <c r="I414" t="s">
        <v>63</v>
      </c>
      <c r="J414" t="s">
        <v>90</v>
      </c>
      <c r="K414" t="s">
        <v>126</v>
      </c>
      <c r="L414" t="s">
        <v>45</v>
      </c>
      <c r="M414" t="s">
        <v>1575</v>
      </c>
      <c r="N414" t="s">
        <v>79</v>
      </c>
      <c r="O414" t="s">
        <v>80</v>
      </c>
      <c r="P414">
        <v>61</v>
      </c>
    </row>
    <row r="415" spans="1:16">
      <c r="A415" s="4">
        <v>2018</v>
      </c>
      <c r="B415" s="4">
        <v>124898</v>
      </c>
      <c r="C415" t="s">
        <v>476</v>
      </c>
      <c r="D415" t="s">
        <v>702</v>
      </c>
      <c r="E415" t="s">
        <v>18</v>
      </c>
      <c r="F415" t="s">
        <v>1572</v>
      </c>
      <c r="G415" t="s">
        <v>1573</v>
      </c>
      <c r="H415" t="s">
        <v>33</v>
      </c>
      <c r="I415" t="s">
        <v>63</v>
      </c>
      <c r="J415" t="s">
        <v>473</v>
      </c>
      <c r="K415" t="s">
        <v>86</v>
      </c>
      <c r="L415" t="s">
        <v>45</v>
      </c>
      <c r="M415" t="s">
        <v>1332</v>
      </c>
      <c r="N415" t="s">
        <v>27</v>
      </c>
      <c r="O415" t="s">
        <v>52</v>
      </c>
      <c r="P415">
        <v>184.66</v>
      </c>
    </row>
    <row r="416" spans="1:16">
      <c r="A416" s="4">
        <v>2015</v>
      </c>
      <c r="B416" s="4">
        <v>115196</v>
      </c>
      <c r="C416" t="s">
        <v>1576</v>
      </c>
      <c r="D416" t="s">
        <v>1543</v>
      </c>
      <c r="E416" t="s">
        <v>18</v>
      </c>
      <c r="F416" t="s">
        <v>1577</v>
      </c>
      <c r="G416" t="s">
        <v>1578</v>
      </c>
      <c r="H416" t="s">
        <v>33</v>
      </c>
      <c r="I416" t="s">
        <v>97</v>
      </c>
      <c r="J416" t="s">
        <v>1579</v>
      </c>
      <c r="K416" t="s">
        <v>44</v>
      </c>
      <c r="L416" t="s">
        <v>45</v>
      </c>
      <c r="M416" t="s">
        <v>1580</v>
      </c>
      <c r="N416" t="s">
        <v>38</v>
      </c>
      <c r="O416" t="s">
        <v>39</v>
      </c>
      <c r="P416">
        <v>1299.99</v>
      </c>
    </row>
    <row r="417" spans="1:16">
      <c r="A417" s="4">
        <v>2016</v>
      </c>
      <c r="B417" s="4">
        <v>134747</v>
      </c>
      <c r="C417" t="s">
        <v>1581</v>
      </c>
      <c r="D417" t="s">
        <v>614</v>
      </c>
      <c r="E417" t="s">
        <v>144</v>
      </c>
      <c r="F417" t="s">
        <v>1577</v>
      </c>
      <c r="G417" t="s">
        <v>1578</v>
      </c>
      <c r="H417" t="s">
        <v>33</v>
      </c>
      <c r="I417" t="s">
        <v>97</v>
      </c>
      <c r="J417" t="s">
        <v>1582</v>
      </c>
      <c r="K417" t="s">
        <v>122</v>
      </c>
      <c r="L417" t="s">
        <v>36</v>
      </c>
      <c r="M417" t="s">
        <v>1583</v>
      </c>
      <c r="N417" t="s">
        <v>38</v>
      </c>
      <c r="O417" t="s">
        <v>118</v>
      </c>
      <c r="P417">
        <v>135.72</v>
      </c>
    </row>
    <row r="418" spans="1:16">
      <c r="A418" s="4">
        <v>2018</v>
      </c>
      <c r="B418" s="4">
        <v>121615</v>
      </c>
      <c r="C418" t="s">
        <v>1584</v>
      </c>
      <c r="D418" t="s">
        <v>975</v>
      </c>
      <c r="E418" t="s">
        <v>18</v>
      </c>
      <c r="F418" t="s">
        <v>1577</v>
      </c>
      <c r="G418" t="s">
        <v>1578</v>
      </c>
      <c r="H418" t="s">
        <v>33</v>
      </c>
      <c r="I418" t="s">
        <v>97</v>
      </c>
      <c r="J418" t="s">
        <v>1585</v>
      </c>
      <c r="K418" t="s">
        <v>372</v>
      </c>
      <c r="L418" t="s">
        <v>36</v>
      </c>
      <c r="M418" t="s">
        <v>1586</v>
      </c>
      <c r="N418" t="s">
        <v>27</v>
      </c>
      <c r="O418" t="s">
        <v>52</v>
      </c>
      <c r="P418">
        <v>8.56</v>
      </c>
    </row>
    <row r="419" spans="1:16">
      <c r="A419" s="4">
        <v>2016</v>
      </c>
      <c r="B419" s="4">
        <v>112571</v>
      </c>
      <c r="C419" t="s">
        <v>1587</v>
      </c>
      <c r="D419" t="s">
        <v>1587</v>
      </c>
      <c r="E419" t="s">
        <v>132</v>
      </c>
      <c r="F419" t="s">
        <v>1577</v>
      </c>
      <c r="G419" t="s">
        <v>1578</v>
      </c>
      <c r="H419" t="s">
        <v>33</v>
      </c>
      <c r="I419" t="s">
        <v>97</v>
      </c>
      <c r="J419" t="s">
        <v>1588</v>
      </c>
      <c r="K419" t="s">
        <v>65</v>
      </c>
      <c r="L419" t="s">
        <v>66</v>
      </c>
      <c r="M419" t="s">
        <v>1589</v>
      </c>
      <c r="N419" t="s">
        <v>79</v>
      </c>
      <c r="O419" t="s">
        <v>80</v>
      </c>
      <c r="P419">
        <v>204.6</v>
      </c>
    </row>
    <row r="420" spans="1:16">
      <c r="A420" s="4">
        <v>2016</v>
      </c>
      <c r="B420" s="4">
        <v>163783</v>
      </c>
      <c r="C420" t="s">
        <v>622</v>
      </c>
      <c r="D420" t="s">
        <v>1590</v>
      </c>
      <c r="E420" t="s">
        <v>18</v>
      </c>
      <c r="F420" t="s">
        <v>1591</v>
      </c>
      <c r="G420" t="s">
        <v>1592</v>
      </c>
      <c r="H420" t="s">
        <v>21</v>
      </c>
      <c r="I420" t="s">
        <v>63</v>
      </c>
      <c r="J420" t="s">
        <v>108</v>
      </c>
      <c r="K420" t="s">
        <v>109</v>
      </c>
      <c r="L420" t="s">
        <v>36</v>
      </c>
      <c r="M420" t="s">
        <v>1593</v>
      </c>
      <c r="N420" t="s">
        <v>27</v>
      </c>
      <c r="O420" t="s">
        <v>58</v>
      </c>
      <c r="P420">
        <v>12.672000000000001</v>
      </c>
    </row>
    <row r="421" spans="1:16">
      <c r="A421" s="4">
        <v>2016</v>
      </c>
      <c r="B421" s="4">
        <v>112767</v>
      </c>
      <c r="C421" t="s">
        <v>1594</v>
      </c>
      <c r="D421" t="s">
        <v>1595</v>
      </c>
      <c r="E421" t="s">
        <v>18</v>
      </c>
      <c r="F421" t="s">
        <v>1596</v>
      </c>
      <c r="G421" t="s">
        <v>1597</v>
      </c>
      <c r="H421" t="s">
        <v>33</v>
      </c>
      <c r="I421" t="s">
        <v>97</v>
      </c>
      <c r="J421" t="s">
        <v>98</v>
      </c>
      <c r="K421" t="s">
        <v>323</v>
      </c>
      <c r="L421" t="s">
        <v>66</v>
      </c>
      <c r="M421" t="s">
        <v>1598</v>
      </c>
      <c r="N421" t="s">
        <v>79</v>
      </c>
      <c r="O421" t="s">
        <v>347</v>
      </c>
      <c r="P421">
        <v>277.5</v>
      </c>
    </row>
    <row r="422" spans="1:16">
      <c r="A422" s="4">
        <v>2016</v>
      </c>
      <c r="B422" s="4">
        <v>134894</v>
      </c>
      <c r="C422" t="s">
        <v>872</v>
      </c>
      <c r="D422" t="s">
        <v>604</v>
      </c>
      <c r="E422" t="s">
        <v>18</v>
      </c>
      <c r="F422" t="s">
        <v>1596</v>
      </c>
      <c r="G422" t="s">
        <v>1597</v>
      </c>
      <c r="H422" t="s">
        <v>33</v>
      </c>
      <c r="I422" t="s">
        <v>97</v>
      </c>
      <c r="J422" t="s">
        <v>90</v>
      </c>
      <c r="K422" t="s">
        <v>126</v>
      </c>
      <c r="L422" t="s">
        <v>45</v>
      </c>
      <c r="M422" t="s">
        <v>1599</v>
      </c>
      <c r="N422" t="s">
        <v>27</v>
      </c>
      <c r="O422" t="s">
        <v>228</v>
      </c>
      <c r="P422">
        <v>152.94</v>
      </c>
    </row>
    <row r="423" spans="1:16">
      <c r="A423" s="4">
        <v>2018</v>
      </c>
      <c r="B423" s="4">
        <v>141943</v>
      </c>
      <c r="C423" t="s">
        <v>454</v>
      </c>
      <c r="D423" t="s">
        <v>1600</v>
      </c>
      <c r="E423" t="s">
        <v>18</v>
      </c>
      <c r="F423" t="s">
        <v>1596</v>
      </c>
      <c r="G423" t="s">
        <v>1597</v>
      </c>
      <c r="H423" t="s">
        <v>33</v>
      </c>
      <c r="I423" t="s">
        <v>97</v>
      </c>
      <c r="J423" t="s">
        <v>226</v>
      </c>
      <c r="K423" t="s">
        <v>65</v>
      </c>
      <c r="L423" t="s">
        <v>66</v>
      </c>
      <c r="M423" t="s">
        <v>1601</v>
      </c>
      <c r="N423" t="s">
        <v>27</v>
      </c>
      <c r="O423" t="s">
        <v>501</v>
      </c>
      <c r="P423">
        <v>23.16</v>
      </c>
    </row>
    <row r="424" spans="1:16">
      <c r="A424" s="4">
        <v>2016</v>
      </c>
      <c r="B424" s="4">
        <v>105347</v>
      </c>
      <c r="C424" t="s">
        <v>1602</v>
      </c>
      <c r="D424" t="s">
        <v>1560</v>
      </c>
      <c r="E424" t="s">
        <v>18</v>
      </c>
      <c r="F424" t="s">
        <v>1603</v>
      </c>
      <c r="G424" t="s">
        <v>1604</v>
      </c>
      <c r="H424" t="s">
        <v>33</v>
      </c>
      <c r="I424" t="s">
        <v>97</v>
      </c>
      <c r="J424" t="s">
        <v>64</v>
      </c>
      <c r="K424" t="s">
        <v>65</v>
      </c>
      <c r="L424" t="s">
        <v>66</v>
      </c>
      <c r="M424" t="s">
        <v>1605</v>
      </c>
      <c r="N424" t="s">
        <v>27</v>
      </c>
      <c r="O424" t="s">
        <v>52</v>
      </c>
      <c r="P424">
        <v>368.91</v>
      </c>
    </row>
    <row r="425" spans="1:16">
      <c r="A425" s="4">
        <v>2016</v>
      </c>
      <c r="B425" s="4">
        <v>115742</v>
      </c>
      <c r="C425" t="s">
        <v>1606</v>
      </c>
      <c r="D425" t="s">
        <v>1607</v>
      </c>
      <c r="E425" t="s">
        <v>18</v>
      </c>
      <c r="F425" t="s">
        <v>1603</v>
      </c>
      <c r="G425" t="s">
        <v>1604</v>
      </c>
      <c r="H425" t="s">
        <v>33</v>
      </c>
      <c r="I425" t="s">
        <v>97</v>
      </c>
      <c r="J425" t="s">
        <v>1608</v>
      </c>
      <c r="K425" t="s">
        <v>122</v>
      </c>
      <c r="L425" t="s">
        <v>36</v>
      </c>
      <c r="M425" t="s">
        <v>1609</v>
      </c>
      <c r="N425" t="s">
        <v>27</v>
      </c>
      <c r="O425" t="s">
        <v>101</v>
      </c>
      <c r="P425">
        <v>38.22</v>
      </c>
    </row>
    <row r="426" spans="1:16">
      <c r="A426" s="4">
        <v>2018</v>
      </c>
      <c r="B426" s="4">
        <v>154872</v>
      </c>
      <c r="C426" t="s">
        <v>1610</v>
      </c>
      <c r="D426" t="s">
        <v>1611</v>
      </c>
      <c r="E426" t="s">
        <v>18</v>
      </c>
      <c r="F426" t="s">
        <v>1603</v>
      </c>
      <c r="G426" t="s">
        <v>1604</v>
      </c>
      <c r="H426" t="s">
        <v>33</v>
      </c>
      <c r="I426" t="s">
        <v>97</v>
      </c>
      <c r="J426" t="s">
        <v>236</v>
      </c>
      <c r="K426" t="s">
        <v>237</v>
      </c>
      <c r="L426" t="s">
        <v>25</v>
      </c>
      <c r="M426" t="s">
        <v>1612</v>
      </c>
      <c r="N426" t="s">
        <v>27</v>
      </c>
      <c r="O426" t="s">
        <v>101</v>
      </c>
      <c r="P426">
        <v>58.17</v>
      </c>
    </row>
    <row r="427" spans="1:16">
      <c r="A427" s="4">
        <v>2016</v>
      </c>
      <c r="B427" s="4">
        <v>129392</v>
      </c>
      <c r="C427" t="s">
        <v>171</v>
      </c>
      <c r="D427" t="s">
        <v>171</v>
      </c>
      <c r="E427" t="s">
        <v>132</v>
      </c>
      <c r="F427" t="s">
        <v>1613</v>
      </c>
      <c r="G427" t="s">
        <v>1614</v>
      </c>
      <c r="H427" t="s">
        <v>33</v>
      </c>
      <c r="I427" t="s">
        <v>97</v>
      </c>
      <c r="J427" t="s">
        <v>183</v>
      </c>
      <c r="K427" t="s">
        <v>35</v>
      </c>
      <c r="L427" t="s">
        <v>36</v>
      </c>
      <c r="M427" t="s">
        <v>1615</v>
      </c>
      <c r="N427" t="s">
        <v>27</v>
      </c>
      <c r="O427" t="s">
        <v>52</v>
      </c>
      <c r="P427">
        <v>21.12</v>
      </c>
    </row>
    <row r="428" spans="1:16">
      <c r="A428" s="4">
        <v>2018</v>
      </c>
      <c r="B428" s="4">
        <v>110429</v>
      </c>
      <c r="C428" t="s">
        <v>1584</v>
      </c>
      <c r="D428" t="s">
        <v>1284</v>
      </c>
      <c r="E428" t="s">
        <v>18</v>
      </c>
      <c r="F428" t="s">
        <v>1613</v>
      </c>
      <c r="G428" t="s">
        <v>1614</v>
      </c>
      <c r="H428" t="s">
        <v>33</v>
      </c>
      <c r="I428" t="s">
        <v>97</v>
      </c>
      <c r="J428" t="s">
        <v>23</v>
      </c>
      <c r="K428" t="s">
        <v>24</v>
      </c>
      <c r="L428" t="s">
        <v>25</v>
      </c>
      <c r="M428" t="s">
        <v>1616</v>
      </c>
      <c r="N428" t="s">
        <v>27</v>
      </c>
      <c r="O428" t="s">
        <v>101</v>
      </c>
      <c r="P428">
        <v>11.673</v>
      </c>
    </row>
    <row r="429" spans="1:16">
      <c r="A429" s="4">
        <v>2018</v>
      </c>
      <c r="B429" s="4">
        <v>131954</v>
      </c>
      <c r="C429" t="s">
        <v>1617</v>
      </c>
      <c r="D429" t="s">
        <v>1618</v>
      </c>
      <c r="E429" t="s">
        <v>18</v>
      </c>
      <c r="F429" t="s">
        <v>1619</v>
      </c>
      <c r="G429" t="s">
        <v>1620</v>
      </c>
      <c r="H429" t="s">
        <v>33</v>
      </c>
      <c r="I429" t="s">
        <v>63</v>
      </c>
      <c r="J429" t="s">
        <v>271</v>
      </c>
      <c r="K429" t="s">
        <v>165</v>
      </c>
      <c r="L429" t="s">
        <v>66</v>
      </c>
      <c r="M429" t="s">
        <v>67</v>
      </c>
      <c r="N429" t="s">
        <v>27</v>
      </c>
      <c r="O429" t="s">
        <v>58</v>
      </c>
      <c r="P429">
        <v>242.94</v>
      </c>
    </row>
    <row r="430" spans="1:16">
      <c r="A430" s="4">
        <v>2018</v>
      </c>
      <c r="B430" s="4">
        <v>144848</v>
      </c>
      <c r="C430" t="s">
        <v>1621</v>
      </c>
      <c r="D430" t="s">
        <v>1622</v>
      </c>
      <c r="E430" t="s">
        <v>42</v>
      </c>
      <c r="F430" t="s">
        <v>1619</v>
      </c>
      <c r="G430" t="s">
        <v>1620</v>
      </c>
      <c r="H430" t="s">
        <v>33</v>
      </c>
      <c r="I430" t="s">
        <v>63</v>
      </c>
      <c r="J430" t="s">
        <v>49</v>
      </c>
      <c r="K430" t="s">
        <v>50</v>
      </c>
      <c r="L430" t="s">
        <v>25</v>
      </c>
      <c r="M430" t="s">
        <v>1623</v>
      </c>
      <c r="N430" t="s">
        <v>38</v>
      </c>
      <c r="O430" t="s">
        <v>118</v>
      </c>
      <c r="P430">
        <v>41.22</v>
      </c>
    </row>
    <row r="431" spans="1:16">
      <c r="A431" s="4">
        <v>2018</v>
      </c>
      <c r="B431" s="4">
        <v>139773</v>
      </c>
      <c r="C431" t="s">
        <v>1624</v>
      </c>
      <c r="D431" t="s">
        <v>1624</v>
      </c>
      <c r="E431" t="s">
        <v>132</v>
      </c>
      <c r="F431" t="s">
        <v>1625</v>
      </c>
      <c r="G431" t="s">
        <v>1626</v>
      </c>
      <c r="H431" t="s">
        <v>33</v>
      </c>
      <c r="I431" t="s">
        <v>22</v>
      </c>
      <c r="J431" t="s">
        <v>23</v>
      </c>
      <c r="K431" t="s">
        <v>24</v>
      </c>
      <c r="L431" t="s">
        <v>25</v>
      </c>
      <c r="M431" t="s">
        <v>1627</v>
      </c>
      <c r="N431" t="s">
        <v>79</v>
      </c>
      <c r="O431" t="s">
        <v>138</v>
      </c>
      <c r="P431">
        <v>188.55199999999999</v>
      </c>
    </row>
    <row r="432" spans="1:16">
      <c r="A432" s="4">
        <v>2017</v>
      </c>
      <c r="B432" s="4">
        <v>138688</v>
      </c>
      <c r="C432" t="s">
        <v>1469</v>
      </c>
      <c r="D432" t="s">
        <v>1628</v>
      </c>
      <c r="E432" t="s">
        <v>144</v>
      </c>
      <c r="F432" t="s">
        <v>1625</v>
      </c>
      <c r="G432" t="s">
        <v>1626</v>
      </c>
      <c r="H432" t="s">
        <v>33</v>
      </c>
      <c r="I432" t="s">
        <v>22</v>
      </c>
      <c r="J432" t="s">
        <v>64</v>
      </c>
      <c r="K432" t="s">
        <v>65</v>
      </c>
      <c r="L432" t="s">
        <v>66</v>
      </c>
      <c r="M432" t="s">
        <v>624</v>
      </c>
      <c r="N432" t="s">
        <v>27</v>
      </c>
      <c r="O432" t="s">
        <v>111</v>
      </c>
      <c r="P432">
        <v>14.62</v>
      </c>
    </row>
    <row r="433" spans="1:16">
      <c r="A433" s="4">
        <v>2017</v>
      </c>
      <c r="B433" s="4">
        <v>127369</v>
      </c>
      <c r="C433" t="s">
        <v>1629</v>
      </c>
      <c r="D433" t="s">
        <v>1630</v>
      </c>
      <c r="E433" t="s">
        <v>42</v>
      </c>
      <c r="F433" t="s">
        <v>1631</v>
      </c>
      <c r="G433" t="s">
        <v>1632</v>
      </c>
      <c r="H433" t="s">
        <v>33</v>
      </c>
      <c r="I433" t="s">
        <v>97</v>
      </c>
      <c r="J433" t="s">
        <v>461</v>
      </c>
      <c r="K433" t="s">
        <v>284</v>
      </c>
      <c r="L433" t="s">
        <v>25</v>
      </c>
      <c r="M433" t="s">
        <v>1633</v>
      </c>
      <c r="N433" t="s">
        <v>27</v>
      </c>
      <c r="O433" t="s">
        <v>58</v>
      </c>
      <c r="P433">
        <v>714.3</v>
      </c>
    </row>
    <row r="434" spans="1:16">
      <c r="A434" s="4">
        <v>2018</v>
      </c>
      <c r="B434" s="4">
        <v>132353</v>
      </c>
      <c r="C434" t="s">
        <v>702</v>
      </c>
      <c r="D434" t="s">
        <v>212</v>
      </c>
      <c r="E434" t="s">
        <v>42</v>
      </c>
      <c r="F434" t="s">
        <v>1631</v>
      </c>
      <c r="G434" t="s">
        <v>1632</v>
      </c>
      <c r="H434" t="s">
        <v>33</v>
      </c>
      <c r="I434" t="s">
        <v>97</v>
      </c>
      <c r="J434" t="s">
        <v>108</v>
      </c>
      <c r="K434" t="s">
        <v>109</v>
      </c>
      <c r="L434" t="s">
        <v>36</v>
      </c>
      <c r="M434" t="s">
        <v>1634</v>
      </c>
      <c r="N434" t="s">
        <v>38</v>
      </c>
      <c r="O434" t="s">
        <v>118</v>
      </c>
      <c r="P434">
        <v>323.976</v>
      </c>
    </row>
    <row r="435" spans="1:16">
      <c r="A435" s="4">
        <v>2015</v>
      </c>
      <c r="B435" s="4">
        <v>128146</v>
      </c>
      <c r="C435" t="s">
        <v>1250</v>
      </c>
      <c r="D435" t="s">
        <v>1635</v>
      </c>
      <c r="E435" t="s">
        <v>18</v>
      </c>
      <c r="F435" t="s">
        <v>1631</v>
      </c>
      <c r="G435" t="s">
        <v>1632</v>
      </c>
      <c r="H435" t="s">
        <v>33</v>
      </c>
      <c r="I435" t="s">
        <v>97</v>
      </c>
      <c r="J435" t="s">
        <v>868</v>
      </c>
      <c r="K435" t="s">
        <v>869</v>
      </c>
      <c r="L435" t="s">
        <v>25</v>
      </c>
      <c r="M435" t="s">
        <v>1636</v>
      </c>
      <c r="N435" t="s">
        <v>38</v>
      </c>
      <c r="O435" t="s">
        <v>118</v>
      </c>
      <c r="P435">
        <v>1322.93</v>
      </c>
    </row>
    <row r="436" spans="1:16">
      <c r="A436" s="4">
        <v>2018</v>
      </c>
      <c r="B436" s="4">
        <v>147886</v>
      </c>
      <c r="C436" t="s">
        <v>1637</v>
      </c>
      <c r="D436" t="s">
        <v>1194</v>
      </c>
      <c r="E436" t="s">
        <v>42</v>
      </c>
      <c r="F436" t="s">
        <v>1638</v>
      </c>
      <c r="G436" t="s">
        <v>1639</v>
      </c>
      <c r="H436" t="s">
        <v>33</v>
      </c>
      <c r="I436" t="s">
        <v>22</v>
      </c>
      <c r="J436" t="s">
        <v>1263</v>
      </c>
      <c r="K436" t="s">
        <v>65</v>
      </c>
      <c r="L436" t="s">
        <v>66</v>
      </c>
      <c r="M436" t="s">
        <v>1640</v>
      </c>
      <c r="N436" t="s">
        <v>27</v>
      </c>
      <c r="O436" t="s">
        <v>52</v>
      </c>
      <c r="P436">
        <v>12.96</v>
      </c>
    </row>
    <row r="437" spans="1:16">
      <c r="A437" s="4">
        <v>2016</v>
      </c>
      <c r="B437" s="4">
        <v>104941</v>
      </c>
      <c r="C437" t="s">
        <v>1641</v>
      </c>
      <c r="D437" t="s">
        <v>1642</v>
      </c>
      <c r="E437" t="s">
        <v>18</v>
      </c>
      <c r="F437" t="s">
        <v>1638</v>
      </c>
      <c r="G437" t="s">
        <v>1639</v>
      </c>
      <c r="H437" t="s">
        <v>33</v>
      </c>
      <c r="I437" t="s">
        <v>22</v>
      </c>
      <c r="J437" t="s">
        <v>158</v>
      </c>
      <c r="K437" t="s">
        <v>518</v>
      </c>
      <c r="L437" t="s">
        <v>45</v>
      </c>
      <c r="M437" t="s">
        <v>1643</v>
      </c>
      <c r="N437" t="s">
        <v>27</v>
      </c>
      <c r="O437" t="s">
        <v>28</v>
      </c>
      <c r="P437">
        <v>24.78</v>
      </c>
    </row>
    <row r="438" spans="1:16">
      <c r="A438" s="4">
        <v>2016</v>
      </c>
      <c r="B438" s="4">
        <v>110457</v>
      </c>
      <c r="C438" t="s">
        <v>1644</v>
      </c>
      <c r="D438" t="s">
        <v>1645</v>
      </c>
      <c r="E438" t="s">
        <v>18</v>
      </c>
      <c r="F438" t="s">
        <v>1646</v>
      </c>
      <c r="G438" t="s">
        <v>1647</v>
      </c>
      <c r="H438" t="s">
        <v>33</v>
      </c>
      <c r="I438" t="s">
        <v>97</v>
      </c>
      <c r="J438" t="s">
        <v>271</v>
      </c>
      <c r="K438" t="s">
        <v>165</v>
      </c>
      <c r="L438" t="s">
        <v>66</v>
      </c>
      <c r="M438" t="s">
        <v>1648</v>
      </c>
      <c r="N438" t="s">
        <v>79</v>
      </c>
      <c r="O438" t="s">
        <v>347</v>
      </c>
      <c r="P438">
        <v>787.53</v>
      </c>
    </row>
    <row r="439" spans="1:16">
      <c r="A439" s="4">
        <v>2018</v>
      </c>
      <c r="B439" s="4">
        <v>104913</v>
      </c>
      <c r="C439" t="s">
        <v>608</v>
      </c>
      <c r="D439" t="s">
        <v>139</v>
      </c>
      <c r="E439" t="s">
        <v>18</v>
      </c>
      <c r="F439" t="s">
        <v>1646</v>
      </c>
      <c r="G439" t="s">
        <v>1647</v>
      </c>
      <c r="H439" t="s">
        <v>33</v>
      </c>
      <c r="I439" t="s">
        <v>97</v>
      </c>
      <c r="J439" t="s">
        <v>1130</v>
      </c>
      <c r="K439" t="s">
        <v>50</v>
      </c>
      <c r="L439" t="s">
        <v>25</v>
      </c>
      <c r="M439" t="s">
        <v>1649</v>
      </c>
      <c r="N439" t="s">
        <v>38</v>
      </c>
      <c r="O439" t="s">
        <v>118</v>
      </c>
      <c r="P439">
        <v>74.95</v>
      </c>
    </row>
    <row r="440" spans="1:16">
      <c r="A440" s="4">
        <v>2016</v>
      </c>
      <c r="B440" s="4">
        <v>129098</v>
      </c>
      <c r="C440" t="s">
        <v>1650</v>
      </c>
      <c r="D440" t="s">
        <v>613</v>
      </c>
      <c r="E440" t="s">
        <v>18</v>
      </c>
      <c r="F440" t="s">
        <v>1646</v>
      </c>
      <c r="G440" t="s">
        <v>1647</v>
      </c>
      <c r="H440" t="s">
        <v>33</v>
      </c>
      <c r="I440" t="s">
        <v>97</v>
      </c>
      <c r="J440" t="s">
        <v>98</v>
      </c>
      <c r="K440" t="s">
        <v>56</v>
      </c>
      <c r="L440" t="s">
        <v>45</v>
      </c>
      <c r="M440" t="s">
        <v>1651</v>
      </c>
      <c r="N440" t="s">
        <v>27</v>
      </c>
      <c r="O440" t="s">
        <v>58</v>
      </c>
      <c r="P440">
        <v>30.84</v>
      </c>
    </row>
    <row r="441" spans="1:16">
      <c r="A441" s="4">
        <v>2018</v>
      </c>
      <c r="B441" s="4">
        <v>102974</v>
      </c>
      <c r="C441" t="s">
        <v>926</v>
      </c>
      <c r="D441" t="s">
        <v>469</v>
      </c>
      <c r="E441" t="s">
        <v>18</v>
      </c>
      <c r="F441" t="s">
        <v>1652</v>
      </c>
      <c r="G441" t="s">
        <v>1653</v>
      </c>
      <c r="H441" t="s">
        <v>33</v>
      </c>
      <c r="I441" t="s">
        <v>22</v>
      </c>
      <c r="J441" t="s">
        <v>64</v>
      </c>
      <c r="K441" t="s">
        <v>65</v>
      </c>
      <c r="L441" t="s">
        <v>66</v>
      </c>
      <c r="M441" t="s">
        <v>1654</v>
      </c>
      <c r="N441" t="s">
        <v>38</v>
      </c>
      <c r="O441" t="s">
        <v>68</v>
      </c>
      <c r="P441">
        <v>149.94999999999999</v>
      </c>
    </row>
    <row r="442" spans="1:16">
      <c r="A442" s="4">
        <v>2018</v>
      </c>
      <c r="B442" s="4">
        <v>141663</v>
      </c>
      <c r="C442" t="s">
        <v>1655</v>
      </c>
      <c r="D442" t="s">
        <v>1656</v>
      </c>
      <c r="E442" t="s">
        <v>18</v>
      </c>
      <c r="F442" t="s">
        <v>1652</v>
      </c>
      <c r="G442" t="s">
        <v>1653</v>
      </c>
      <c r="H442" t="s">
        <v>33</v>
      </c>
      <c r="I442" t="s">
        <v>22</v>
      </c>
      <c r="J442" t="s">
        <v>23</v>
      </c>
      <c r="K442" t="s">
        <v>24</v>
      </c>
      <c r="L442" t="s">
        <v>25</v>
      </c>
      <c r="M442" t="s">
        <v>1657</v>
      </c>
      <c r="N442" t="s">
        <v>27</v>
      </c>
      <c r="O442" t="s">
        <v>452</v>
      </c>
      <c r="P442">
        <v>7.92</v>
      </c>
    </row>
    <row r="443" spans="1:16">
      <c r="A443" s="4">
        <v>2016</v>
      </c>
      <c r="B443" s="4">
        <v>132080</v>
      </c>
      <c r="C443" t="s">
        <v>1658</v>
      </c>
      <c r="D443" t="s">
        <v>1659</v>
      </c>
      <c r="E443" t="s">
        <v>42</v>
      </c>
      <c r="F443" t="s">
        <v>1652</v>
      </c>
      <c r="G443" t="s">
        <v>1653</v>
      </c>
      <c r="H443" t="s">
        <v>33</v>
      </c>
      <c r="I443" t="s">
        <v>22</v>
      </c>
      <c r="J443" t="s">
        <v>49</v>
      </c>
      <c r="K443" t="s">
        <v>50</v>
      </c>
      <c r="L443" t="s">
        <v>25</v>
      </c>
      <c r="M443" t="s">
        <v>1660</v>
      </c>
      <c r="N443" t="s">
        <v>27</v>
      </c>
      <c r="O443" t="s">
        <v>101</v>
      </c>
      <c r="P443">
        <v>50.112000000000002</v>
      </c>
    </row>
    <row r="444" spans="1:16">
      <c r="A444" s="4">
        <v>2017</v>
      </c>
      <c r="B444" s="4">
        <v>152534</v>
      </c>
      <c r="C444" t="s">
        <v>1159</v>
      </c>
      <c r="D444" t="s">
        <v>243</v>
      </c>
      <c r="E444" t="s">
        <v>144</v>
      </c>
      <c r="F444" t="s">
        <v>1652</v>
      </c>
      <c r="G444" t="s">
        <v>1653</v>
      </c>
      <c r="H444" t="s">
        <v>33</v>
      </c>
      <c r="I444" t="s">
        <v>22</v>
      </c>
      <c r="J444" t="s">
        <v>1527</v>
      </c>
      <c r="K444" t="s">
        <v>65</v>
      </c>
      <c r="L444" t="s">
        <v>66</v>
      </c>
      <c r="M444" t="s">
        <v>1661</v>
      </c>
      <c r="N444" t="s">
        <v>27</v>
      </c>
      <c r="O444" t="s">
        <v>28</v>
      </c>
      <c r="P444">
        <v>5.16</v>
      </c>
    </row>
    <row r="445" spans="1:16">
      <c r="A445" s="4">
        <v>2018</v>
      </c>
      <c r="B445" s="4">
        <v>160514</v>
      </c>
      <c r="C445" t="s">
        <v>976</v>
      </c>
      <c r="D445" t="s">
        <v>1235</v>
      </c>
      <c r="E445" t="s">
        <v>18</v>
      </c>
      <c r="F445" t="s">
        <v>1662</v>
      </c>
      <c r="G445" t="s">
        <v>1663</v>
      </c>
      <c r="H445" t="s">
        <v>33</v>
      </c>
      <c r="I445" t="s">
        <v>22</v>
      </c>
      <c r="J445" t="s">
        <v>1664</v>
      </c>
      <c r="K445" t="s">
        <v>65</v>
      </c>
      <c r="L445" t="s">
        <v>66</v>
      </c>
      <c r="M445" t="s">
        <v>1665</v>
      </c>
      <c r="N445" t="s">
        <v>27</v>
      </c>
      <c r="O445" t="s">
        <v>52</v>
      </c>
      <c r="P445">
        <v>10.56</v>
      </c>
    </row>
    <row r="446" spans="1:16">
      <c r="A446" s="4">
        <v>2016</v>
      </c>
      <c r="B446" s="4">
        <v>124653</v>
      </c>
      <c r="C446" t="s">
        <v>1666</v>
      </c>
      <c r="D446" t="s">
        <v>948</v>
      </c>
      <c r="E446" t="s">
        <v>42</v>
      </c>
      <c r="F446" t="s">
        <v>1662</v>
      </c>
      <c r="G446" t="s">
        <v>1663</v>
      </c>
      <c r="H446" t="s">
        <v>33</v>
      </c>
      <c r="I446" t="s">
        <v>22</v>
      </c>
      <c r="J446" t="s">
        <v>663</v>
      </c>
      <c r="K446" t="s">
        <v>50</v>
      </c>
      <c r="L446" t="s">
        <v>25</v>
      </c>
      <c r="M446" t="s">
        <v>1667</v>
      </c>
      <c r="N446" t="s">
        <v>27</v>
      </c>
      <c r="O446" t="s">
        <v>52</v>
      </c>
      <c r="P446">
        <v>132.79</v>
      </c>
    </row>
    <row r="447" spans="1:16">
      <c r="A447" s="4">
        <v>2017</v>
      </c>
      <c r="B447" s="4">
        <v>168032</v>
      </c>
      <c r="C447" t="s">
        <v>1668</v>
      </c>
      <c r="D447" t="s">
        <v>1669</v>
      </c>
      <c r="E447" t="s">
        <v>18</v>
      </c>
      <c r="F447" t="s">
        <v>1670</v>
      </c>
      <c r="G447" t="s">
        <v>1671</v>
      </c>
      <c r="H447" t="s">
        <v>33</v>
      </c>
      <c r="I447" t="s">
        <v>97</v>
      </c>
      <c r="J447" t="s">
        <v>1566</v>
      </c>
      <c r="K447" t="s">
        <v>109</v>
      </c>
      <c r="L447" t="s">
        <v>36</v>
      </c>
      <c r="M447" t="s">
        <v>1672</v>
      </c>
      <c r="N447" t="s">
        <v>38</v>
      </c>
      <c r="O447" t="s">
        <v>118</v>
      </c>
      <c r="P447">
        <v>1439.9680000000001</v>
      </c>
    </row>
    <row r="448" spans="1:16">
      <c r="A448" s="4">
        <v>2015</v>
      </c>
      <c r="B448" s="4">
        <v>153479</v>
      </c>
      <c r="C448" t="s">
        <v>1673</v>
      </c>
      <c r="D448" t="s">
        <v>311</v>
      </c>
      <c r="E448" t="s">
        <v>18</v>
      </c>
      <c r="F448" t="s">
        <v>1670</v>
      </c>
      <c r="G448" t="s">
        <v>1671</v>
      </c>
      <c r="H448" t="s">
        <v>33</v>
      </c>
      <c r="I448" t="s">
        <v>97</v>
      </c>
      <c r="J448" t="s">
        <v>1674</v>
      </c>
      <c r="K448" t="s">
        <v>65</v>
      </c>
      <c r="L448" t="s">
        <v>66</v>
      </c>
      <c r="M448" t="s">
        <v>1675</v>
      </c>
      <c r="N448" t="s">
        <v>27</v>
      </c>
      <c r="O448" t="s">
        <v>111</v>
      </c>
      <c r="P448">
        <v>14.45</v>
      </c>
    </row>
    <row r="449" spans="1:16">
      <c r="A449" s="4">
        <v>2015</v>
      </c>
      <c r="B449" s="4">
        <v>166191</v>
      </c>
      <c r="C449" t="s">
        <v>943</v>
      </c>
      <c r="D449" t="s">
        <v>1676</v>
      </c>
      <c r="E449" t="s">
        <v>144</v>
      </c>
      <c r="F449" t="s">
        <v>1677</v>
      </c>
      <c r="G449" t="s">
        <v>1678</v>
      </c>
      <c r="H449" t="s">
        <v>21</v>
      </c>
      <c r="I449" t="s">
        <v>22</v>
      </c>
      <c r="J449" t="s">
        <v>158</v>
      </c>
      <c r="K449" t="s">
        <v>109</v>
      </c>
      <c r="L449" t="s">
        <v>36</v>
      </c>
      <c r="M449" t="s">
        <v>1679</v>
      </c>
      <c r="N449" t="s">
        <v>27</v>
      </c>
      <c r="O449" t="s">
        <v>58</v>
      </c>
      <c r="P449">
        <v>24.815999999999999</v>
      </c>
    </row>
    <row r="450" spans="1:16">
      <c r="A450" s="4">
        <v>2016</v>
      </c>
      <c r="B450" s="4">
        <v>130456</v>
      </c>
      <c r="C450" t="s">
        <v>1680</v>
      </c>
      <c r="D450" t="s">
        <v>1681</v>
      </c>
      <c r="E450" t="s">
        <v>18</v>
      </c>
      <c r="F450" t="s">
        <v>1682</v>
      </c>
      <c r="G450" t="s">
        <v>1683</v>
      </c>
      <c r="H450" t="s">
        <v>33</v>
      </c>
      <c r="I450" t="s">
        <v>22</v>
      </c>
      <c r="J450" t="s">
        <v>226</v>
      </c>
      <c r="K450" t="s">
        <v>65</v>
      </c>
      <c r="L450" t="s">
        <v>66</v>
      </c>
      <c r="M450" t="s">
        <v>1376</v>
      </c>
      <c r="N450" t="s">
        <v>79</v>
      </c>
      <c r="O450" t="s">
        <v>286</v>
      </c>
      <c r="P450">
        <v>586.39800000000002</v>
      </c>
    </row>
    <row r="451" spans="1:16">
      <c r="A451" s="4">
        <v>2018</v>
      </c>
      <c r="B451" s="4">
        <v>154907</v>
      </c>
      <c r="C451" t="s">
        <v>1194</v>
      </c>
      <c r="D451" t="s">
        <v>1621</v>
      </c>
      <c r="E451" t="s">
        <v>18</v>
      </c>
      <c r="F451" t="s">
        <v>1682</v>
      </c>
      <c r="G451" t="s">
        <v>1683</v>
      </c>
      <c r="H451" t="s">
        <v>33</v>
      </c>
      <c r="I451" t="s">
        <v>22</v>
      </c>
      <c r="J451" t="s">
        <v>1684</v>
      </c>
      <c r="K451" t="s">
        <v>35</v>
      </c>
      <c r="L451" t="s">
        <v>36</v>
      </c>
      <c r="M451" t="s">
        <v>1685</v>
      </c>
      <c r="N451" t="s">
        <v>79</v>
      </c>
      <c r="O451" t="s">
        <v>286</v>
      </c>
      <c r="P451">
        <v>205.33279999999999</v>
      </c>
    </row>
    <row r="452" spans="1:16">
      <c r="A452" s="4">
        <v>2016</v>
      </c>
      <c r="B452" s="4">
        <v>163055</v>
      </c>
      <c r="C452" t="s">
        <v>1686</v>
      </c>
      <c r="D452" t="s">
        <v>1687</v>
      </c>
      <c r="E452" t="s">
        <v>18</v>
      </c>
      <c r="F452" t="s">
        <v>1682</v>
      </c>
      <c r="G452" t="s">
        <v>1683</v>
      </c>
      <c r="H452" t="s">
        <v>33</v>
      </c>
      <c r="I452" t="s">
        <v>22</v>
      </c>
      <c r="J452" t="s">
        <v>879</v>
      </c>
      <c r="K452" t="s">
        <v>855</v>
      </c>
      <c r="L452" t="s">
        <v>36</v>
      </c>
      <c r="M452" t="s">
        <v>1688</v>
      </c>
      <c r="N452" t="s">
        <v>27</v>
      </c>
      <c r="O452" t="s">
        <v>28</v>
      </c>
      <c r="P452">
        <v>2.2000000000000002</v>
      </c>
    </row>
    <row r="453" spans="1:16">
      <c r="A453" s="4">
        <v>2016</v>
      </c>
      <c r="B453" s="4">
        <v>159863</v>
      </c>
      <c r="C453" t="s">
        <v>1689</v>
      </c>
      <c r="D453" t="s">
        <v>1214</v>
      </c>
      <c r="E453" t="s">
        <v>144</v>
      </c>
      <c r="F453" t="s">
        <v>1682</v>
      </c>
      <c r="G453" t="s">
        <v>1683</v>
      </c>
      <c r="H453" t="s">
        <v>33</v>
      </c>
      <c r="I453" t="s">
        <v>22</v>
      </c>
      <c r="J453" t="s">
        <v>183</v>
      </c>
      <c r="K453" t="s">
        <v>35</v>
      </c>
      <c r="L453" t="s">
        <v>36</v>
      </c>
      <c r="M453" t="s">
        <v>1690</v>
      </c>
      <c r="N453" t="s">
        <v>38</v>
      </c>
      <c r="O453" t="s">
        <v>68</v>
      </c>
      <c r="P453">
        <v>134.376</v>
      </c>
    </row>
    <row r="454" spans="1:16">
      <c r="A454" s="4">
        <v>2017</v>
      </c>
      <c r="B454" s="4">
        <v>127971</v>
      </c>
      <c r="C454" t="s">
        <v>339</v>
      </c>
      <c r="D454" t="s">
        <v>1452</v>
      </c>
      <c r="E454" t="s">
        <v>18</v>
      </c>
      <c r="F454" t="s">
        <v>1691</v>
      </c>
      <c r="G454" t="s">
        <v>1692</v>
      </c>
      <c r="H454" t="s">
        <v>21</v>
      </c>
      <c r="I454" t="s">
        <v>22</v>
      </c>
      <c r="J454" t="s">
        <v>183</v>
      </c>
      <c r="K454" t="s">
        <v>35</v>
      </c>
      <c r="L454" t="s">
        <v>36</v>
      </c>
      <c r="M454" t="s">
        <v>1693</v>
      </c>
      <c r="N454" t="s">
        <v>79</v>
      </c>
      <c r="O454" t="s">
        <v>138</v>
      </c>
      <c r="P454">
        <v>318.43</v>
      </c>
    </row>
    <row r="455" spans="1:16">
      <c r="A455" s="4">
        <v>2018</v>
      </c>
      <c r="B455" s="4">
        <v>165841</v>
      </c>
      <c r="C455" t="s">
        <v>375</v>
      </c>
      <c r="D455" t="s">
        <v>1316</v>
      </c>
      <c r="E455" t="s">
        <v>18</v>
      </c>
      <c r="F455" t="s">
        <v>1694</v>
      </c>
      <c r="G455" t="s">
        <v>1695</v>
      </c>
      <c r="H455" t="s">
        <v>33</v>
      </c>
      <c r="I455" t="s">
        <v>97</v>
      </c>
      <c r="J455" t="s">
        <v>1696</v>
      </c>
      <c r="K455" t="s">
        <v>869</v>
      </c>
      <c r="L455" t="s">
        <v>25</v>
      </c>
      <c r="M455" t="s">
        <v>1288</v>
      </c>
      <c r="N455" t="s">
        <v>38</v>
      </c>
      <c r="O455" t="s">
        <v>118</v>
      </c>
      <c r="P455">
        <v>281.97000000000003</v>
      </c>
    </row>
    <row r="456" spans="1:16">
      <c r="A456" s="4">
        <v>2017</v>
      </c>
      <c r="B456" s="4">
        <v>149370</v>
      </c>
      <c r="C456" t="s">
        <v>1697</v>
      </c>
      <c r="D456" t="s">
        <v>509</v>
      </c>
      <c r="E456" t="s">
        <v>18</v>
      </c>
      <c r="F456" t="s">
        <v>1694</v>
      </c>
      <c r="G456" t="s">
        <v>1695</v>
      </c>
      <c r="H456" t="s">
        <v>33</v>
      </c>
      <c r="I456" t="s">
        <v>97</v>
      </c>
      <c r="J456" t="s">
        <v>23</v>
      </c>
      <c r="K456" t="s">
        <v>24</v>
      </c>
      <c r="L456" t="s">
        <v>25</v>
      </c>
      <c r="M456" t="s">
        <v>1698</v>
      </c>
      <c r="N456" t="s">
        <v>27</v>
      </c>
      <c r="O456" t="s">
        <v>52</v>
      </c>
      <c r="P456">
        <v>5.3440000000000003</v>
      </c>
    </row>
    <row r="457" spans="1:16">
      <c r="A457" s="4">
        <v>2017</v>
      </c>
      <c r="B457" s="4">
        <v>162677</v>
      </c>
      <c r="C457" t="s">
        <v>1699</v>
      </c>
      <c r="D457" t="s">
        <v>1700</v>
      </c>
      <c r="E457" t="s">
        <v>42</v>
      </c>
      <c r="F457" t="s">
        <v>1694</v>
      </c>
      <c r="G457" t="s">
        <v>1695</v>
      </c>
      <c r="H457" t="s">
        <v>33</v>
      </c>
      <c r="I457" t="s">
        <v>97</v>
      </c>
      <c r="J457" t="s">
        <v>43</v>
      </c>
      <c r="K457" t="s">
        <v>44</v>
      </c>
      <c r="L457" t="s">
        <v>45</v>
      </c>
      <c r="M457" t="s">
        <v>1701</v>
      </c>
      <c r="N457" t="s">
        <v>27</v>
      </c>
      <c r="O457" t="s">
        <v>58</v>
      </c>
      <c r="P457">
        <v>67.64</v>
      </c>
    </row>
    <row r="458" spans="1:16">
      <c r="A458" s="4">
        <v>2018</v>
      </c>
      <c r="B458" s="4">
        <v>109960</v>
      </c>
      <c r="C458" t="s">
        <v>163</v>
      </c>
      <c r="D458" t="s">
        <v>1702</v>
      </c>
      <c r="E458" t="s">
        <v>144</v>
      </c>
      <c r="F458" t="s">
        <v>1694</v>
      </c>
      <c r="G458" t="s">
        <v>1695</v>
      </c>
      <c r="H458" t="s">
        <v>33</v>
      </c>
      <c r="I458" t="s">
        <v>97</v>
      </c>
      <c r="J458" t="s">
        <v>879</v>
      </c>
      <c r="K458" t="s">
        <v>855</v>
      </c>
      <c r="L458" t="s">
        <v>36</v>
      </c>
      <c r="M458" t="s">
        <v>1703</v>
      </c>
      <c r="N458" t="s">
        <v>38</v>
      </c>
      <c r="O458" t="s">
        <v>68</v>
      </c>
      <c r="P458">
        <v>104.88</v>
      </c>
    </row>
    <row r="459" spans="1:16">
      <c r="A459" s="4">
        <v>2018</v>
      </c>
      <c r="B459" s="4">
        <v>100650</v>
      </c>
      <c r="C459" t="s">
        <v>494</v>
      </c>
      <c r="D459" t="s">
        <v>1254</v>
      </c>
      <c r="E459" t="s">
        <v>144</v>
      </c>
      <c r="F459" t="s">
        <v>1704</v>
      </c>
      <c r="G459" t="s">
        <v>1705</v>
      </c>
      <c r="H459" t="s">
        <v>33</v>
      </c>
      <c r="I459" t="s">
        <v>22</v>
      </c>
      <c r="J459" t="s">
        <v>959</v>
      </c>
      <c r="K459" t="s">
        <v>65</v>
      </c>
      <c r="L459" t="s">
        <v>66</v>
      </c>
      <c r="M459" t="s">
        <v>1706</v>
      </c>
      <c r="N459" t="s">
        <v>27</v>
      </c>
      <c r="O459" t="s">
        <v>58</v>
      </c>
      <c r="P459">
        <v>1295.78</v>
      </c>
    </row>
    <row r="460" spans="1:16">
      <c r="A460" s="4">
        <v>2018</v>
      </c>
      <c r="B460" s="4">
        <v>105480</v>
      </c>
      <c r="C460" t="s">
        <v>1707</v>
      </c>
      <c r="D460" t="s">
        <v>1708</v>
      </c>
      <c r="E460" t="s">
        <v>18</v>
      </c>
      <c r="F460" t="s">
        <v>1704</v>
      </c>
      <c r="G460" t="s">
        <v>1705</v>
      </c>
      <c r="H460" t="s">
        <v>33</v>
      </c>
      <c r="I460" t="s">
        <v>22</v>
      </c>
      <c r="J460" t="s">
        <v>663</v>
      </c>
      <c r="K460" t="s">
        <v>50</v>
      </c>
      <c r="L460" t="s">
        <v>25</v>
      </c>
      <c r="M460" t="s">
        <v>1709</v>
      </c>
      <c r="N460" t="s">
        <v>27</v>
      </c>
      <c r="O460" t="s">
        <v>52</v>
      </c>
      <c r="P460">
        <v>6.48</v>
      </c>
    </row>
    <row r="461" spans="1:16">
      <c r="A461" s="4">
        <v>2016</v>
      </c>
      <c r="B461" s="4">
        <v>122756</v>
      </c>
      <c r="C461" t="s">
        <v>871</v>
      </c>
      <c r="D461" t="s">
        <v>872</v>
      </c>
      <c r="E461" t="s">
        <v>18</v>
      </c>
      <c r="F461" t="s">
        <v>1704</v>
      </c>
      <c r="G461" t="s">
        <v>1705</v>
      </c>
      <c r="H461" t="s">
        <v>33</v>
      </c>
      <c r="I461" t="s">
        <v>22</v>
      </c>
      <c r="J461" t="s">
        <v>23</v>
      </c>
      <c r="K461" t="s">
        <v>24</v>
      </c>
      <c r="L461" t="s">
        <v>25</v>
      </c>
      <c r="M461" t="s">
        <v>1710</v>
      </c>
      <c r="N461" t="s">
        <v>38</v>
      </c>
      <c r="O461" t="s">
        <v>39</v>
      </c>
      <c r="P461">
        <v>482.34</v>
      </c>
    </row>
    <row r="462" spans="1:16">
      <c r="A462" s="4">
        <v>2018</v>
      </c>
      <c r="B462" s="4">
        <v>163692</v>
      </c>
      <c r="C462" t="s">
        <v>475</v>
      </c>
      <c r="D462" t="s">
        <v>591</v>
      </c>
      <c r="E462" t="s">
        <v>42</v>
      </c>
      <c r="F462" t="s">
        <v>1711</v>
      </c>
      <c r="G462" t="s">
        <v>1712</v>
      </c>
      <c r="H462" t="s">
        <v>33</v>
      </c>
      <c r="I462" t="s">
        <v>63</v>
      </c>
      <c r="J462" t="s">
        <v>1713</v>
      </c>
      <c r="K462" t="s">
        <v>136</v>
      </c>
      <c r="L462" t="s">
        <v>66</v>
      </c>
      <c r="M462" t="s">
        <v>1714</v>
      </c>
      <c r="N462" t="s">
        <v>27</v>
      </c>
      <c r="O462" t="s">
        <v>101</v>
      </c>
      <c r="P462">
        <v>7.8570000000000002</v>
      </c>
    </row>
    <row r="463" spans="1:16">
      <c r="A463" s="4">
        <v>2016</v>
      </c>
      <c r="B463" s="4">
        <v>169796</v>
      </c>
      <c r="C463" t="s">
        <v>93</v>
      </c>
      <c r="D463" t="s">
        <v>1715</v>
      </c>
      <c r="E463" t="s">
        <v>18</v>
      </c>
      <c r="F463" t="s">
        <v>1711</v>
      </c>
      <c r="G463" t="s">
        <v>1712</v>
      </c>
      <c r="H463" t="s">
        <v>33</v>
      </c>
      <c r="I463" t="s">
        <v>63</v>
      </c>
      <c r="J463" t="s">
        <v>49</v>
      </c>
      <c r="K463" t="s">
        <v>50</v>
      </c>
      <c r="L463" t="s">
        <v>25</v>
      </c>
      <c r="M463" t="s">
        <v>1716</v>
      </c>
      <c r="N463" t="s">
        <v>38</v>
      </c>
      <c r="O463" t="s">
        <v>39</v>
      </c>
      <c r="P463">
        <v>2321.9</v>
      </c>
    </row>
    <row r="464" spans="1:16">
      <c r="A464" s="4">
        <v>2016</v>
      </c>
      <c r="B464" s="4">
        <v>142601</v>
      </c>
      <c r="C464" t="s">
        <v>1606</v>
      </c>
      <c r="D464" t="s">
        <v>1717</v>
      </c>
      <c r="E464" t="s">
        <v>144</v>
      </c>
      <c r="F464" t="s">
        <v>1718</v>
      </c>
      <c r="G464" t="s">
        <v>1719</v>
      </c>
      <c r="H464" t="s">
        <v>33</v>
      </c>
      <c r="I464" t="s">
        <v>63</v>
      </c>
      <c r="J464" t="s">
        <v>64</v>
      </c>
      <c r="K464" t="s">
        <v>65</v>
      </c>
      <c r="L464" t="s">
        <v>66</v>
      </c>
      <c r="M464" t="s">
        <v>1720</v>
      </c>
      <c r="N464" t="s">
        <v>27</v>
      </c>
      <c r="O464" t="s">
        <v>58</v>
      </c>
      <c r="P464">
        <v>947.17</v>
      </c>
    </row>
    <row r="465" spans="1:16">
      <c r="A465" s="4">
        <v>2016</v>
      </c>
      <c r="B465" s="4">
        <v>153381</v>
      </c>
      <c r="C465" t="s">
        <v>1721</v>
      </c>
      <c r="D465" t="s">
        <v>1722</v>
      </c>
      <c r="E465" t="s">
        <v>18</v>
      </c>
      <c r="F465" t="s">
        <v>1718</v>
      </c>
      <c r="G465" t="s">
        <v>1719</v>
      </c>
      <c r="H465" t="s">
        <v>33</v>
      </c>
      <c r="I465" t="s">
        <v>63</v>
      </c>
      <c r="J465" t="s">
        <v>1723</v>
      </c>
      <c r="K465" t="s">
        <v>797</v>
      </c>
      <c r="L465" t="s">
        <v>36</v>
      </c>
      <c r="M465" t="s">
        <v>1724</v>
      </c>
      <c r="N465" t="s">
        <v>27</v>
      </c>
      <c r="O465" t="s">
        <v>101</v>
      </c>
      <c r="P465">
        <v>15.24</v>
      </c>
    </row>
    <row r="466" spans="1:16">
      <c r="A466" s="4">
        <v>2017</v>
      </c>
      <c r="B466" s="4">
        <v>126529</v>
      </c>
      <c r="C466" t="s">
        <v>1725</v>
      </c>
      <c r="D466" t="s">
        <v>1726</v>
      </c>
      <c r="E466" t="s">
        <v>144</v>
      </c>
      <c r="F466" t="s">
        <v>1718</v>
      </c>
      <c r="G466" t="s">
        <v>1719</v>
      </c>
      <c r="H466" t="s">
        <v>33</v>
      </c>
      <c r="I466" t="s">
        <v>63</v>
      </c>
      <c r="J466" t="s">
        <v>98</v>
      </c>
      <c r="K466" t="s">
        <v>237</v>
      </c>
      <c r="L466" t="s">
        <v>25</v>
      </c>
      <c r="M466" t="s">
        <v>1727</v>
      </c>
      <c r="N466" t="s">
        <v>27</v>
      </c>
      <c r="O466" t="s">
        <v>52</v>
      </c>
      <c r="P466">
        <v>15.552</v>
      </c>
    </row>
    <row r="467" spans="1:16">
      <c r="A467" s="4">
        <v>2015</v>
      </c>
      <c r="B467" s="4">
        <v>107181</v>
      </c>
      <c r="C467" t="s">
        <v>1728</v>
      </c>
      <c r="D467" t="s">
        <v>1729</v>
      </c>
      <c r="E467" t="s">
        <v>18</v>
      </c>
      <c r="F467" t="s">
        <v>1730</v>
      </c>
      <c r="G467" t="s">
        <v>1731</v>
      </c>
      <c r="H467" t="s">
        <v>33</v>
      </c>
      <c r="I467" t="s">
        <v>63</v>
      </c>
      <c r="J467" t="s">
        <v>630</v>
      </c>
      <c r="K467" t="s">
        <v>65</v>
      </c>
      <c r="L467" t="s">
        <v>66</v>
      </c>
      <c r="M467" t="s">
        <v>1732</v>
      </c>
      <c r="N467" t="s">
        <v>27</v>
      </c>
      <c r="O467" t="s">
        <v>101</v>
      </c>
      <c r="P467">
        <v>82.896000000000001</v>
      </c>
    </row>
    <row r="468" spans="1:16">
      <c r="A468" s="4">
        <v>2017</v>
      </c>
      <c r="B468" s="4">
        <v>143609</v>
      </c>
      <c r="C468" t="s">
        <v>572</v>
      </c>
      <c r="D468" t="s">
        <v>1733</v>
      </c>
      <c r="E468" t="s">
        <v>42</v>
      </c>
      <c r="F468" t="s">
        <v>1730</v>
      </c>
      <c r="G468" t="s">
        <v>1731</v>
      </c>
      <c r="H468" t="s">
        <v>33</v>
      </c>
      <c r="I468" t="s">
        <v>63</v>
      </c>
      <c r="J468" t="s">
        <v>1734</v>
      </c>
      <c r="K468" t="s">
        <v>323</v>
      </c>
      <c r="L468" t="s">
        <v>66</v>
      </c>
      <c r="M468" t="s">
        <v>1735</v>
      </c>
      <c r="N468" t="s">
        <v>79</v>
      </c>
      <c r="O468" t="s">
        <v>138</v>
      </c>
      <c r="P468">
        <v>403.92</v>
      </c>
    </row>
    <row r="469" spans="1:16">
      <c r="A469" s="4">
        <v>2018</v>
      </c>
      <c r="B469" s="4">
        <v>122504</v>
      </c>
      <c r="C469" t="s">
        <v>199</v>
      </c>
      <c r="D469" t="s">
        <v>976</v>
      </c>
      <c r="E469" t="s">
        <v>144</v>
      </c>
      <c r="F469" t="s">
        <v>1730</v>
      </c>
      <c r="G469" t="s">
        <v>1731</v>
      </c>
      <c r="H469" t="s">
        <v>33</v>
      </c>
      <c r="I469" t="s">
        <v>63</v>
      </c>
      <c r="J469" t="s">
        <v>210</v>
      </c>
      <c r="K469" t="s">
        <v>65</v>
      </c>
      <c r="L469" t="s">
        <v>66</v>
      </c>
      <c r="M469" t="s">
        <v>1736</v>
      </c>
      <c r="N469" t="s">
        <v>38</v>
      </c>
      <c r="O469" t="s">
        <v>68</v>
      </c>
      <c r="P469">
        <v>59.97</v>
      </c>
    </row>
    <row r="470" spans="1:16">
      <c r="A470" s="4">
        <v>2018</v>
      </c>
      <c r="B470" s="4">
        <v>104003</v>
      </c>
      <c r="C470" t="s">
        <v>1737</v>
      </c>
      <c r="D470" t="s">
        <v>398</v>
      </c>
      <c r="E470" t="s">
        <v>18</v>
      </c>
      <c r="F470" t="s">
        <v>1738</v>
      </c>
      <c r="G470" t="s">
        <v>1739</v>
      </c>
      <c r="H470" t="s">
        <v>33</v>
      </c>
      <c r="I470" t="s">
        <v>97</v>
      </c>
      <c r="J470" t="s">
        <v>226</v>
      </c>
      <c r="K470" t="s">
        <v>65</v>
      </c>
      <c r="L470" t="s">
        <v>66</v>
      </c>
      <c r="M470" t="s">
        <v>1740</v>
      </c>
      <c r="N470" t="s">
        <v>79</v>
      </c>
      <c r="O470" t="s">
        <v>286</v>
      </c>
      <c r="P470">
        <v>307.666</v>
      </c>
    </row>
    <row r="471" spans="1:16">
      <c r="A471" s="4">
        <v>2015</v>
      </c>
      <c r="B471" s="4">
        <v>106803</v>
      </c>
      <c r="C471" t="s">
        <v>569</v>
      </c>
      <c r="D471" t="s">
        <v>570</v>
      </c>
      <c r="E471" t="s">
        <v>18</v>
      </c>
      <c r="F471" t="s">
        <v>1738</v>
      </c>
      <c r="G471" t="s">
        <v>1739</v>
      </c>
      <c r="H471" t="s">
        <v>33</v>
      </c>
      <c r="I471" t="s">
        <v>97</v>
      </c>
      <c r="J471" t="s">
        <v>1741</v>
      </c>
      <c r="K471" t="s">
        <v>372</v>
      </c>
      <c r="L471" t="s">
        <v>36</v>
      </c>
      <c r="M471" t="s">
        <v>1742</v>
      </c>
      <c r="N471" t="s">
        <v>27</v>
      </c>
      <c r="O471" t="s">
        <v>58</v>
      </c>
      <c r="P471">
        <v>24.56</v>
      </c>
    </row>
    <row r="472" spans="1:16">
      <c r="A472" s="4">
        <v>2017</v>
      </c>
      <c r="B472" s="4">
        <v>137736</v>
      </c>
      <c r="C472" t="s">
        <v>277</v>
      </c>
      <c r="D472" t="s">
        <v>1743</v>
      </c>
      <c r="E472" t="s">
        <v>18</v>
      </c>
      <c r="F472" t="s">
        <v>1738</v>
      </c>
      <c r="G472" t="s">
        <v>1739</v>
      </c>
      <c r="H472" t="s">
        <v>33</v>
      </c>
      <c r="I472" t="s">
        <v>97</v>
      </c>
      <c r="J472" t="s">
        <v>1744</v>
      </c>
      <c r="K472" t="s">
        <v>86</v>
      </c>
      <c r="L472" t="s">
        <v>45</v>
      </c>
      <c r="M472" t="s">
        <v>1745</v>
      </c>
      <c r="N472" t="s">
        <v>27</v>
      </c>
      <c r="O472" t="s">
        <v>28</v>
      </c>
      <c r="P472">
        <v>41.86</v>
      </c>
    </row>
    <row r="473" spans="1:16">
      <c r="A473" s="4">
        <v>2018</v>
      </c>
      <c r="B473" s="4">
        <v>136189</v>
      </c>
      <c r="C473" t="s">
        <v>1746</v>
      </c>
      <c r="D473" t="s">
        <v>1702</v>
      </c>
      <c r="E473" t="s">
        <v>18</v>
      </c>
      <c r="F473" t="s">
        <v>1738</v>
      </c>
      <c r="G473" t="s">
        <v>1739</v>
      </c>
      <c r="H473" t="s">
        <v>33</v>
      </c>
      <c r="I473" t="s">
        <v>97</v>
      </c>
      <c r="J473" t="s">
        <v>1011</v>
      </c>
      <c r="K473" t="s">
        <v>56</v>
      </c>
      <c r="L473" t="s">
        <v>45</v>
      </c>
      <c r="M473" t="s">
        <v>1747</v>
      </c>
      <c r="N473" t="s">
        <v>79</v>
      </c>
      <c r="O473" t="s">
        <v>80</v>
      </c>
      <c r="P473">
        <v>82.38</v>
      </c>
    </row>
    <row r="474" spans="1:16">
      <c r="A474" s="4">
        <v>2016</v>
      </c>
      <c r="B474" s="4">
        <v>153500</v>
      </c>
      <c r="C474" t="s">
        <v>1007</v>
      </c>
      <c r="D474" t="s">
        <v>670</v>
      </c>
      <c r="E474" t="s">
        <v>42</v>
      </c>
      <c r="F474" t="s">
        <v>1748</v>
      </c>
      <c r="G474" t="s">
        <v>1749</v>
      </c>
      <c r="H474" t="s">
        <v>33</v>
      </c>
      <c r="I474" t="s">
        <v>22</v>
      </c>
      <c r="J474" t="s">
        <v>23</v>
      </c>
      <c r="K474" t="s">
        <v>24</v>
      </c>
      <c r="L474" t="s">
        <v>25</v>
      </c>
      <c r="M474" t="s">
        <v>1750</v>
      </c>
      <c r="N474" t="s">
        <v>79</v>
      </c>
      <c r="O474" t="s">
        <v>80</v>
      </c>
      <c r="P474">
        <v>168.464</v>
      </c>
    </row>
    <row r="475" spans="1:16">
      <c r="A475" s="4">
        <v>2018</v>
      </c>
      <c r="B475" s="4">
        <v>123372</v>
      </c>
      <c r="C475" t="s">
        <v>1751</v>
      </c>
      <c r="D475" t="s">
        <v>102</v>
      </c>
      <c r="E475" t="s">
        <v>18</v>
      </c>
      <c r="F475" t="s">
        <v>1748</v>
      </c>
      <c r="G475" t="s">
        <v>1749</v>
      </c>
      <c r="H475" t="s">
        <v>33</v>
      </c>
      <c r="I475" t="s">
        <v>22</v>
      </c>
      <c r="J475" t="s">
        <v>49</v>
      </c>
      <c r="K475" t="s">
        <v>50</v>
      </c>
      <c r="L475" t="s">
        <v>25</v>
      </c>
      <c r="M475" t="s">
        <v>1752</v>
      </c>
      <c r="N475" t="s">
        <v>38</v>
      </c>
      <c r="O475" t="s">
        <v>118</v>
      </c>
      <c r="P475">
        <v>1979.89</v>
      </c>
    </row>
    <row r="476" spans="1:16">
      <c r="A476" s="4">
        <v>2017</v>
      </c>
      <c r="B476" s="4">
        <v>146941</v>
      </c>
      <c r="C476" t="s">
        <v>1753</v>
      </c>
      <c r="D476" t="s">
        <v>1733</v>
      </c>
      <c r="E476" t="s">
        <v>42</v>
      </c>
      <c r="F476" t="s">
        <v>1754</v>
      </c>
      <c r="G476" t="s">
        <v>1755</v>
      </c>
      <c r="H476" t="s">
        <v>33</v>
      </c>
      <c r="I476" t="s">
        <v>97</v>
      </c>
      <c r="J476" t="s">
        <v>49</v>
      </c>
      <c r="K476" t="s">
        <v>50</v>
      </c>
      <c r="L476" t="s">
        <v>25</v>
      </c>
      <c r="M476" t="s">
        <v>1756</v>
      </c>
      <c r="N476" t="s">
        <v>27</v>
      </c>
      <c r="O476" t="s">
        <v>58</v>
      </c>
      <c r="P476">
        <v>80.58</v>
      </c>
    </row>
    <row r="477" spans="1:16">
      <c r="A477" s="4">
        <v>2015</v>
      </c>
      <c r="B477" s="4">
        <v>115791</v>
      </c>
      <c r="C477" t="s">
        <v>1757</v>
      </c>
      <c r="D477" t="s">
        <v>1758</v>
      </c>
      <c r="E477" t="s">
        <v>144</v>
      </c>
      <c r="F477" t="s">
        <v>1754</v>
      </c>
      <c r="G477" t="s">
        <v>1755</v>
      </c>
      <c r="H477" t="s">
        <v>33</v>
      </c>
      <c r="I477" t="s">
        <v>97</v>
      </c>
      <c r="J477" t="s">
        <v>23</v>
      </c>
      <c r="K477" t="s">
        <v>24</v>
      </c>
      <c r="L477" t="s">
        <v>25</v>
      </c>
      <c r="M477" t="s">
        <v>1759</v>
      </c>
      <c r="N477" t="s">
        <v>79</v>
      </c>
      <c r="O477" t="s">
        <v>80</v>
      </c>
      <c r="P477">
        <v>127.104</v>
      </c>
    </row>
    <row r="478" spans="1:16">
      <c r="A478" s="4">
        <v>2018</v>
      </c>
      <c r="B478" s="4">
        <v>145226</v>
      </c>
      <c r="C478" t="s">
        <v>224</v>
      </c>
      <c r="D478" t="s">
        <v>299</v>
      </c>
      <c r="E478" t="s">
        <v>144</v>
      </c>
      <c r="F478" t="s">
        <v>1754</v>
      </c>
      <c r="G478" t="s">
        <v>1755</v>
      </c>
      <c r="H478" t="s">
        <v>33</v>
      </c>
      <c r="I478" t="s">
        <v>97</v>
      </c>
      <c r="J478" t="s">
        <v>49</v>
      </c>
      <c r="K478" t="s">
        <v>50</v>
      </c>
      <c r="L478" t="s">
        <v>25</v>
      </c>
      <c r="M478" t="s">
        <v>1760</v>
      </c>
      <c r="N478" t="s">
        <v>79</v>
      </c>
      <c r="O478" t="s">
        <v>80</v>
      </c>
      <c r="P478">
        <v>109.48</v>
      </c>
    </row>
    <row r="479" spans="1:16">
      <c r="A479" s="4">
        <v>2018</v>
      </c>
      <c r="B479" s="4">
        <v>155159</v>
      </c>
      <c r="C479" t="s">
        <v>784</v>
      </c>
      <c r="D479" t="s">
        <v>914</v>
      </c>
      <c r="E479" t="s">
        <v>144</v>
      </c>
      <c r="F479" t="s">
        <v>1754</v>
      </c>
      <c r="G479" t="s">
        <v>1755</v>
      </c>
      <c r="H479" t="s">
        <v>33</v>
      </c>
      <c r="I479" t="s">
        <v>97</v>
      </c>
      <c r="J479" t="s">
        <v>85</v>
      </c>
      <c r="K479" t="s">
        <v>86</v>
      </c>
      <c r="L479" t="s">
        <v>45</v>
      </c>
      <c r="M479" t="s">
        <v>1761</v>
      </c>
      <c r="N479" t="s">
        <v>27</v>
      </c>
      <c r="O479" t="s">
        <v>52</v>
      </c>
      <c r="P479">
        <v>48.87</v>
      </c>
    </row>
    <row r="480" spans="1:16">
      <c r="A480" s="4">
        <v>2015</v>
      </c>
      <c r="B480" s="4">
        <v>108182</v>
      </c>
      <c r="C480" t="s">
        <v>1505</v>
      </c>
      <c r="D480" t="s">
        <v>1762</v>
      </c>
      <c r="E480" t="s">
        <v>144</v>
      </c>
      <c r="F480" t="s">
        <v>1754</v>
      </c>
      <c r="G480" t="s">
        <v>1755</v>
      </c>
      <c r="H480" t="s">
        <v>33</v>
      </c>
      <c r="I480" t="s">
        <v>97</v>
      </c>
      <c r="J480" t="s">
        <v>1763</v>
      </c>
      <c r="K480" t="s">
        <v>109</v>
      </c>
      <c r="L480" t="s">
        <v>36</v>
      </c>
      <c r="M480" t="s">
        <v>1764</v>
      </c>
      <c r="N480" t="s">
        <v>27</v>
      </c>
      <c r="O480" t="s">
        <v>101</v>
      </c>
      <c r="P480">
        <v>8.952</v>
      </c>
    </row>
    <row r="481" spans="1:16">
      <c r="A481" s="4">
        <v>2015</v>
      </c>
      <c r="B481" s="4">
        <v>130358</v>
      </c>
      <c r="C481" t="s">
        <v>1765</v>
      </c>
      <c r="D481" t="s">
        <v>1766</v>
      </c>
      <c r="E481" t="s">
        <v>42</v>
      </c>
      <c r="F481" t="s">
        <v>1767</v>
      </c>
      <c r="G481" t="s">
        <v>1768</v>
      </c>
      <c r="H481" t="s">
        <v>21</v>
      </c>
      <c r="I481" t="s">
        <v>97</v>
      </c>
      <c r="J481" t="s">
        <v>71</v>
      </c>
      <c r="K481" t="s">
        <v>44</v>
      </c>
      <c r="L481" t="s">
        <v>45</v>
      </c>
      <c r="M481" t="s">
        <v>1769</v>
      </c>
      <c r="N481" t="s">
        <v>27</v>
      </c>
      <c r="O481" t="s">
        <v>28</v>
      </c>
      <c r="P481">
        <v>20.015999999999998</v>
      </c>
    </row>
    <row r="482" spans="1:16">
      <c r="A482" s="4">
        <v>2018</v>
      </c>
      <c r="B482" s="4">
        <v>108854</v>
      </c>
      <c r="C482" t="s">
        <v>224</v>
      </c>
      <c r="D482" t="s">
        <v>432</v>
      </c>
      <c r="E482" t="s">
        <v>18</v>
      </c>
      <c r="F482" t="s">
        <v>1770</v>
      </c>
      <c r="G482" t="s">
        <v>1771</v>
      </c>
      <c r="H482" t="s">
        <v>33</v>
      </c>
      <c r="I482" t="s">
        <v>22</v>
      </c>
      <c r="J482" t="s">
        <v>226</v>
      </c>
      <c r="K482" t="s">
        <v>65</v>
      </c>
      <c r="L482" t="s">
        <v>66</v>
      </c>
      <c r="M482" t="s">
        <v>1772</v>
      </c>
      <c r="N482" t="s">
        <v>27</v>
      </c>
      <c r="O482" t="s">
        <v>52</v>
      </c>
      <c r="P482">
        <v>87.92</v>
      </c>
    </row>
    <row r="483" spans="1:16">
      <c r="A483" s="4">
        <v>2018</v>
      </c>
      <c r="B483" s="4">
        <v>157854</v>
      </c>
      <c r="C483" t="s">
        <v>1773</v>
      </c>
      <c r="D483" t="s">
        <v>88</v>
      </c>
      <c r="E483" t="s">
        <v>18</v>
      </c>
      <c r="F483" t="s">
        <v>1770</v>
      </c>
      <c r="G483" t="s">
        <v>1771</v>
      </c>
      <c r="H483" t="s">
        <v>33</v>
      </c>
      <c r="I483" t="s">
        <v>22</v>
      </c>
      <c r="J483" t="s">
        <v>1774</v>
      </c>
      <c r="K483" t="s">
        <v>86</v>
      </c>
      <c r="L483" t="s">
        <v>45</v>
      </c>
      <c r="M483" t="s">
        <v>1775</v>
      </c>
      <c r="N483" t="s">
        <v>79</v>
      </c>
      <c r="O483" t="s">
        <v>80</v>
      </c>
      <c r="P483">
        <v>56.28</v>
      </c>
    </row>
    <row r="484" spans="1:16">
      <c r="A484" s="4">
        <v>2017</v>
      </c>
      <c r="B484" s="4">
        <v>139556</v>
      </c>
      <c r="C484" t="s">
        <v>1776</v>
      </c>
      <c r="D484" t="s">
        <v>1265</v>
      </c>
      <c r="E484" t="s">
        <v>18</v>
      </c>
      <c r="F484" t="s">
        <v>1777</v>
      </c>
      <c r="G484" t="s">
        <v>1778</v>
      </c>
      <c r="H484" t="s">
        <v>21</v>
      </c>
      <c r="I484" t="s">
        <v>63</v>
      </c>
      <c r="J484" t="s">
        <v>49</v>
      </c>
      <c r="K484" t="s">
        <v>50</v>
      </c>
      <c r="L484" t="s">
        <v>25</v>
      </c>
      <c r="M484" t="s">
        <v>1185</v>
      </c>
      <c r="N484" t="s">
        <v>79</v>
      </c>
      <c r="O484" t="s">
        <v>138</v>
      </c>
      <c r="P484">
        <v>434.64600000000002</v>
      </c>
    </row>
    <row r="485" spans="1:16">
      <c r="A485" s="4">
        <v>2018</v>
      </c>
      <c r="B485" s="4">
        <v>165099</v>
      </c>
      <c r="C485" t="s">
        <v>1702</v>
      </c>
      <c r="D485" t="s">
        <v>1294</v>
      </c>
      <c r="E485" t="s">
        <v>42</v>
      </c>
      <c r="F485" t="s">
        <v>1779</v>
      </c>
      <c r="G485" t="s">
        <v>1780</v>
      </c>
      <c r="H485" t="s">
        <v>33</v>
      </c>
      <c r="I485" t="s">
        <v>97</v>
      </c>
      <c r="J485" t="s">
        <v>1781</v>
      </c>
      <c r="K485" t="s">
        <v>35</v>
      </c>
      <c r="L485" t="s">
        <v>36</v>
      </c>
      <c r="M485" t="s">
        <v>1782</v>
      </c>
      <c r="N485" t="s">
        <v>27</v>
      </c>
      <c r="O485" t="s">
        <v>228</v>
      </c>
      <c r="P485">
        <v>1.3919999999999999</v>
      </c>
    </row>
    <row r="486" spans="1:16">
      <c r="A486" s="4">
        <v>2016</v>
      </c>
      <c r="B486" s="4">
        <v>131884</v>
      </c>
      <c r="C486" t="s">
        <v>603</v>
      </c>
      <c r="D486" t="s">
        <v>603</v>
      </c>
      <c r="E486" t="s">
        <v>132</v>
      </c>
      <c r="F486" t="s">
        <v>1779</v>
      </c>
      <c r="G486" t="s">
        <v>1780</v>
      </c>
      <c r="H486" t="s">
        <v>33</v>
      </c>
      <c r="I486" t="s">
        <v>97</v>
      </c>
      <c r="J486" t="s">
        <v>1783</v>
      </c>
      <c r="K486" t="s">
        <v>237</v>
      </c>
      <c r="L486" t="s">
        <v>25</v>
      </c>
      <c r="M486" t="s">
        <v>1784</v>
      </c>
      <c r="N486" t="s">
        <v>38</v>
      </c>
      <c r="O486" t="s">
        <v>118</v>
      </c>
      <c r="P486">
        <v>485.94</v>
      </c>
    </row>
    <row r="487" spans="1:16">
      <c r="A487" s="4">
        <v>2016</v>
      </c>
      <c r="B487" s="4">
        <v>145065</v>
      </c>
      <c r="C487" t="s">
        <v>1785</v>
      </c>
      <c r="D487" t="s">
        <v>1786</v>
      </c>
      <c r="E487" t="s">
        <v>42</v>
      </c>
      <c r="F487" t="s">
        <v>1779</v>
      </c>
      <c r="G487" t="s">
        <v>1780</v>
      </c>
      <c r="H487" t="s">
        <v>33</v>
      </c>
      <c r="I487" t="s">
        <v>97</v>
      </c>
      <c r="J487" t="s">
        <v>630</v>
      </c>
      <c r="K487" t="s">
        <v>65</v>
      </c>
      <c r="L487" t="s">
        <v>66</v>
      </c>
      <c r="M487" t="s">
        <v>1787</v>
      </c>
      <c r="N487" t="s">
        <v>27</v>
      </c>
      <c r="O487" t="s">
        <v>452</v>
      </c>
      <c r="P487">
        <v>7.86</v>
      </c>
    </row>
    <row r="488" spans="1:16">
      <c r="A488" s="4">
        <v>2015</v>
      </c>
      <c r="B488" s="4">
        <v>100006</v>
      </c>
      <c r="C488" t="s">
        <v>416</v>
      </c>
      <c r="D488" t="s">
        <v>1543</v>
      </c>
      <c r="E488" t="s">
        <v>18</v>
      </c>
      <c r="F488" t="s">
        <v>1779</v>
      </c>
      <c r="G488" t="s">
        <v>1780</v>
      </c>
      <c r="H488" t="s">
        <v>33</v>
      </c>
      <c r="I488" t="s">
        <v>97</v>
      </c>
      <c r="J488" t="s">
        <v>49</v>
      </c>
      <c r="K488" t="s">
        <v>50</v>
      </c>
      <c r="L488" t="s">
        <v>25</v>
      </c>
      <c r="M488" t="s">
        <v>1788</v>
      </c>
      <c r="N488" t="s">
        <v>38</v>
      </c>
      <c r="O488" t="s">
        <v>118</v>
      </c>
      <c r="P488">
        <v>377.97</v>
      </c>
    </row>
    <row r="489" spans="1:16">
      <c r="A489" s="4">
        <v>2015</v>
      </c>
      <c r="B489" s="4">
        <v>168592</v>
      </c>
      <c r="C489" t="s">
        <v>734</v>
      </c>
      <c r="D489" t="s">
        <v>661</v>
      </c>
      <c r="E489" t="s">
        <v>18</v>
      </c>
      <c r="F489" t="s">
        <v>1789</v>
      </c>
      <c r="G489" t="s">
        <v>1790</v>
      </c>
      <c r="H489" t="s">
        <v>33</v>
      </c>
      <c r="I489" t="s">
        <v>63</v>
      </c>
      <c r="J489" t="s">
        <v>226</v>
      </c>
      <c r="K489" t="s">
        <v>65</v>
      </c>
      <c r="L489" t="s">
        <v>66</v>
      </c>
      <c r="M489" t="s">
        <v>1791</v>
      </c>
      <c r="N489" t="s">
        <v>27</v>
      </c>
      <c r="O489" t="s">
        <v>228</v>
      </c>
      <c r="P489">
        <v>56.65</v>
      </c>
    </row>
    <row r="490" spans="1:16">
      <c r="A490" s="4">
        <v>2016</v>
      </c>
      <c r="B490" s="4">
        <v>118423</v>
      </c>
      <c r="C490" t="s">
        <v>1792</v>
      </c>
      <c r="D490" t="s">
        <v>1793</v>
      </c>
      <c r="E490" t="s">
        <v>42</v>
      </c>
      <c r="F490" t="s">
        <v>1789</v>
      </c>
      <c r="G490" t="s">
        <v>1790</v>
      </c>
      <c r="H490" t="s">
        <v>33</v>
      </c>
      <c r="I490" t="s">
        <v>63</v>
      </c>
      <c r="J490" t="s">
        <v>396</v>
      </c>
      <c r="K490" t="s">
        <v>109</v>
      </c>
      <c r="L490" t="s">
        <v>36</v>
      </c>
      <c r="M490" t="s">
        <v>1794</v>
      </c>
      <c r="N490" t="s">
        <v>79</v>
      </c>
      <c r="O490" t="s">
        <v>286</v>
      </c>
      <c r="P490">
        <v>359.05799999999999</v>
      </c>
    </row>
    <row r="491" spans="1:16">
      <c r="A491" s="4">
        <v>2018</v>
      </c>
      <c r="B491" s="4">
        <v>140949</v>
      </c>
      <c r="C491" t="s">
        <v>1408</v>
      </c>
      <c r="D491" t="s">
        <v>1795</v>
      </c>
      <c r="E491" t="s">
        <v>144</v>
      </c>
      <c r="F491" t="s">
        <v>1796</v>
      </c>
      <c r="G491" t="s">
        <v>1797</v>
      </c>
      <c r="H491" t="s">
        <v>21</v>
      </c>
      <c r="I491" t="s">
        <v>97</v>
      </c>
      <c r="J491" t="s">
        <v>49</v>
      </c>
      <c r="K491" t="s">
        <v>50</v>
      </c>
      <c r="L491" t="s">
        <v>25</v>
      </c>
      <c r="M491" t="s">
        <v>1798</v>
      </c>
      <c r="N491" t="s">
        <v>27</v>
      </c>
      <c r="O491" t="s">
        <v>111</v>
      </c>
      <c r="P491">
        <v>18.75</v>
      </c>
    </row>
    <row r="492" spans="1:16">
      <c r="A492" s="4">
        <v>2016</v>
      </c>
      <c r="B492" s="4">
        <v>168004</v>
      </c>
      <c r="C492" t="s">
        <v>293</v>
      </c>
      <c r="D492" t="s">
        <v>1650</v>
      </c>
      <c r="E492" t="s">
        <v>144</v>
      </c>
      <c r="F492" t="s">
        <v>1799</v>
      </c>
      <c r="G492" t="s">
        <v>1800</v>
      </c>
      <c r="H492" t="s">
        <v>21</v>
      </c>
      <c r="I492" t="s">
        <v>22</v>
      </c>
      <c r="J492" t="s">
        <v>1744</v>
      </c>
      <c r="K492" t="s">
        <v>86</v>
      </c>
      <c r="L492" t="s">
        <v>45</v>
      </c>
      <c r="M492" t="s">
        <v>1801</v>
      </c>
      <c r="N492" t="s">
        <v>79</v>
      </c>
      <c r="O492" t="s">
        <v>138</v>
      </c>
      <c r="P492">
        <v>392.94</v>
      </c>
    </row>
    <row r="493" spans="1:16">
      <c r="A493" s="4">
        <v>2017</v>
      </c>
      <c r="B493" s="4">
        <v>133144</v>
      </c>
      <c r="C493" t="s">
        <v>1802</v>
      </c>
      <c r="D493" t="s">
        <v>1303</v>
      </c>
      <c r="E493" t="s">
        <v>144</v>
      </c>
      <c r="F493" t="s">
        <v>1803</v>
      </c>
      <c r="G493" t="s">
        <v>1804</v>
      </c>
      <c r="H493" t="s">
        <v>33</v>
      </c>
      <c r="I493" t="s">
        <v>97</v>
      </c>
      <c r="J493" t="s">
        <v>64</v>
      </c>
      <c r="K493" t="s">
        <v>65</v>
      </c>
      <c r="L493" t="s">
        <v>66</v>
      </c>
      <c r="M493" t="s">
        <v>1805</v>
      </c>
      <c r="N493" t="s">
        <v>27</v>
      </c>
      <c r="O493" t="s">
        <v>52</v>
      </c>
      <c r="P493">
        <v>17.34</v>
      </c>
    </row>
    <row r="494" spans="1:16">
      <c r="A494" s="4">
        <v>2016</v>
      </c>
      <c r="B494" s="4">
        <v>121272</v>
      </c>
      <c r="C494" t="s">
        <v>1806</v>
      </c>
      <c r="D494" t="s">
        <v>1807</v>
      </c>
      <c r="E494" t="s">
        <v>18</v>
      </c>
      <c r="F494" t="s">
        <v>1803</v>
      </c>
      <c r="G494" t="s">
        <v>1804</v>
      </c>
      <c r="H494" t="s">
        <v>33</v>
      </c>
      <c r="I494" t="s">
        <v>97</v>
      </c>
      <c r="J494" t="s">
        <v>271</v>
      </c>
      <c r="K494" t="s">
        <v>165</v>
      </c>
      <c r="L494" t="s">
        <v>66</v>
      </c>
      <c r="M494" t="s">
        <v>1808</v>
      </c>
      <c r="N494" t="s">
        <v>27</v>
      </c>
      <c r="O494" t="s">
        <v>228</v>
      </c>
      <c r="P494">
        <v>73.28</v>
      </c>
    </row>
    <row r="495" spans="1:16">
      <c r="A495" s="4">
        <v>2018</v>
      </c>
      <c r="B495" s="4">
        <v>100636</v>
      </c>
      <c r="C495" t="s">
        <v>1253</v>
      </c>
      <c r="D495" t="s">
        <v>1809</v>
      </c>
      <c r="E495" t="s">
        <v>18</v>
      </c>
      <c r="F495" t="s">
        <v>1803</v>
      </c>
      <c r="G495" t="s">
        <v>1804</v>
      </c>
      <c r="H495" t="s">
        <v>33</v>
      </c>
      <c r="I495" t="s">
        <v>97</v>
      </c>
      <c r="J495" t="s">
        <v>49</v>
      </c>
      <c r="K495" t="s">
        <v>50</v>
      </c>
      <c r="L495" t="s">
        <v>25</v>
      </c>
      <c r="M495" t="s">
        <v>1810</v>
      </c>
      <c r="N495" t="s">
        <v>27</v>
      </c>
      <c r="O495" t="s">
        <v>58</v>
      </c>
      <c r="P495">
        <v>272.94</v>
      </c>
    </row>
    <row r="496" spans="1:16">
      <c r="A496" s="4">
        <v>2016</v>
      </c>
      <c r="B496" s="4">
        <v>168935</v>
      </c>
      <c r="C496" t="s">
        <v>1096</v>
      </c>
      <c r="D496" t="s">
        <v>1811</v>
      </c>
      <c r="E496" t="s">
        <v>18</v>
      </c>
      <c r="F496" t="s">
        <v>1803</v>
      </c>
      <c r="G496" t="s">
        <v>1804</v>
      </c>
      <c r="H496" t="s">
        <v>33</v>
      </c>
      <c r="I496" t="s">
        <v>97</v>
      </c>
      <c r="J496" t="s">
        <v>1812</v>
      </c>
      <c r="K496" t="s">
        <v>196</v>
      </c>
      <c r="L496" t="s">
        <v>45</v>
      </c>
      <c r="M496" t="s">
        <v>1813</v>
      </c>
      <c r="N496" t="s">
        <v>79</v>
      </c>
      <c r="O496" t="s">
        <v>347</v>
      </c>
      <c r="P496">
        <v>375.45749999999998</v>
      </c>
    </row>
    <row r="497" spans="1:16">
      <c r="A497" s="4">
        <v>2015</v>
      </c>
      <c r="B497" s="4">
        <v>108903</v>
      </c>
      <c r="C497" t="s">
        <v>343</v>
      </c>
      <c r="D497" t="s">
        <v>343</v>
      </c>
      <c r="E497" t="s">
        <v>132</v>
      </c>
      <c r="F497" t="s">
        <v>1803</v>
      </c>
      <c r="G497" t="s">
        <v>1804</v>
      </c>
      <c r="H497" t="s">
        <v>33</v>
      </c>
      <c r="I497" t="s">
        <v>97</v>
      </c>
      <c r="J497" t="s">
        <v>473</v>
      </c>
      <c r="K497" t="s">
        <v>237</v>
      </c>
      <c r="L497" t="s">
        <v>25</v>
      </c>
      <c r="M497" t="s">
        <v>1814</v>
      </c>
      <c r="N497" t="s">
        <v>27</v>
      </c>
      <c r="O497" t="s">
        <v>28</v>
      </c>
      <c r="P497">
        <v>55.984000000000002</v>
      </c>
    </row>
    <row r="498" spans="1:16">
      <c r="A498" s="4">
        <v>2018</v>
      </c>
      <c r="B498" s="4">
        <v>102771</v>
      </c>
      <c r="C498" t="s">
        <v>1194</v>
      </c>
      <c r="D498" t="s">
        <v>1622</v>
      </c>
      <c r="E498" t="s">
        <v>18</v>
      </c>
      <c r="F498" t="s">
        <v>1803</v>
      </c>
      <c r="G498" t="s">
        <v>1804</v>
      </c>
      <c r="H498" t="s">
        <v>33</v>
      </c>
      <c r="I498" t="s">
        <v>97</v>
      </c>
      <c r="J498" t="s">
        <v>49</v>
      </c>
      <c r="K498" t="s">
        <v>50</v>
      </c>
      <c r="L498" t="s">
        <v>25</v>
      </c>
      <c r="M498" t="s">
        <v>1815</v>
      </c>
      <c r="N498" t="s">
        <v>38</v>
      </c>
      <c r="O498" t="s">
        <v>118</v>
      </c>
      <c r="P498">
        <v>84.95</v>
      </c>
    </row>
    <row r="499" spans="1:16">
      <c r="A499" s="4">
        <v>2015</v>
      </c>
      <c r="B499" s="4">
        <v>124646</v>
      </c>
      <c r="C499" t="s">
        <v>1816</v>
      </c>
      <c r="D499" t="s">
        <v>1817</v>
      </c>
      <c r="E499" t="s">
        <v>42</v>
      </c>
      <c r="F499" t="s">
        <v>1818</v>
      </c>
      <c r="G499" t="s">
        <v>1819</v>
      </c>
      <c r="H499" t="s">
        <v>33</v>
      </c>
      <c r="I499" t="s">
        <v>97</v>
      </c>
      <c r="J499" t="s">
        <v>371</v>
      </c>
      <c r="K499" t="s">
        <v>372</v>
      </c>
      <c r="L499" t="s">
        <v>36</v>
      </c>
      <c r="M499" t="s">
        <v>769</v>
      </c>
      <c r="N499" t="s">
        <v>27</v>
      </c>
      <c r="O499" t="s">
        <v>58</v>
      </c>
      <c r="P499">
        <v>501.81</v>
      </c>
    </row>
    <row r="500" spans="1:16">
      <c r="A500" s="4">
        <v>2016</v>
      </c>
      <c r="B500" s="4">
        <v>146486</v>
      </c>
      <c r="C500" t="s">
        <v>93</v>
      </c>
      <c r="D500" t="s">
        <v>1715</v>
      </c>
      <c r="E500" t="s">
        <v>144</v>
      </c>
      <c r="F500" t="s">
        <v>1818</v>
      </c>
      <c r="G500" t="s">
        <v>1819</v>
      </c>
      <c r="H500" t="s">
        <v>33</v>
      </c>
      <c r="I500" t="s">
        <v>97</v>
      </c>
      <c r="J500" t="s">
        <v>1588</v>
      </c>
      <c r="K500" t="s">
        <v>50</v>
      </c>
      <c r="L500" t="s">
        <v>25</v>
      </c>
      <c r="M500" t="s">
        <v>1361</v>
      </c>
      <c r="N500" t="s">
        <v>27</v>
      </c>
      <c r="O500" t="s">
        <v>58</v>
      </c>
      <c r="P500">
        <v>244.55</v>
      </c>
    </row>
    <row r="501" spans="1:16">
      <c r="A501" s="4">
        <v>2018</v>
      </c>
      <c r="B501" s="4">
        <v>152002</v>
      </c>
      <c r="C501" t="s">
        <v>729</v>
      </c>
      <c r="D501" t="s">
        <v>729</v>
      </c>
      <c r="E501" t="s">
        <v>132</v>
      </c>
      <c r="F501" t="s">
        <v>1818</v>
      </c>
      <c r="G501" t="s">
        <v>1819</v>
      </c>
      <c r="H501" t="s">
        <v>33</v>
      </c>
      <c r="I501" t="s">
        <v>97</v>
      </c>
      <c r="J501" t="s">
        <v>64</v>
      </c>
      <c r="K501" t="s">
        <v>65</v>
      </c>
      <c r="L501" t="s">
        <v>66</v>
      </c>
      <c r="M501" t="s">
        <v>1820</v>
      </c>
      <c r="N501" t="s">
        <v>27</v>
      </c>
      <c r="O501" t="s">
        <v>52</v>
      </c>
      <c r="P501">
        <v>122.97</v>
      </c>
    </row>
    <row r="502" spans="1:16">
      <c r="A502" s="4">
        <v>2017</v>
      </c>
      <c r="B502" s="4">
        <v>164399</v>
      </c>
      <c r="C502" t="s">
        <v>1354</v>
      </c>
      <c r="D502" t="s">
        <v>1743</v>
      </c>
      <c r="E502" t="s">
        <v>42</v>
      </c>
      <c r="F502" t="s">
        <v>1821</v>
      </c>
      <c r="G502" t="s">
        <v>1822</v>
      </c>
      <c r="H502" t="s">
        <v>33</v>
      </c>
      <c r="I502" t="s">
        <v>63</v>
      </c>
      <c r="J502" t="s">
        <v>630</v>
      </c>
      <c r="K502" t="s">
        <v>65</v>
      </c>
      <c r="L502" t="s">
        <v>66</v>
      </c>
      <c r="M502" t="s">
        <v>1823</v>
      </c>
      <c r="N502" t="s">
        <v>38</v>
      </c>
      <c r="O502" t="s">
        <v>118</v>
      </c>
      <c r="P502">
        <v>203.976</v>
      </c>
    </row>
    <row r="503" spans="1:16">
      <c r="A503" s="4">
        <v>2017</v>
      </c>
      <c r="B503" s="4">
        <v>151141</v>
      </c>
      <c r="C503" t="s">
        <v>1471</v>
      </c>
      <c r="D503" t="s">
        <v>1824</v>
      </c>
      <c r="E503" t="s">
        <v>42</v>
      </c>
      <c r="F503" t="s">
        <v>1821</v>
      </c>
      <c r="G503" t="s">
        <v>1822</v>
      </c>
      <c r="H503" t="s">
        <v>33</v>
      </c>
      <c r="I503" t="s">
        <v>63</v>
      </c>
      <c r="J503" t="s">
        <v>879</v>
      </c>
      <c r="K503" t="s">
        <v>855</v>
      </c>
      <c r="L503" t="s">
        <v>36</v>
      </c>
      <c r="M503" t="s">
        <v>1825</v>
      </c>
      <c r="N503" t="s">
        <v>38</v>
      </c>
      <c r="O503" t="s">
        <v>118</v>
      </c>
      <c r="P503">
        <v>14.78</v>
      </c>
    </row>
    <row r="504" spans="1:16">
      <c r="A504" s="4">
        <v>2017</v>
      </c>
      <c r="B504" s="4">
        <v>101938</v>
      </c>
      <c r="C504" t="s">
        <v>567</v>
      </c>
      <c r="D504" t="s">
        <v>1826</v>
      </c>
      <c r="E504" t="s">
        <v>18</v>
      </c>
      <c r="F504" t="s">
        <v>1821</v>
      </c>
      <c r="G504" t="s">
        <v>1822</v>
      </c>
      <c r="H504" t="s">
        <v>33</v>
      </c>
      <c r="I504" t="s">
        <v>63</v>
      </c>
      <c r="J504" t="s">
        <v>1474</v>
      </c>
      <c r="K504" t="s">
        <v>65</v>
      </c>
      <c r="L504" t="s">
        <v>66</v>
      </c>
      <c r="M504" t="s">
        <v>1827</v>
      </c>
      <c r="N504" t="s">
        <v>27</v>
      </c>
      <c r="O504" t="s">
        <v>28</v>
      </c>
      <c r="P504">
        <v>34.58</v>
      </c>
    </row>
    <row r="505" spans="1:16">
      <c r="A505" s="4">
        <v>2017</v>
      </c>
      <c r="B505" s="4">
        <v>106558</v>
      </c>
      <c r="C505" t="s">
        <v>1351</v>
      </c>
      <c r="D505" t="s">
        <v>1352</v>
      </c>
      <c r="E505" t="s">
        <v>18</v>
      </c>
      <c r="F505" t="s">
        <v>1828</v>
      </c>
      <c r="G505" t="s">
        <v>1829</v>
      </c>
      <c r="H505" t="s">
        <v>33</v>
      </c>
      <c r="I505" t="s">
        <v>22</v>
      </c>
      <c r="J505" t="s">
        <v>473</v>
      </c>
      <c r="K505" t="s">
        <v>86</v>
      </c>
      <c r="L505" t="s">
        <v>45</v>
      </c>
      <c r="M505" t="s">
        <v>1830</v>
      </c>
      <c r="N505" t="s">
        <v>38</v>
      </c>
      <c r="O505" t="s">
        <v>68</v>
      </c>
      <c r="P505">
        <v>316</v>
      </c>
    </row>
    <row r="506" spans="1:16">
      <c r="A506" s="4">
        <v>2017</v>
      </c>
      <c r="B506" s="4">
        <v>144855</v>
      </c>
      <c r="C506" t="s">
        <v>305</v>
      </c>
      <c r="D506" t="s">
        <v>1831</v>
      </c>
      <c r="E506" t="s">
        <v>144</v>
      </c>
      <c r="F506" t="s">
        <v>1828</v>
      </c>
      <c r="G506" t="s">
        <v>1829</v>
      </c>
      <c r="H506" t="s">
        <v>33</v>
      </c>
      <c r="I506" t="s">
        <v>22</v>
      </c>
      <c r="J506" t="s">
        <v>226</v>
      </c>
      <c r="K506" t="s">
        <v>65</v>
      </c>
      <c r="L506" t="s">
        <v>66</v>
      </c>
      <c r="M506" t="s">
        <v>1832</v>
      </c>
      <c r="N506" t="s">
        <v>27</v>
      </c>
      <c r="O506" t="s">
        <v>111</v>
      </c>
      <c r="P506">
        <v>6.3</v>
      </c>
    </row>
    <row r="507" spans="1:16">
      <c r="A507" s="4">
        <v>2018</v>
      </c>
      <c r="B507" s="4">
        <v>117723</v>
      </c>
      <c r="C507" t="s">
        <v>857</v>
      </c>
      <c r="D507" t="s">
        <v>1833</v>
      </c>
      <c r="E507" t="s">
        <v>144</v>
      </c>
      <c r="F507" t="s">
        <v>1828</v>
      </c>
      <c r="G507" t="s">
        <v>1829</v>
      </c>
      <c r="H507" t="s">
        <v>33</v>
      </c>
      <c r="I507" t="s">
        <v>22</v>
      </c>
      <c r="J507" t="s">
        <v>23</v>
      </c>
      <c r="K507" t="s">
        <v>24</v>
      </c>
      <c r="L507" t="s">
        <v>25</v>
      </c>
      <c r="M507" t="s">
        <v>1834</v>
      </c>
      <c r="N507" t="s">
        <v>27</v>
      </c>
      <c r="O507" t="s">
        <v>58</v>
      </c>
      <c r="P507">
        <v>1801.6320000000001</v>
      </c>
    </row>
    <row r="508" spans="1:16">
      <c r="A508" s="4">
        <v>2018</v>
      </c>
      <c r="B508" s="4">
        <v>153339</v>
      </c>
      <c r="C508" t="s">
        <v>1584</v>
      </c>
      <c r="D508" t="s">
        <v>198</v>
      </c>
      <c r="E508" t="s">
        <v>144</v>
      </c>
      <c r="F508" t="s">
        <v>1835</v>
      </c>
      <c r="G508" t="s">
        <v>1836</v>
      </c>
      <c r="H508" t="s">
        <v>33</v>
      </c>
      <c r="I508" t="s">
        <v>22</v>
      </c>
      <c r="J508" t="s">
        <v>1837</v>
      </c>
      <c r="K508" t="s">
        <v>206</v>
      </c>
      <c r="L508" t="s">
        <v>45</v>
      </c>
      <c r="M508" t="s">
        <v>1838</v>
      </c>
      <c r="N508" t="s">
        <v>79</v>
      </c>
      <c r="O508" t="s">
        <v>80</v>
      </c>
      <c r="P508">
        <v>15.992000000000001</v>
      </c>
    </row>
    <row r="509" spans="1:16">
      <c r="A509" s="4">
        <v>2018</v>
      </c>
      <c r="B509" s="4">
        <v>108749</v>
      </c>
      <c r="C509" t="s">
        <v>701</v>
      </c>
      <c r="D509" t="s">
        <v>702</v>
      </c>
      <c r="E509" t="s">
        <v>42</v>
      </c>
      <c r="F509" t="s">
        <v>1835</v>
      </c>
      <c r="G509" t="s">
        <v>1836</v>
      </c>
      <c r="H509" t="s">
        <v>33</v>
      </c>
      <c r="I509" t="s">
        <v>22</v>
      </c>
      <c r="J509" t="s">
        <v>1839</v>
      </c>
      <c r="K509" t="s">
        <v>838</v>
      </c>
      <c r="L509" t="s">
        <v>25</v>
      </c>
      <c r="M509" t="s">
        <v>1840</v>
      </c>
      <c r="N509" t="s">
        <v>27</v>
      </c>
      <c r="O509" t="s">
        <v>52</v>
      </c>
      <c r="P509">
        <v>45.36</v>
      </c>
    </row>
    <row r="510" spans="1:16">
      <c r="A510" s="4">
        <v>2018</v>
      </c>
      <c r="B510" s="4">
        <v>156895</v>
      </c>
      <c r="C510" t="s">
        <v>1841</v>
      </c>
      <c r="D510" t="s">
        <v>60</v>
      </c>
      <c r="E510" t="s">
        <v>18</v>
      </c>
      <c r="F510" t="s">
        <v>1835</v>
      </c>
      <c r="G510" t="s">
        <v>1836</v>
      </c>
      <c r="H510" t="s">
        <v>33</v>
      </c>
      <c r="I510" t="s">
        <v>22</v>
      </c>
      <c r="J510" t="s">
        <v>23</v>
      </c>
      <c r="K510" t="s">
        <v>24</v>
      </c>
      <c r="L510" t="s">
        <v>25</v>
      </c>
      <c r="M510" t="s">
        <v>1842</v>
      </c>
      <c r="N510" t="s">
        <v>79</v>
      </c>
      <c r="O510" t="s">
        <v>138</v>
      </c>
      <c r="P510">
        <v>128.05799999999999</v>
      </c>
    </row>
    <row r="511" spans="1:16">
      <c r="A511" s="4">
        <v>2015</v>
      </c>
      <c r="B511" s="4">
        <v>111500</v>
      </c>
      <c r="C511" t="s">
        <v>1318</v>
      </c>
      <c r="D511" t="s">
        <v>1843</v>
      </c>
      <c r="E511" t="s">
        <v>18</v>
      </c>
      <c r="F511" t="s">
        <v>1835</v>
      </c>
      <c r="G511" t="s">
        <v>1836</v>
      </c>
      <c r="H511" t="s">
        <v>33</v>
      </c>
      <c r="I511" t="s">
        <v>22</v>
      </c>
      <c r="J511" t="s">
        <v>1269</v>
      </c>
      <c r="K511" t="s">
        <v>1270</v>
      </c>
      <c r="L511" t="s">
        <v>45</v>
      </c>
      <c r="M511" t="s">
        <v>1844</v>
      </c>
      <c r="N511" t="s">
        <v>27</v>
      </c>
      <c r="O511" t="s">
        <v>52</v>
      </c>
      <c r="P511">
        <v>114.2</v>
      </c>
    </row>
    <row r="512" spans="1:16">
      <c r="A512" s="4">
        <v>2017</v>
      </c>
      <c r="B512" s="4">
        <v>149195</v>
      </c>
      <c r="C512" t="s">
        <v>1845</v>
      </c>
      <c r="D512" t="s">
        <v>1846</v>
      </c>
      <c r="E512" t="s">
        <v>144</v>
      </c>
      <c r="F512" t="s">
        <v>1847</v>
      </c>
      <c r="G512" t="s">
        <v>1848</v>
      </c>
      <c r="H512" t="s">
        <v>21</v>
      </c>
      <c r="I512" t="s">
        <v>22</v>
      </c>
      <c r="J512" t="s">
        <v>183</v>
      </c>
      <c r="K512" t="s">
        <v>35</v>
      </c>
      <c r="L512" t="s">
        <v>36</v>
      </c>
      <c r="M512" t="s">
        <v>1849</v>
      </c>
      <c r="N512" t="s">
        <v>27</v>
      </c>
      <c r="O512" t="s">
        <v>52</v>
      </c>
      <c r="P512">
        <v>25.92</v>
      </c>
    </row>
    <row r="513" spans="1:16">
      <c r="A513" s="4">
        <v>2017</v>
      </c>
      <c r="B513" s="4">
        <v>128706</v>
      </c>
      <c r="C513" t="s">
        <v>202</v>
      </c>
      <c r="D513" t="s">
        <v>1850</v>
      </c>
      <c r="E513" t="s">
        <v>18</v>
      </c>
      <c r="F513" t="s">
        <v>1851</v>
      </c>
      <c r="G513" t="s">
        <v>1852</v>
      </c>
      <c r="H513" t="s">
        <v>33</v>
      </c>
      <c r="I513" t="s">
        <v>97</v>
      </c>
      <c r="J513" t="s">
        <v>183</v>
      </c>
      <c r="K513" t="s">
        <v>35</v>
      </c>
      <c r="L513" t="s">
        <v>36</v>
      </c>
      <c r="M513" t="s">
        <v>1853</v>
      </c>
      <c r="N513" t="s">
        <v>79</v>
      </c>
      <c r="O513" t="s">
        <v>80</v>
      </c>
      <c r="P513">
        <v>16.192</v>
      </c>
    </row>
    <row r="514" spans="1:16">
      <c r="A514" s="4">
        <v>2018</v>
      </c>
      <c r="B514" s="4">
        <v>132521</v>
      </c>
      <c r="C514" t="s">
        <v>640</v>
      </c>
      <c r="D514" t="s">
        <v>1854</v>
      </c>
      <c r="E514" t="s">
        <v>144</v>
      </c>
      <c r="F514" t="s">
        <v>1851</v>
      </c>
      <c r="G514" t="s">
        <v>1852</v>
      </c>
      <c r="H514" t="s">
        <v>33</v>
      </c>
      <c r="I514" t="s">
        <v>97</v>
      </c>
      <c r="J514" t="s">
        <v>271</v>
      </c>
      <c r="K514" t="s">
        <v>165</v>
      </c>
      <c r="L514" t="s">
        <v>66</v>
      </c>
      <c r="M514" t="s">
        <v>1855</v>
      </c>
      <c r="N514" t="s">
        <v>27</v>
      </c>
      <c r="O514" t="s">
        <v>228</v>
      </c>
      <c r="P514">
        <v>119.96</v>
      </c>
    </row>
    <row r="515" spans="1:16">
      <c r="A515" s="4">
        <v>2018</v>
      </c>
      <c r="B515" s="4">
        <v>158036</v>
      </c>
      <c r="C515" t="s">
        <v>626</v>
      </c>
      <c r="D515" t="s">
        <v>1856</v>
      </c>
      <c r="E515" t="s">
        <v>18</v>
      </c>
      <c r="F515" t="s">
        <v>1857</v>
      </c>
      <c r="G515" t="s">
        <v>1858</v>
      </c>
      <c r="H515" t="s">
        <v>33</v>
      </c>
      <c r="I515" t="s">
        <v>22</v>
      </c>
      <c r="J515" t="s">
        <v>1859</v>
      </c>
      <c r="K515" t="s">
        <v>237</v>
      </c>
      <c r="L515" t="s">
        <v>25</v>
      </c>
      <c r="M515" t="s">
        <v>1414</v>
      </c>
      <c r="N515" t="s">
        <v>38</v>
      </c>
      <c r="O515" t="s">
        <v>68</v>
      </c>
      <c r="P515">
        <v>9.0960000000000001</v>
      </c>
    </row>
    <row r="516" spans="1:16">
      <c r="A516" s="4">
        <v>2018</v>
      </c>
      <c r="B516" s="4">
        <v>133200</v>
      </c>
      <c r="C516" t="s">
        <v>1144</v>
      </c>
      <c r="D516" t="s">
        <v>1860</v>
      </c>
      <c r="E516" t="s">
        <v>18</v>
      </c>
      <c r="F516" t="s">
        <v>1857</v>
      </c>
      <c r="G516" t="s">
        <v>1858</v>
      </c>
      <c r="H516" t="s">
        <v>33</v>
      </c>
      <c r="I516" t="s">
        <v>22</v>
      </c>
      <c r="J516" t="s">
        <v>1861</v>
      </c>
      <c r="K516" t="s">
        <v>35</v>
      </c>
      <c r="L516" t="s">
        <v>36</v>
      </c>
      <c r="M516" t="s">
        <v>1862</v>
      </c>
      <c r="N516" t="s">
        <v>27</v>
      </c>
      <c r="O516" t="s">
        <v>101</v>
      </c>
      <c r="P516">
        <v>11.06</v>
      </c>
    </row>
    <row r="517" spans="1:16">
      <c r="A517" s="4">
        <v>2015</v>
      </c>
      <c r="B517" s="4">
        <v>151953</v>
      </c>
      <c r="C517" t="s">
        <v>1863</v>
      </c>
      <c r="D517" t="s">
        <v>1864</v>
      </c>
      <c r="E517" t="s">
        <v>18</v>
      </c>
      <c r="F517" t="s">
        <v>1857</v>
      </c>
      <c r="G517" t="s">
        <v>1858</v>
      </c>
      <c r="H517" t="s">
        <v>33</v>
      </c>
      <c r="I517" t="s">
        <v>22</v>
      </c>
      <c r="J517" t="s">
        <v>43</v>
      </c>
      <c r="K517" t="s">
        <v>196</v>
      </c>
      <c r="L517" t="s">
        <v>45</v>
      </c>
      <c r="M517" t="s">
        <v>1598</v>
      </c>
      <c r="N517" t="s">
        <v>27</v>
      </c>
      <c r="O517" t="s">
        <v>28</v>
      </c>
      <c r="P517">
        <v>2.8159999999999998</v>
      </c>
    </row>
    <row r="518" spans="1:16">
      <c r="A518" s="4">
        <v>2018</v>
      </c>
      <c r="B518" s="4">
        <v>125640</v>
      </c>
      <c r="C518" t="s">
        <v>1865</v>
      </c>
      <c r="D518" t="s">
        <v>480</v>
      </c>
      <c r="E518" t="s">
        <v>18</v>
      </c>
      <c r="F518" t="s">
        <v>1866</v>
      </c>
      <c r="G518" t="s">
        <v>1867</v>
      </c>
      <c r="H518" t="s">
        <v>21</v>
      </c>
      <c r="I518" t="s">
        <v>97</v>
      </c>
      <c r="J518" t="s">
        <v>23</v>
      </c>
      <c r="K518" t="s">
        <v>24</v>
      </c>
      <c r="L518" t="s">
        <v>25</v>
      </c>
      <c r="M518" t="s">
        <v>1868</v>
      </c>
      <c r="N518" t="s">
        <v>27</v>
      </c>
      <c r="O518" t="s">
        <v>111</v>
      </c>
      <c r="P518">
        <v>3.3039999999999998</v>
      </c>
    </row>
    <row r="519" spans="1:16">
      <c r="A519" s="4">
        <v>2018</v>
      </c>
      <c r="B519" s="4">
        <v>164147</v>
      </c>
      <c r="C519" t="s">
        <v>1869</v>
      </c>
      <c r="D519" t="s">
        <v>795</v>
      </c>
      <c r="E519" t="s">
        <v>42</v>
      </c>
      <c r="F519" t="s">
        <v>1870</v>
      </c>
      <c r="G519" t="s">
        <v>1871</v>
      </c>
      <c r="H519" t="s">
        <v>33</v>
      </c>
      <c r="I519" t="s">
        <v>22</v>
      </c>
      <c r="J519" t="s">
        <v>473</v>
      </c>
      <c r="K519" t="s">
        <v>237</v>
      </c>
      <c r="L519" t="s">
        <v>25</v>
      </c>
      <c r="M519" t="s">
        <v>1872</v>
      </c>
      <c r="N519" t="s">
        <v>38</v>
      </c>
      <c r="O519" t="s">
        <v>118</v>
      </c>
      <c r="P519">
        <v>59.97</v>
      </c>
    </row>
    <row r="520" spans="1:16">
      <c r="A520" s="4">
        <v>2015</v>
      </c>
      <c r="B520" s="4">
        <v>120432</v>
      </c>
      <c r="C520" t="s">
        <v>1873</v>
      </c>
      <c r="D520" t="s">
        <v>1874</v>
      </c>
      <c r="E520" t="s">
        <v>144</v>
      </c>
      <c r="F520" t="s">
        <v>1870</v>
      </c>
      <c r="G520" t="s">
        <v>1871</v>
      </c>
      <c r="H520" t="s">
        <v>33</v>
      </c>
      <c r="I520" t="s">
        <v>22</v>
      </c>
      <c r="J520" t="s">
        <v>1260</v>
      </c>
      <c r="K520" t="s">
        <v>126</v>
      </c>
      <c r="L520" t="s">
        <v>45</v>
      </c>
      <c r="M520" t="s">
        <v>1875</v>
      </c>
      <c r="N520" t="s">
        <v>27</v>
      </c>
      <c r="O520" t="s">
        <v>74</v>
      </c>
      <c r="P520">
        <v>25.5</v>
      </c>
    </row>
    <row r="521" spans="1:16">
      <c r="A521" s="4">
        <v>2017</v>
      </c>
      <c r="B521" s="4">
        <v>120530</v>
      </c>
      <c r="C521" t="s">
        <v>1876</v>
      </c>
      <c r="D521" t="s">
        <v>822</v>
      </c>
      <c r="E521" t="s">
        <v>18</v>
      </c>
      <c r="F521" t="s">
        <v>1877</v>
      </c>
      <c r="G521" t="s">
        <v>1878</v>
      </c>
      <c r="H521" t="s">
        <v>33</v>
      </c>
      <c r="I521" t="s">
        <v>22</v>
      </c>
      <c r="J521" t="s">
        <v>49</v>
      </c>
      <c r="K521" t="s">
        <v>50</v>
      </c>
      <c r="L521" t="s">
        <v>25</v>
      </c>
      <c r="M521" t="s">
        <v>1879</v>
      </c>
      <c r="N521" t="s">
        <v>79</v>
      </c>
      <c r="O521" t="s">
        <v>138</v>
      </c>
      <c r="P521">
        <v>658.74599999999998</v>
      </c>
    </row>
    <row r="522" spans="1:16">
      <c r="A522" s="4">
        <v>2018</v>
      </c>
      <c r="B522" s="4">
        <v>155299</v>
      </c>
      <c r="C522" t="s">
        <v>1537</v>
      </c>
      <c r="D522" t="s">
        <v>730</v>
      </c>
      <c r="E522" t="s">
        <v>18</v>
      </c>
      <c r="F522" t="s">
        <v>1877</v>
      </c>
      <c r="G522" t="s">
        <v>1878</v>
      </c>
      <c r="H522" t="s">
        <v>33</v>
      </c>
      <c r="I522" t="s">
        <v>22</v>
      </c>
      <c r="J522" t="s">
        <v>1051</v>
      </c>
      <c r="K522" t="s">
        <v>35</v>
      </c>
      <c r="L522" t="s">
        <v>36</v>
      </c>
      <c r="M522" t="s">
        <v>1880</v>
      </c>
      <c r="N522" t="s">
        <v>27</v>
      </c>
      <c r="O522" t="s">
        <v>228</v>
      </c>
      <c r="P522">
        <v>1.6240000000000001</v>
      </c>
    </row>
    <row r="523" spans="1:16">
      <c r="A523" s="4">
        <v>2015</v>
      </c>
      <c r="B523" s="4">
        <v>153150</v>
      </c>
      <c r="C523" t="s">
        <v>1881</v>
      </c>
      <c r="D523" t="s">
        <v>1546</v>
      </c>
      <c r="E523" t="s">
        <v>144</v>
      </c>
      <c r="F523" t="s">
        <v>1877</v>
      </c>
      <c r="G523" t="s">
        <v>1878</v>
      </c>
      <c r="H523" t="s">
        <v>33</v>
      </c>
      <c r="I523" t="s">
        <v>22</v>
      </c>
      <c r="J523" t="s">
        <v>271</v>
      </c>
      <c r="K523" t="s">
        <v>165</v>
      </c>
      <c r="L523" t="s">
        <v>66</v>
      </c>
      <c r="M523" t="s">
        <v>1882</v>
      </c>
      <c r="N523" t="s">
        <v>27</v>
      </c>
      <c r="O523" t="s">
        <v>101</v>
      </c>
      <c r="P523">
        <v>19.920000000000002</v>
      </c>
    </row>
    <row r="524" spans="1:16">
      <c r="A524" s="4">
        <v>2017</v>
      </c>
      <c r="B524" s="4">
        <v>135636</v>
      </c>
      <c r="C524" t="s">
        <v>722</v>
      </c>
      <c r="D524" t="s">
        <v>1883</v>
      </c>
      <c r="E524" t="s">
        <v>18</v>
      </c>
      <c r="F524" t="s">
        <v>1884</v>
      </c>
      <c r="G524" t="s">
        <v>1885</v>
      </c>
      <c r="H524" t="s">
        <v>33</v>
      </c>
      <c r="I524" t="s">
        <v>97</v>
      </c>
      <c r="J524" t="s">
        <v>1413</v>
      </c>
      <c r="K524" t="s">
        <v>44</v>
      </c>
      <c r="L524" t="s">
        <v>45</v>
      </c>
      <c r="M524" t="s">
        <v>1886</v>
      </c>
      <c r="N524" t="s">
        <v>27</v>
      </c>
      <c r="O524" t="s">
        <v>58</v>
      </c>
      <c r="P524">
        <v>387.72</v>
      </c>
    </row>
    <row r="525" spans="1:16">
      <c r="A525" s="4">
        <v>2016</v>
      </c>
      <c r="B525" s="4">
        <v>137946</v>
      </c>
      <c r="C525" t="s">
        <v>1887</v>
      </c>
      <c r="D525" t="s">
        <v>1689</v>
      </c>
      <c r="E525" t="s">
        <v>144</v>
      </c>
      <c r="F525" t="s">
        <v>1884</v>
      </c>
      <c r="G525" t="s">
        <v>1885</v>
      </c>
      <c r="H525" t="s">
        <v>33</v>
      </c>
      <c r="I525" t="s">
        <v>97</v>
      </c>
      <c r="J525" t="s">
        <v>64</v>
      </c>
      <c r="K525" t="s">
        <v>65</v>
      </c>
      <c r="L525" t="s">
        <v>66</v>
      </c>
      <c r="M525" t="s">
        <v>1888</v>
      </c>
      <c r="N525" t="s">
        <v>27</v>
      </c>
      <c r="O525" t="s">
        <v>101</v>
      </c>
      <c r="P525">
        <v>4.7519999999999998</v>
      </c>
    </row>
    <row r="526" spans="1:16">
      <c r="A526" s="4">
        <v>2016</v>
      </c>
      <c r="B526" s="4">
        <v>123232</v>
      </c>
      <c r="C526" t="s">
        <v>1889</v>
      </c>
      <c r="D526" t="s">
        <v>1890</v>
      </c>
      <c r="E526" t="s">
        <v>144</v>
      </c>
      <c r="F526" t="s">
        <v>1891</v>
      </c>
      <c r="G526" t="s">
        <v>1892</v>
      </c>
      <c r="H526" t="s">
        <v>33</v>
      </c>
      <c r="I526" t="s">
        <v>97</v>
      </c>
      <c r="J526" t="s">
        <v>1734</v>
      </c>
      <c r="K526" t="s">
        <v>323</v>
      </c>
      <c r="L526" t="s">
        <v>66</v>
      </c>
      <c r="M526" t="s">
        <v>1893</v>
      </c>
      <c r="N526" t="s">
        <v>38</v>
      </c>
      <c r="O526" t="s">
        <v>118</v>
      </c>
      <c r="P526">
        <v>319.96800000000002</v>
      </c>
    </row>
    <row r="527" spans="1:16">
      <c r="A527" s="4">
        <v>2017</v>
      </c>
      <c r="B527" s="4">
        <v>164511</v>
      </c>
      <c r="C527" t="s">
        <v>1446</v>
      </c>
      <c r="D527" t="s">
        <v>359</v>
      </c>
      <c r="E527" t="s">
        <v>18</v>
      </c>
      <c r="F527" t="s">
        <v>1891</v>
      </c>
      <c r="G527" t="s">
        <v>1892</v>
      </c>
      <c r="H527" t="s">
        <v>33</v>
      </c>
      <c r="I527" t="s">
        <v>97</v>
      </c>
      <c r="J527" t="s">
        <v>49</v>
      </c>
      <c r="K527" t="s">
        <v>50</v>
      </c>
      <c r="L527" t="s">
        <v>25</v>
      </c>
      <c r="M527" t="s">
        <v>1894</v>
      </c>
      <c r="N527" t="s">
        <v>27</v>
      </c>
      <c r="O527" t="s">
        <v>101</v>
      </c>
      <c r="P527">
        <v>14.352</v>
      </c>
    </row>
    <row r="528" spans="1:16">
      <c r="A528" s="4">
        <v>2018</v>
      </c>
      <c r="B528" s="4">
        <v>115602</v>
      </c>
      <c r="C528" t="s">
        <v>16</v>
      </c>
      <c r="D528" t="s">
        <v>424</v>
      </c>
      <c r="E528" t="s">
        <v>18</v>
      </c>
      <c r="F528" t="s">
        <v>1891</v>
      </c>
      <c r="G528" t="s">
        <v>1892</v>
      </c>
      <c r="H528" t="s">
        <v>33</v>
      </c>
      <c r="I528" t="s">
        <v>97</v>
      </c>
      <c r="J528" t="s">
        <v>49</v>
      </c>
      <c r="K528" t="s">
        <v>50</v>
      </c>
      <c r="L528" t="s">
        <v>25</v>
      </c>
      <c r="M528" t="s">
        <v>1895</v>
      </c>
      <c r="N528" t="s">
        <v>27</v>
      </c>
      <c r="O528" t="s">
        <v>28</v>
      </c>
      <c r="P528">
        <v>38.82</v>
      </c>
    </row>
    <row r="529" spans="1:16">
      <c r="A529" s="4">
        <v>2018</v>
      </c>
      <c r="B529" s="4">
        <v>133207</v>
      </c>
      <c r="C529" t="s">
        <v>1896</v>
      </c>
      <c r="D529" t="s">
        <v>1393</v>
      </c>
      <c r="E529" t="s">
        <v>18</v>
      </c>
      <c r="F529" t="s">
        <v>1897</v>
      </c>
      <c r="G529" t="s">
        <v>1898</v>
      </c>
      <c r="H529" t="s">
        <v>33</v>
      </c>
      <c r="I529" t="s">
        <v>97</v>
      </c>
      <c r="J529" t="s">
        <v>64</v>
      </c>
      <c r="K529" t="s">
        <v>65</v>
      </c>
      <c r="L529" t="s">
        <v>66</v>
      </c>
      <c r="M529" t="s">
        <v>1899</v>
      </c>
      <c r="N529" t="s">
        <v>38</v>
      </c>
      <c r="O529" t="s">
        <v>118</v>
      </c>
      <c r="P529">
        <v>57.567999999999998</v>
      </c>
    </row>
    <row r="530" spans="1:16">
      <c r="A530" s="4">
        <v>2016</v>
      </c>
      <c r="B530" s="4">
        <v>126669</v>
      </c>
      <c r="C530" t="s">
        <v>1441</v>
      </c>
      <c r="D530" t="s">
        <v>94</v>
      </c>
      <c r="E530" t="s">
        <v>18</v>
      </c>
      <c r="F530" t="s">
        <v>1897</v>
      </c>
      <c r="G530" t="s">
        <v>1898</v>
      </c>
      <c r="H530" t="s">
        <v>33</v>
      </c>
      <c r="I530" t="s">
        <v>97</v>
      </c>
      <c r="J530" t="s">
        <v>183</v>
      </c>
      <c r="K530" t="s">
        <v>35</v>
      </c>
      <c r="L530" t="s">
        <v>36</v>
      </c>
      <c r="M530" t="s">
        <v>1900</v>
      </c>
      <c r="N530" t="s">
        <v>27</v>
      </c>
      <c r="O530" t="s">
        <v>52</v>
      </c>
      <c r="P530">
        <v>76.64</v>
      </c>
    </row>
    <row r="531" spans="1:16">
      <c r="A531" s="4">
        <v>2018</v>
      </c>
      <c r="B531" s="4">
        <v>118003</v>
      </c>
      <c r="C531" t="s">
        <v>1624</v>
      </c>
      <c r="D531" t="s">
        <v>299</v>
      </c>
      <c r="E531" t="s">
        <v>18</v>
      </c>
      <c r="F531" t="s">
        <v>1897</v>
      </c>
      <c r="G531" t="s">
        <v>1898</v>
      </c>
      <c r="H531" t="s">
        <v>33</v>
      </c>
      <c r="I531" t="s">
        <v>97</v>
      </c>
      <c r="J531" t="s">
        <v>1696</v>
      </c>
      <c r="K531" t="s">
        <v>869</v>
      </c>
      <c r="L531" t="s">
        <v>25</v>
      </c>
      <c r="M531" t="s">
        <v>1901</v>
      </c>
      <c r="N531" t="s">
        <v>79</v>
      </c>
      <c r="O531" t="s">
        <v>80</v>
      </c>
      <c r="P531">
        <v>12.99</v>
      </c>
    </row>
    <row r="532" spans="1:16">
      <c r="A532" s="4">
        <v>2018</v>
      </c>
      <c r="B532" s="4">
        <v>105886</v>
      </c>
      <c r="C532" t="s">
        <v>16</v>
      </c>
      <c r="D532" t="s">
        <v>1902</v>
      </c>
      <c r="E532" t="s">
        <v>18</v>
      </c>
      <c r="F532" t="s">
        <v>1903</v>
      </c>
      <c r="G532" t="s">
        <v>1904</v>
      </c>
      <c r="H532" t="s">
        <v>33</v>
      </c>
      <c r="I532" t="s">
        <v>97</v>
      </c>
      <c r="J532" t="s">
        <v>1588</v>
      </c>
      <c r="K532" t="s">
        <v>50</v>
      </c>
      <c r="L532" t="s">
        <v>25</v>
      </c>
      <c r="M532" t="s">
        <v>1905</v>
      </c>
      <c r="N532" t="s">
        <v>79</v>
      </c>
      <c r="O532" t="s">
        <v>80</v>
      </c>
      <c r="P532">
        <v>18.96</v>
      </c>
    </row>
    <row r="533" spans="1:16">
      <c r="A533" s="4">
        <v>2018</v>
      </c>
      <c r="B533" s="4">
        <v>101077</v>
      </c>
      <c r="C533" t="s">
        <v>849</v>
      </c>
      <c r="D533" t="s">
        <v>1906</v>
      </c>
      <c r="E533" t="s">
        <v>144</v>
      </c>
      <c r="F533" t="s">
        <v>1903</v>
      </c>
      <c r="G533" t="s">
        <v>1904</v>
      </c>
      <c r="H533" t="s">
        <v>33</v>
      </c>
      <c r="I533" t="s">
        <v>97</v>
      </c>
      <c r="J533" t="s">
        <v>627</v>
      </c>
      <c r="K533" t="s">
        <v>35</v>
      </c>
      <c r="L533" t="s">
        <v>36</v>
      </c>
      <c r="M533" t="s">
        <v>1907</v>
      </c>
      <c r="N533" t="s">
        <v>27</v>
      </c>
      <c r="O533" t="s">
        <v>52</v>
      </c>
      <c r="P533">
        <v>6.8479999999999999</v>
      </c>
    </row>
    <row r="534" spans="1:16">
      <c r="A534" s="4">
        <v>2016</v>
      </c>
      <c r="B534" s="4">
        <v>127593</v>
      </c>
      <c r="C534" t="s">
        <v>1206</v>
      </c>
      <c r="D534" t="s">
        <v>1206</v>
      </c>
      <c r="E534" t="s">
        <v>132</v>
      </c>
      <c r="F534" t="s">
        <v>1908</v>
      </c>
      <c r="G534" t="s">
        <v>1909</v>
      </c>
      <c r="H534" t="s">
        <v>33</v>
      </c>
      <c r="I534" t="s">
        <v>63</v>
      </c>
      <c r="J534" t="s">
        <v>422</v>
      </c>
      <c r="K534" t="s">
        <v>284</v>
      </c>
      <c r="L534" t="s">
        <v>25</v>
      </c>
      <c r="M534" t="s">
        <v>1623</v>
      </c>
      <c r="N534" t="s">
        <v>79</v>
      </c>
      <c r="O534" t="s">
        <v>80</v>
      </c>
      <c r="P534">
        <v>85.3</v>
      </c>
    </row>
    <row r="535" spans="1:16">
      <c r="A535" s="4">
        <v>2015</v>
      </c>
      <c r="B535" s="4">
        <v>156244</v>
      </c>
      <c r="C535" t="s">
        <v>1910</v>
      </c>
      <c r="D535" t="s">
        <v>410</v>
      </c>
      <c r="E535" t="s">
        <v>18</v>
      </c>
      <c r="F535" t="s">
        <v>1908</v>
      </c>
      <c r="G535" t="s">
        <v>1909</v>
      </c>
      <c r="H535" t="s">
        <v>33</v>
      </c>
      <c r="I535" t="s">
        <v>63</v>
      </c>
      <c r="J535" t="s">
        <v>437</v>
      </c>
      <c r="K535" t="s">
        <v>196</v>
      </c>
      <c r="L535" t="s">
        <v>45</v>
      </c>
      <c r="M535" t="s">
        <v>1911</v>
      </c>
      <c r="N535" t="s">
        <v>27</v>
      </c>
      <c r="O535" t="s">
        <v>52</v>
      </c>
      <c r="P535">
        <v>31.103999999999999</v>
      </c>
    </row>
    <row r="536" spans="1:16">
      <c r="A536" s="4">
        <v>2015</v>
      </c>
      <c r="B536" s="4">
        <v>139451</v>
      </c>
      <c r="C536" t="s">
        <v>1912</v>
      </c>
      <c r="D536" t="s">
        <v>1913</v>
      </c>
      <c r="E536" t="s">
        <v>18</v>
      </c>
      <c r="F536" t="s">
        <v>1914</v>
      </c>
      <c r="G536" t="s">
        <v>1915</v>
      </c>
      <c r="H536" t="s">
        <v>33</v>
      </c>
      <c r="I536" t="s">
        <v>97</v>
      </c>
      <c r="J536" t="s">
        <v>226</v>
      </c>
      <c r="K536" t="s">
        <v>65</v>
      </c>
      <c r="L536" t="s">
        <v>66</v>
      </c>
      <c r="M536" t="s">
        <v>1916</v>
      </c>
      <c r="N536" t="s">
        <v>27</v>
      </c>
      <c r="O536" t="s">
        <v>28</v>
      </c>
      <c r="P536">
        <v>14.9</v>
      </c>
    </row>
    <row r="537" spans="1:16">
      <c r="A537" s="4">
        <v>2015</v>
      </c>
      <c r="B537" s="4">
        <v>119977</v>
      </c>
      <c r="C537" t="s">
        <v>311</v>
      </c>
      <c r="D537" t="s">
        <v>1917</v>
      </c>
      <c r="E537" t="s">
        <v>144</v>
      </c>
      <c r="F537" t="s">
        <v>1914</v>
      </c>
      <c r="G537" t="s">
        <v>1915</v>
      </c>
      <c r="H537" t="s">
        <v>33</v>
      </c>
      <c r="I537" t="s">
        <v>97</v>
      </c>
      <c r="J537" t="s">
        <v>49</v>
      </c>
      <c r="K537" t="s">
        <v>50</v>
      </c>
      <c r="L537" t="s">
        <v>25</v>
      </c>
      <c r="M537" t="s">
        <v>1918</v>
      </c>
      <c r="N537" t="s">
        <v>27</v>
      </c>
      <c r="O537" t="s">
        <v>52</v>
      </c>
      <c r="P537">
        <v>123.92</v>
      </c>
    </row>
    <row r="538" spans="1:16">
      <c r="A538" s="4">
        <v>2017</v>
      </c>
      <c r="B538" s="4">
        <v>128223</v>
      </c>
      <c r="C538" t="s">
        <v>1919</v>
      </c>
      <c r="D538" t="s">
        <v>1919</v>
      </c>
      <c r="E538" t="s">
        <v>132</v>
      </c>
      <c r="F538" t="s">
        <v>1920</v>
      </c>
      <c r="G538" t="s">
        <v>1921</v>
      </c>
      <c r="H538" t="s">
        <v>33</v>
      </c>
      <c r="I538" t="s">
        <v>22</v>
      </c>
      <c r="J538" t="s">
        <v>959</v>
      </c>
      <c r="K538" t="s">
        <v>65</v>
      </c>
      <c r="L538" t="s">
        <v>66</v>
      </c>
      <c r="M538" t="s">
        <v>1922</v>
      </c>
      <c r="N538" t="s">
        <v>79</v>
      </c>
      <c r="O538" t="s">
        <v>347</v>
      </c>
      <c r="P538">
        <v>1293.4880000000001</v>
      </c>
    </row>
    <row r="539" spans="1:16">
      <c r="A539" s="4">
        <v>2017</v>
      </c>
      <c r="B539" s="4">
        <v>137547</v>
      </c>
      <c r="C539" t="s">
        <v>1923</v>
      </c>
      <c r="D539" t="s">
        <v>1924</v>
      </c>
      <c r="E539" t="s">
        <v>18</v>
      </c>
      <c r="F539" t="s">
        <v>1920</v>
      </c>
      <c r="G539" t="s">
        <v>1921</v>
      </c>
      <c r="H539" t="s">
        <v>33</v>
      </c>
      <c r="I539" t="s">
        <v>22</v>
      </c>
      <c r="J539" t="s">
        <v>1861</v>
      </c>
      <c r="K539" t="s">
        <v>35</v>
      </c>
      <c r="L539" t="s">
        <v>36</v>
      </c>
      <c r="M539" t="s">
        <v>387</v>
      </c>
      <c r="N539" t="s">
        <v>38</v>
      </c>
      <c r="O539" t="s">
        <v>118</v>
      </c>
      <c r="P539">
        <v>21.071999999999999</v>
      </c>
    </row>
    <row r="540" spans="1:16">
      <c r="A540" s="4">
        <v>2016</v>
      </c>
      <c r="B540" s="4">
        <v>104493</v>
      </c>
      <c r="C540" t="s">
        <v>1925</v>
      </c>
      <c r="D540" t="s">
        <v>1926</v>
      </c>
      <c r="E540" t="s">
        <v>18</v>
      </c>
      <c r="F540" t="s">
        <v>1920</v>
      </c>
      <c r="G540" t="s">
        <v>1921</v>
      </c>
      <c r="H540" t="s">
        <v>33</v>
      </c>
      <c r="I540" t="s">
        <v>22</v>
      </c>
      <c r="J540" t="s">
        <v>630</v>
      </c>
      <c r="K540" t="s">
        <v>65</v>
      </c>
      <c r="L540" t="s">
        <v>66</v>
      </c>
      <c r="M540" t="s">
        <v>174</v>
      </c>
      <c r="N540" t="s">
        <v>27</v>
      </c>
      <c r="O540" t="s">
        <v>101</v>
      </c>
      <c r="P540">
        <v>57.503999999999998</v>
      </c>
    </row>
    <row r="541" spans="1:16">
      <c r="A541" s="4">
        <v>2018</v>
      </c>
      <c r="B541" s="4">
        <v>147277</v>
      </c>
      <c r="C541" t="s">
        <v>1927</v>
      </c>
      <c r="D541" t="s">
        <v>1928</v>
      </c>
      <c r="E541" t="s">
        <v>18</v>
      </c>
      <c r="F541" t="s">
        <v>1920</v>
      </c>
      <c r="G541" t="s">
        <v>1921</v>
      </c>
      <c r="H541" t="s">
        <v>33</v>
      </c>
      <c r="I541" t="s">
        <v>22</v>
      </c>
      <c r="J541" t="s">
        <v>1929</v>
      </c>
      <c r="K541" t="s">
        <v>237</v>
      </c>
      <c r="L541" t="s">
        <v>25</v>
      </c>
      <c r="M541" t="s">
        <v>1930</v>
      </c>
      <c r="N541" t="s">
        <v>79</v>
      </c>
      <c r="O541" t="s">
        <v>347</v>
      </c>
      <c r="P541">
        <v>284.36399999999998</v>
      </c>
    </row>
    <row r="542" spans="1:16">
      <c r="A542" s="4">
        <v>2015</v>
      </c>
      <c r="B542" s="4">
        <v>100090</v>
      </c>
      <c r="C542" t="s">
        <v>1931</v>
      </c>
      <c r="D542" t="s">
        <v>354</v>
      </c>
      <c r="E542" t="s">
        <v>18</v>
      </c>
      <c r="F542" t="s">
        <v>1920</v>
      </c>
      <c r="G542" t="s">
        <v>1921</v>
      </c>
      <c r="H542" t="s">
        <v>33</v>
      </c>
      <c r="I542" t="s">
        <v>22</v>
      </c>
      <c r="J542" t="s">
        <v>226</v>
      </c>
      <c r="K542" t="s">
        <v>65</v>
      </c>
      <c r="L542" t="s">
        <v>66</v>
      </c>
      <c r="M542" t="s">
        <v>1932</v>
      </c>
      <c r="N542" t="s">
        <v>79</v>
      </c>
      <c r="O542" t="s">
        <v>347</v>
      </c>
      <c r="P542">
        <v>502.488</v>
      </c>
    </row>
    <row r="543" spans="1:16">
      <c r="A543" s="4">
        <v>2018</v>
      </c>
      <c r="B543" s="4">
        <v>123085</v>
      </c>
      <c r="C543" t="s">
        <v>1933</v>
      </c>
      <c r="D543" t="s">
        <v>1934</v>
      </c>
      <c r="E543" t="s">
        <v>18</v>
      </c>
      <c r="F543" t="s">
        <v>1935</v>
      </c>
      <c r="G543" t="s">
        <v>1936</v>
      </c>
      <c r="H543" t="s">
        <v>21</v>
      </c>
      <c r="I543" t="s">
        <v>97</v>
      </c>
      <c r="J543" t="s">
        <v>64</v>
      </c>
      <c r="K543" t="s">
        <v>65</v>
      </c>
      <c r="L543" t="s">
        <v>66</v>
      </c>
      <c r="M543" t="s">
        <v>1937</v>
      </c>
      <c r="N543" t="s">
        <v>38</v>
      </c>
      <c r="O543" t="s">
        <v>68</v>
      </c>
      <c r="P543">
        <v>1049.44</v>
      </c>
    </row>
    <row r="544" spans="1:16">
      <c r="A544" s="4">
        <v>2018</v>
      </c>
      <c r="B544" s="4">
        <v>150707</v>
      </c>
      <c r="C544" t="s">
        <v>799</v>
      </c>
      <c r="D544" t="s">
        <v>659</v>
      </c>
      <c r="E544" t="s">
        <v>18</v>
      </c>
      <c r="F544" t="s">
        <v>1938</v>
      </c>
      <c r="G544" t="s">
        <v>1939</v>
      </c>
      <c r="H544" t="s">
        <v>33</v>
      </c>
      <c r="I544" t="s">
        <v>63</v>
      </c>
      <c r="J544" t="s">
        <v>977</v>
      </c>
      <c r="K544" t="s">
        <v>706</v>
      </c>
      <c r="L544" t="s">
        <v>25</v>
      </c>
      <c r="M544" t="s">
        <v>1940</v>
      </c>
      <c r="N544" t="s">
        <v>27</v>
      </c>
      <c r="O544" t="s">
        <v>101</v>
      </c>
      <c r="P544">
        <v>37.659999999999997</v>
      </c>
    </row>
    <row r="545" spans="1:16">
      <c r="A545" s="4">
        <v>2017</v>
      </c>
      <c r="B545" s="4">
        <v>113061</v>
      </c>
      <c r="C545" t="s">
        <v>1224</v>
      </c>
      <c r="D545" t="s">
        <v>1776</v>
      </c>
      <c r="E545" t="s">
        <v>18</v>
      </c>
      <c r="F545" t="s">
        <v>1938</v>
      </c>
      <c r="G545" t="s">
        <v>1939</v>
      </c>
      <c r="H545" t="s">
        <v>33</v>
      </c>
      <c r="I545" t="s">
        <v>63</v>
      </c>
      <c r="J545" t="s">
        <v>1941</v>
      </c>
      <c r="K545" t="s">
        <v>99</v>
      </c>
      <c r="L545" t="s">
        <v>36</v>
      </c>
      <c r="M545" t="s">
        <v>1942</v>
      </c>
      <c r="N545" t="s">
        <v>79</v>
      </c>
      <c r="O545" t="s">
        <v>80</v>
      </c>
      <c r="P545">
        <v>86.62</v>
      </c>
    </row>
    <row r="546" spans="1:16">
      <c r="A546" s="4">
        <v>2018</v>
      </c>
      <c r="B546" s="4">
        <v>122707</v>
      </c>
      <c r="C546" t="s">
        <v>1943</v>
      </c>
      <c r="D546" t="s">
        <v>89</v>
      </c>
      <c r="E546" t="s">
        <v>42</v>
      </c>
      <c r="F546" t="s">
        <v>1944</v>
      </c>
      <c r="G546" t="s">
        <v>1945</v>
      </c>
      <c r="H546" t="s">
        <v>21</v>
      </c>
      <c r="I546" t="s">
        <v>22</v>
      </c>
      <c r="J546" t="s">
        <v>1946</v>
      </c>
      <c r="K546" t="s">
        <v>518</v>
      </c>
      <c r="L546" t="s">
        <v>45</v>
      </c>
      <c r="M546" t="s">
        <v>1947</v>
      </c>
      <c r="N546" t="s">
        <v>27</v>
      </c>
      <c r="O546" t="s">
        <v>74</v>
      </c>
      <c r="P546">
        <v>477.24</v>
      </c>
    </row>
    <row r="547" spans="1:16">
      <c r="A547" s="4">
        <v>2017</v>
      </c>
      <c r="B547" s="4">
        <v>119046</v>
      </c>
      <c r="C547" t="s">
        <v>1948</v>
      </c>
      <c r="D547" t="s">
        <v>1629</v>
      </c>
      <c r="E547" t="s">
        <v>18</v>
      </c>
      <c r="F547" t="s">
        <v>1949</v>
      </c>
      <c r="G547" t="s">
        <v>1950</v>
      </c>
      <c r="H547" t="s">
        <v>33</v>
      </c>
      <c r="I547" t="s">
        <v>22</v>
      </c>
      <c r="J547" t="s">
        <v>271</v>
      </c>
      <c r="K547" t="s">
        <v>165</v>
      </c>
      <c r="L547" t="s">
        <v>66</v>
      </c>
      <c r="M547" t="s">
        <v>1951</v>
      </c>
      <c r="N547" t="s">
        <v>27</v>
      </c>
      <c r="O547" t="s">
        <v>52</v>
      </c>
      <c r="P547">
        <v>30.18</v>
      </c>
    </row>
    <row r="548" spans="1:16">
      <c r="A548" s="4">
        <v>2018</v>
      </c>
      <c r="B548" s="4">
        <v>111423</v>
      </c>
      <c r="C548" t="s">
        <v>1952</v>
      </c>
      <c r="D548" t="s">
        <v>858</v>
      </c>
      <c r="E548" t="s">
        <v>42</v>
      </c>
      <c r="F548" t="s">
        <v>1949</v>
      </c>
      <c r="G548" t="s">
        <v>1950</v>
      </c>
      <c r="H548" t="s">
        <v>33</v>
      </c>
      <c r="I548" t="s">
        <v>22</v>
      </c>
      <c r="J548" t="s">
        <v>1953</v>
      </c>
      <c r="K548" t="s">
        <v>50</v>
      </c>
      <c r="L548" t="s">
        <v>25</v>
      </c>
      <c r="M548" t="s">
        <v>1954</v>
      </c>
      <c r="N548" t="s">
        <v>27</v>
      </c>
      <c r="O548" t="s">
        <v>101</v>
      </c>
      <c r="P548">
        <v>895.92</v>
      </c>
    </row>
    <row r="549" spans="1:16">
      <c r="A549" s="4">
        <v>2016</v>
      </c>
      <c r="B549" s="4">
        <v>103177</v>
      </c>
      <c r="C549" t="s">
        <v>1955</v>
      </c>
      <c r="D549" t="s">
        <v>1956</v>
      </c>
      <c r="E549" t="s">
        <v>42</v>
      </c>
      <c r="F549" t="s">
        <v>1957</v>
      </c>
      <c r="G549" t="s">
        <v>1958</v>
      </c>
      <c r="H549" t="s">
        <v>21</v>
      </c>
      <c r="I549" t="s">
        <v>97</v>
      </c>
      <c r="J549" t="s">
        <v>49</v>
      </c>
      <c r="K549" t="s">
        <v>50</v>
      </c>
      <c r="L549" t="s">
        <v>25</v>
      </c>
      <c r="M549" t="s">
        <v>1959</v>
      </c>
      <c r="N549" t="s">
        <v>38</v>
      </c>
      <c r="O549" t="s">
        <v>118</v>
      </c>
      <c r="P549">
        <v>239.97</v>
      </c>
    </row>
    <row r="550" spans="1:16">
      <c r="A550" s="4">
        <v>2016</v>
      </c>
      <c r="B550" s="4">
        <v>154340</v>
      </c>
      <c r="C550" t="s">
        <v>584</v>
      </c>
      <c r="D550" t="s">
        <v>585</v>
      </c>
      <c r="E550" t="s">
        <v>42</v>
      </c>
      <c r="F550" t="s">
        <v>1960</v>
      </c>
      <c r="G550" t="s">
        <v>1961</v>
      </c>
      <c r="H550" t="s">
        <v>21</v>
      </c>
      <c r="I550" t="s">
        <v>63</v>
      </c>
      <c r="J550" t="s">
        <v>1962</v>
      </c>
      <c r="K550" t="s">
        <v>65</v>
      </c>
      <c r="L550" t="s">
        <v>66</v>
      </c>
      <c r="M550" t="s">
        <v>1963</v>
      </c>
      <c r="N550" t="s">
        <v>27</v>
      </c>
      <c r="O550" t="s">
        <v>28</v>
      </c>
      <c r="P550">
        <v>56.3</v>
      </c>
    </row>
    <row r="551" spans="1:16">
      <c r="A551" s="4">
        <v>2016</v>
      </c>
      <c r="B551" s="4">
        <v>113404</v>
      </c>
      <c r="C551" t="s">
        <v>1964</v>
      </c>
      <c r="D551" t="s">
        <v>1964</v>
      </c>
      <c r="E551" t="s">
        <v>132</v>
      </c>
      <c r="F551" t="s">
        <v>1965</v>
      </c>
      <c r="G551" t="s">
        <v>1966</v>
      </c>
      <c r="H551" t="s">
        <v>21</v>
      </c>
      <c r="I551" t="s">
        <v>22</v>
      </c>
      <c r="J551" t="s">
        <v>226</v>
      </c>
      <c r="K551" t="s">
        <v>65</v>
      </c>
      <c r="L551" t="s">
        <v>66</v>
      </c>
      <c r="M551" t="s">
        <v>1967</v>
      </c>
      <c r="N551" t="s">
        <v>79</v>
      </c>
      <c r="O551" t="s">
        <v>138</v>
      </c>
      <c r="P551">
        <v>1348.704</v>
      </c>
    </row>
    <row r="552" spans="1:16">
      <c r="A552" s="4">
        <v>2017</v>
      </c>
      <c r="B552" s="4">
        <v>116764</v>
      </c>
      <c r="C552" t="s">
        <v>1968</v>
      </c>
      <c r="D552" t="s">
        <v>1200</v>
      </c>
      <c r="E552" t="s">
        <v>18</v>
      </c>
      <c r="F552" t="s">
        <v>1969</v>
      </c>
      <c r="G552" t="s">
        <v>1970</v>
      </c>
      <c r="H552" t="s">
        <v>33</v>
      </c>
      <c r="I552" t="s">
        <v>22</v>
      </c>
      <c r="J552" t="s">
        <v>1319</v>
      </c>
      <c r="K552" t="s">
        <v>196</v>
      </c>
      <c r="L552" t="s">
        <v>45</v>
      </c>
      <c r="M552" t="s">
        <v>1971</v>
      </c>
      <c r="N552" t="s">
        <v>27</v>
      </c>
      <c r="O552" t="s">
        <v>111</v>
      </c>
      <c r="P552">
        <v>9.2159999999999993</v>
      </c>
    </row>
    <row r="553" spans="1:16">
      <c r="A553" s="4">
        <v>2018</v>
      </c>
      <c r="B553" s="4">
        <v>122035</v>
      </c>
      <c r="C553" t="s">
        <v>1106</v>
      </c>
      <c r="D553" t="s">
        <v>1865</v>
      </c>
      <c r="E553" t="s">
        <v>18</v>
      </c>
      <c r="F553" t="s">
        <v>1969</v>
      </c>
      <c r="G553" t="s">
        <v>1970</v>
      </c>
      <c r="H553" t="s">
        <v>33</v>
      </c>
      <c r="I553" t="s">
        <v>22</v>
      </c>
      <c r="J553" t="s">
        <v>1972</v>
      </c>
      <c r="K553" t="s">
        <v>1973</v>
      </c>
      <c r="L553" t="s">
        <v>36</v>
      </c>
      <c r="M553" t="s">
        <v>1974</v>
      </c>
      <c r="N553" t="s">
        <v>27</v>
      </c>
      <c r="O553" t="s">
        <v>111</v>
      </c>
      <c r="P553">
        <v>14.62</v>
      </c>
    </row>
    <row r="554" spans="1:16">
      <c r="A554" s="4">
        <v>2016</v>
      </c>
      <c r="B554" s="4">
        <v>149748</v>
      </c>
      <c r="C554" t="s">
        <v>846</v>
      </c>
      <c r="D554" t="s">
        <v>1975</v>
      </c>
      <c r="E554" t="s">
        <v>144</v>
      </c>
      <c r="F554" t="s">
        <v>1969</v>
      </c>
      <c r="G554" t="s">
        <v>1970</v>
      </c>
      <c r="H554" t="s">
        <v>33</v>
      </c>
      <c r="I554" t="s">
        <v>22</v>
      </c>
      <c r="J554" t="s">
        <v>1696</v>
      </c>
      <c r="K554" t="s">
        <v>869</v>
      </c>
      <c r="L554" t="s">
        <v>25</v>
      </c>
      <c r="M554" t="s">
        <v>1976</v>
      </c>
      <c r="N554" t="s">
        <v>27</v>
      </c>
      <c r="O554" t="s">
        <v>52</v>
      </c>
      <c r="P554">
        <v>274.8</v>
      </c>
    </row>
    <row r="555" spans="1:16">
      <c r="A555" s="4">
        <v>2018</v>
      </c>
      <c r="B555" s="4">
        <v>156951</v>
      </c>
      <c r="C555" t="s">
        <v>1437</v>
      </c>
      <c r="D555" t="s">
        <v>1977</v>
      </c>
      <c r="E555" t="s">
        <v>18</v>
      </c>
      <c r="F555" t="s">
        <v>1978</v>
      </c>
      <c r="G555" t="s">
        <v>1979</v>
      </c>
      <c r="H555" t="s">
        <v>33</v>
      </c>
      <c r="I555" t="s">
        <v>22</v>
      </c>
      <c r="J555" t="s">
        <v>271</v>
      </c>
      <c r="K555" t="s">
        <v>165</v>
      </c>
      <c r="L555" t="s">
        <v>66</v>
      </c>
      <c r="M555" t="s">
        <v>1980</v>
      </c>
      <c r="N555" t="s">
        <v>27</v>
      </c>
      <c r="O555" t="s">
        <v>52</v>
      </c>
      <c r="P555">
        <v>91.84</v>
      </c>
    </row>
    <row r="556" spans="1:16">
      <c r="A556" s="4">
        <v>2017</v>
      </c>
      <c r="B556" s="4">
        <v>139885</v>
      </c>
      <c r="C556" t="s">
        <v>1981</v>
      </c>
      <c r="D556" t="s">
        <v>220</v>
      </c>
      <c r="E556" t="s">
        <v>18</v>
      </c>
      <c r="F556" t="s">
        <v>1978</v>
      </c>
      <c r="G556" t="s">
        <v>1979</v>
      </c>
      <c r="H556" t="s">
        <v>33</v>
      </c>
      <c r="I556" t="s">
        <v>22</v>
      </c>
      <c r="J556" t="s">
        <v>49</v>
      </c>
      <c r="K556" t="s">
        <v>50</v>
      </c>
      <c r="L556" t="s">
        <v>25</v>
      </c>
      <c r="M556" t="s">
        <v>1982</v>
      </c>
      <c r="N556" t="s">
        <v>27</v>
      </c>
      <c r="O556" t="s">
        <v>58</v>
      </c>
      <c r="P556">
        <v>212.88</v>
      </c>
    </row>
    <row r="557" spans="1:16">
      <c r="A557" s="4">
        <v>2015</v>
      </c>
      <c r="B557" s="4">
        <v>102631</v>
      </c>
      <c r="C557" t="s">
        <v>1983</v>
      </c>
      <c r="D557" t="s">
        <v>1984</v>
      </c>
      <c r="E557" t="s">
        <v>18</v>
      </c>
      <c r="F557" t="s">
        <v>1978</v>
      </c>
      <c r="G557" t="s">
        <v>1979</v>
      </c>
      <c r="H557" t="s">
        <v>33</v>
      </c>
      <c r="I557" t="s">
        <v>22</v>
      </c>
      <c r="J557" t="s">
        <v>108</v>
      </c>
      <c r="K557" t="s">
        <v>109</v>
      </c>
      <c r="L557" t="s">
        <v>36</v>
      </c>
      <c r="M557" t="s">
        <v>1985</v>
      </c>
      <c r="N557" t="s">
        <v>79</v>
      </c>
      <c r="O557" t="s">
        <v>80</v>
      </c>
      <c r="P557">
        <v>94.427999999999997</v>
      </c>
    </row>
    <row r="558" spans="1:16">
      <c r="A558" s="4">
        <v>2017</v>
      </c>
      <c r="B558" s="4">
        <v>149223</v>
      </c>
      <c r="C558" t="s">
        <v>1986</v>
      </c>
      <c r="D558" t="s">
        <v>106</v>
      </c>
      <c r="E558" t="s">
        <v>18</v>
      </c>
      <c r="F558" t="s">
        <v>1987</v>
      </c>
      <c r="G558" t="s">
        <v>1988</v>
      </c>
      <c r="H558" t="s">
        <v>33</v>
      </c>
      <c r="I558" t="s">
        <v>22</v>
      </c>
      <c r="J558" t="s">
        <v>1989</v>
      </c>
      <c r="K558" t="s">
        <v>372</v>
      </c>
      <c r="L558" t="s">
        <v>36</v>
      </c>
      <c r="M558" t="s">
        <v>1990</v>
      </c>
      <c r="N558" t="s">
        <v>27</v>
      </c>
      <c r="O558" t="s">
        <v>228</v>
      </c>
      <c r="P558">
        <v>77.88</v>
      </c>
    </row>
    <row r="559" spans="1:16">
      <c r="A559" s="4">
        <v>2016</v>
      </c>
      <c r="B559" s="4">
        <v>127019</v>
      </c>
      <c r="C559" t="s">
        <v>1991</v>
      </c>
      <c r="D559" t="s">
        <v>601</v>
      </c>
      <c r="E559" t="s">
        <v>18</v>
      </c>
      <c r="F559" t="s">
        <v>1987</v>
      </c>
      <c r="G559" t="s">
        <v>1988</v>
      </c>
      <c r="H559" t="s">
        <v>33</v>
      </c>
      <c r="I559" t="s">
        <v>22</v>
      </c>
      <c r="J559" t="s">
        <v>1992</v>
      </c>
      <c r="K559" t="s">
        <v>222</v>
      </c>
      <c r="L559" t="s">
        <v>66</v>
      </c>
      <c r="M559" t="s">
        <v>1993</v>
      </c>
      <c r="N559" t="s">
        <v>27</v>
      </c>
      <c r="O559" t="s">
        <v>228</v>
      </c>
      <c r="P559">
        <v>60.984000000000002</v>
      </c>
    </row>
    <row r="560" spans="1:16">
      <c r="A560" s="4">
        <v>2018</v>
      </c>
      <c r="B560" s="4">
        <v>148999</v>
      </c>
      <c r="C560" t="s">
        <v>794</v>
      </c>
      <c r="D560" t="s">
        <v>1994</v>
      </c>
      <c r="E560" t="s">
        <v>18</v>
      </c>
      <c r="F560" t="s">
        <v>1995</v>
      </c>
      <c r="G560" t="s">
        <v>1996</v>
      </c>
      <c r="H560" t="s">
        <v>33</v>
      </c>
      <c r="I560" t="s">
        <v>97</v>
      </c>
      <c r="J560" t="s">
        <v>437</v>
      </c>
      <c r="K560" t="s">
        <v>196</v>
      </c>
      <c r="L560" t="s">
        <v>45</v>
      </c>
      <c r="M560" t="s">
        <v>1997</v>
      </c>
      <c r="N560" t="s">
        <v>79</v>
      </c>
      <c r="O560" t="s">
        <v>138</v>
      </c>
      <c r="P560">
        <v>419.13600000000002</v>
      </c>
    </row>
    <row r="561" spans="1:16">
      <c r="A561" s="4">
        <v>2018</v>
      </c>
      <c r="B561" s="4">
        <v>169817</v>
      </c>
      <c r="C561" t="s">
        <v>213</v>
      </c>
      <c r="D561" t="s">
        <v>1854</v>
      </c>
      <c r="E561" t="s">
        <v>18</v>
      </c>
      <c r="F561" t="s">
        <v>1995</v>
      </c>
      <c r="G561" t="s">
        <v>1996</v>
      </c>
      <c r="H561" t="s">
        <v>33</v>
      </c>
      <c r="I561" t="s">
        <v>97</v>
      </c>
      <c r="J561" t="s">
        <v>23</v>
      </c>
      <c r="K561" t="s">
        <v>24</v>
      </c>
      <c r="L561" t="s">
        <v>25</v>
      </c>
      <c r="M561" t="s">
        <v>1998</v>
      </c>
      <c r="N561" t="s">
        <v>27</v>
      </c>
      <c r="O561" t="s">
        <v>101</v>
      </c>
      <c r="P561">
        <v>1.9079999999999999</v>
      </c>
    </row>
    <row r="562" spans="1:16">
      <c r="A562" s="4">
        <v>2017</v>
      </c>
      <c r="B562" s="4">
        <v>144939</v>
      </c>
      <c r="C562" t="s">
        <v>1999</v>
      </c>
      <c r="D562" t="s">
        <v>722</v>
      </c>
      <c r="E562" t="s">
        <v>18</v>
      </c>
      <c r="F562" t="s">
        <v>1995</v>
      </c>
      <c r="G562" t="s">
        <v>1996</v>
      </c>
      <c r="H562" t="s">
        <v>33</v>
      </c>
      <c r="I562" t="s">
        <v>97</v>
      </c>
      <c r="J562" t="s">
        <v>49</v>
      </c>
      <c r="K562" t="s">
        <v>50</v>
      </c>
      <c r="L562" t="s">
        <v>25</v>
      </c>
      <c r="M562" t="s">
        <v>2000</v>
      </c>
      <c r="N562" t="s">
        <v>79</v>
      </c>
      <c r="O562" t="s">
        <v>138</v>
      </c>
      <c r="P562">
        <v>599.29200000000003</v>
      </c>
    </row>
    <row r="563" spans="1:16">
      <c r="A563" s="4">
        <v>2015</v>
      </c>
      <c r="B563" s="4">
        <v>126340</v>
      </c>
      <c r="C563" t="s">
        <v>521</v>
      </c>
      <c r="D563" t="s">
        <v>1047</v>
      </c>
      <c r="E563" t="s">
        <v>18</v>
      </c>
      <c r="F563" t="s">
        <v>1995</v>
      </c>
      <c r="G563" t="s">
        <v>1996</v>
      </c>
      <c r="H563" t="s">
        <v>33</v>
      </c>
      <c r="I563" t="s">
        <v>97</v>
      </c>
      <c r="J563" t="s">
        <v>2001</v>
      </c>
      <c r="K563" t="s">
        <v>65</v>
      </c>
      <c r="L563" t="s">
        <v>66</v>
      </c>
      <c r="M563" t="s">
        <v>2002</v>
      </c>
      <c r="N563" t="s">
        <v>38</v>
      </c>
      <c r="O563" t="s">
        <v>118</v>
      </c>
      <c r="P563">
        <v>333.57600000000002</v>
      </c>
    </row>
    <row r="564" spans="1:16">
      <c r="A564" s="4">
        <v>2016</v>
      </c>
      <c r="B564" s="4">
        <v>153626</v>
      </c>
      <c r="C564" t="s">
        <v>1008</v>
      </c>
      <c r="D564" t="s">
        <v>2003</v>
      </c>
      <c r="E564" t="s">
        <v>18</v>
      </c>
      <c r="F564" t="s">
        <v>1995</v>
      </c>
      <c r="G564" t="s">
        <v>1996</v>
      </c>
      <c r="H564" t="s">
        <v>33</v>
      </c>
      <c r="I564" t="s">
        <v>97</v>
      </c>
      <c r="J564" t="s">
        <v>205</v>
      </c>
      <c r="K564" t="s">
        <v>206</v>
      </c>
      <c r="L564" t="s">
        <v>45</v>
      </c>
      <c r="M564" t="s">
        <v>2004</v>
      </c>
      <c r="N564" t="s">
        <v>27</v>
      </c>
      <c r="O564" t="s">
        <v>28</v>
      </c>
      <c r="P564">
        <v>5.16</v>
      </c>
    </row>
    <row r="565" spans="1:16">
      <c r="A565" s="4">
        <v>2018</v>
      </c>
      <c r="B565" s="4">
        <v>133102</v>
      </c>
      <c r="C565" t="s">
        <v>1952</v>
      </c>
      <c r="D565" t="s">
        <v>2005</v>
      </c>
      <c r="E565" t="s">
        <v>18</v>
      </c>
      <c r="F565" t="s">
        <v>2006</v>
      </c>
      <c r="G565" t="s">
        <v>2007</v>
      </c>
      <c r="H565" t="s">
        <v>33</v>
      </c>
      <c r="I565" t="s">
        <v>63</v>
      </c>
      <c r="J565" t="s">
        <v>183</v>
      </c>
      <c r="K565" t="s">
        <v>35</v>
      </c>
      <c r="L565" t="s">
        <v>36</v>
      </c>
      <c r="M565" t="s">
        <v>2008</v>
      </c>
      <c r="N565" t="s">
        <v>27</v>
      </c>
      <c r="O565" t="s">
        <v>74</v>
      </c>
      <c r="P565">
        <v>5.5519999999999996</v>
      </c>
    </row>
    <row r="566" spans="1:16">
      <c r="A566" s="4">
        <v>2017</v>
      </c>
      <c r="B566" s="4">
        <v>118311</v>
      </c>
      <c r="C566" t="s">
        <v>2009</v>
      </c>
      <c r="D566" t="s">
        <v>273</v>
      </c>
      <c r="E566" t="s">
        <v>18</v>
      </c>
      <c r="F566" t="s">
        <v>2006</v>
      </c>
      <c r="G566" t="s">
        <v>2007</v>
      </c>
      <c r="H566" t="s">
        <v>33</v>
      </c>
      <c r="I566" t="s">
        <v>63</v>
      </c>
      <c r="J566" t="s">
        <v>226</v>
      </c>
      <c r="K566" t="s">
        <v>65</v>
      </c>
      <c r="L566" t="s">
        <v>66</v>
      </c>
      <c r="M566" t="s">
        <v>2010</v>
      </c>
      <c r="N566" t="s">
        <v>38</v>
      </c>
      <c r="O566" t="s">
        <v>68</v>
      </c>
      <c r="P566">
        <v>450</v>
      </c>
    </row>
    <row r="567" spans="1:16">
      <c r="A567" s="4">
        <v>2015</v>
      </c>
      <c r="B567" s="4">
        <v>110527</v>
      </c>
      <c r="C567" t="s">
        <v>409</v>
      </c>
      <c r="D567" t="s">
        <v>410</v>
      </c>
      <c r="E567" t="s">
        <v>18</v>
      </c>
      <c r="F567" t="s">
        <v>2006</v>
      </c>
      <c r="G567" t="s">
        <v>2007</v>
      </c>
      <c r="H567" t="s">
        <v>33</v>
      </c>
      <c r="I567" t="s">
        <v>63</v>
      </c>
      <c r="J567" t="s">
        <v>630</v>
      </c>
      <c r="K567" t="s">
        <v>65</v>
      </c>
      <c r="L567" t="s">
        <v>66</v>
      </c>
      <c r="M567" t="s">
        <v>2011</v>
      </c>
      <c r="N567" t="s">
        <v>27</v>
      </c>
      <c r="O567" t="s">
        <v>111</v>
      </c>
      <c r="P567">
        <v>20.88</v>
      </c>
    </row>
    <row r="568" spans="1:16">
      <c r="A568" s="4">
        <v>2016</v>
      </c>
      <c r="B568" s="4">
        <v>160227</v>
      </c>
      <c r="C568" t="s">
        <v>2012</v>
      </c>
      <c r="D568" t="s">
        <v>1524</v>
      </c>
      <c r="E568" t="s">
        <v>42</v>
      </c>
      <c r="F568" t="s">
        <v>2006</v>
      </c>
      <c r="G568" t="s">
        <v>2007</v>
      </c>
      <c r="H568" t="s">
        <v>33</v>
      </c>
      <c r="I568" t="s">
        <v>63</v>
      </c>
      <c r="J568" t="s">
        <v>49</v>
      </c>
      <c r="K568" t="s">
        <v>50</v>
      </c>
      <c r="L568" t="s">
        <v>25</v>
      </c>
      <c r="M568" t="s">
        <v>1580</v>
      </c>
      <c r="N568" t="s">
        <v>79</v>
      </c>
      <c r="O568" t="s">
        <v>138</v>
      </c>
      <c r="P568">
        <v>2621.3220000000001</v>
      </c>
    </row>
    <row r="569" spans="1:16">
      <c r="A569" s="4">
        <v>2018</v>
      </c>
      <c r="B569" s="4">
        <v>141719</v>
      </c>
      <c r="C569" t="s">
        <v>1312</v>
      </c>
      <c r="D569" t="s">
        <v>143</v>
      </c>
      <c r="E569" t="s">
        <v>144</v>
      </c>
      <c r="F569" t="s">
        <v>2013</v>
      </c>
      <c r="G569" t="s">
        <v>2014</v>
      </c>
      <c r="H569" t="s">
        <v>33</v>
      </c>
      <c r="I569" t="s">
        <v>97</v>
      </c>
      <c r="J569" t="s">
        <v>2015</v>
      </c>
      <c r="K569" t="s">
        <v>109</v>
      </c>
      <c r="L569" t="s">
        <v>36</v>
      </c>
      <c r="M569" t="s">
        <v>2016</v>
      </c>
      <c r="N569" t="s">
        <v>38</v>
      </c>
      <c r="O569" t="s">
        <v>68</v>
      </c>
      <c r="P569">
        <v>239.96</v>
      </c>
    </row>
    <row r="570" spans="1:16">
      <c r="A570" s="4">
        <v>2016</v>
      </c>
      <c r="B570" s="4">
        <v>138625</v>
      </c>
      <c r="C570" t="s">
        <v>2012</v>
      </c>
      <c r="D570" t="s">
        <v>2017</v>
      </c>
      <c r="E570" t="s">
        <v>42</v>
      </c>
      <c r="F570" t="s">
        <v>2013</v>
      </c>
      <c r="G570" t="s">
        <v>2014</v>
      </c>
      <c r="H570" t="s">
        <v>33</v>
      </c>
      <c r="I570" t="s">
        <v>97</v>
      </c>
      <c r="J570" t="s">
        <v>598</v>
      </c>
      <c r="K570" t="s">
        <v>56</v>
      </c>
      <c r="L570" t="s">
        <v>45</v>
      </c>
      <c r="M570" t="s">
        <v>2018</v>
      </c>
      <c r="N570" t="s">
        <v>27</v>
      </c>
      <c r="O570" t="s">
        <v>228</v>
      </c>
      <c r="P570">
        <v>197.72</v>
      </c>
    </row>
    <row r="571" spans="1:16">
      <c r="A571" s="4">
        <v>2017</v>
      </c>
      <c r="B571" s="4">
        <v>150861</v>
      </c>
      <c r="C571" t="s">
        <v>1139</v>
      </c>
      <c r="D571" t="s">
        <v>2019</v>
      </c>
      <c r="E571" t="s">
        <v>42</v>
      </c>
      <c r="F571" t="s">
        <v>2013</v>
      </c>
      <c r="G571" t="s">
        <v>2014</v>
      </c>
      <c r="H571" t="s">
        <v>33</v>
      </c>
      <c r="I571" t="s">
        <v>97</v>
      </c>
      <c r="J571" t="s">
        <v>1588</v>
      </c>
      <c r="K571" t="s">
        <v>50</v>
      </c>
      <c r="L571" t="s">
        <v>25</v>
      </c>
      <c r="M571" t="s">
        <v>2020</v>
      </c>
      <c r="N571" t="s">
        <v>27</v>
      </c>
      <c r="O571" t="s">
        <v>52</v>
      </c>
      <c r="P571">
        <v>182.72</v>
      </c>
    </row>
    <row r="572" spans="1:16">
      <c r="A572" s="4">
        <v>2018</v>
      </c>
      <c r="B572" s="4">
        <v>157483</v>
      </c>
      <c r="C572" t="s">
        <v>2021</v>
      </c>
      <c r="D572" t="s">
        <v>608</v>
      </c>
      <c r="E572" t="s">
        <v>18</v>
      </c>
      <c r="F572" t="s">
        <v>2022</v>
      </c>
      <c r="G572" t="s">
        <v>2023</v>
      </c>
      <c r="H572" t="s">
        <v>33</v>
      </c>
      <c r="I572" t="s">
        <v>97</v>
      </c>
      <c r="J572" t="s">
        <v>879</v>
      </c>
      <c r="K572" t="s">
        <v>855</v>
      </c>
      <c r="L572" t="s">
        <v>36</v>
      </c>
      <c r="M572" t="s">
        <v>2024</v>
      </c>
      <c r="N572" t="s">
        <v>27</v>
      </c>
      <c r="O572" t="s">
        <v>28</v>
      </c>
      <c r="P572">
        <v>181.86</v>
      </c>
    </row>
    <row r="573" spans="1:16">
      <c r="A573" s="4">
        <v>2018</v>
      </c>
      <c r="B573" s="4">
        <v>122637</v>
      </c>
      <c r="C573" t="s">
        <v>625</v>
      </c>
      <c r="D573" t="s">
        <v>626</v>
      </c>
      <c r="E573" t="s">
        <v>144</v>
      </c>
      <c r="F573" t="s">
        <v>2022</v>
      </c>
      <c r="G573" t="s">
        <v>2023</v>
      </c>
      <c r="H573" t="s">
        <v>33</v>
      </c>
      <c r="I573" t="s">
        <v>97</v>
      </c>
      <c r="J573" t="s">
        <v>108</v>
      </c>
      <c r="K573" t="s">
        <v>109</v>
      </c>
      <c r="L573" t="s">
        <v>36</v>
      </c>
      <c r="M573" t="s">
        <v>2025</v>
      </c>
      <c r="N573" t="s">
        <v>27</v>
      </c>
      <c r="O573" t="s">
        <v>101</v>
      </c>
      <c r="P573">
        <v>42.616</v>
      </c>
    </row>
    <row r="574" spans="1:16">
      <c r="A574" s="4">
        <v>2017</v>
      </c>
      <c r="B574" s="4">
        <v>116400</v>
      </c>
      <c r="C574" t="s">
        <v>2026</v>
      </c>
      <c r="D574" t="s">
        <v>2009</v>
      </c>
      <c r="E574" t="s">
        <v>42</v>
      </c>
      <c r="F574" t="s">
        <v>2027</v>
      </c>
      <c r="G574" t="s">
        <v>2028</v>
      </c>
      <c r="H574" t="s">
        <v>21</v>
      </c>
      <c r="I574" t="s">
        <v>97</v>
      </c>
      <c r="J574" t="s">
        <v>1011</v>
      </c>
      <c r="K574" t="s">
        <v>56</v>
      </c>
      <c r="L574" t="s">
        <v>45</v>
      </c>
      <c r="M574" t="s">
        <v>2029</v>
      </c>
      <c r="N574" t="s">
        <v>79</v>
      </c>
      <c r="O574" t="s">
        <v>80</v>
      </c>
      <c r="P574">
        <v>39.92</v>
      </c>
    </row>
    <row r="575" spans="1:16">
      <c r="A575" s="4">
        <v>2016</v>
      </c>
      <c r="B575" s="4">
        <v>114048</v>
      </c>
      <c r="C575" t="s">
        <v>1889</v>
      </c>
      <c r="D575" t="s">
        <v>2030</v>
      </c>
      <c r="E575" t="s">
        <v>18</v>
      </c>
      <c r="F575" t="s">
        <v>2031</v>
      </c>
      <c r="G575" t="s">
        <v>2032</v>
      </c>
      <c r="H575" t="s">
        <v>33</v>
      </c>
      <c r="I575" t="s">
        <v>97</v>
      </c>
      <c r="J575" t="s">
        <v>832</v>
      </c>
      <c r="K575" t="s">
        <v>65</v>
      </c>
      <c r="L575" t="s">
        <v>66</v>
      </c>
      <c r="M575" t="s">
        <v>2033</v>
      </c>
      <c r="N575" t="s">
        <v>79</v>
      </c>
      <c r="O575" t="s">
        <v>80</v>
      </c>
      <c r="P575">
        <v>29.22</v>
      </c>
    </row>
    <row r="576" spans="1:16">
      <c r="A576" s="4">
        <v>2017</v>
      </c>
      <c r="B576" s="4">
        <v>121755</v>
      </c>
      <c r="C576" t="s">
        <v>2034</v>
      </c>
      <c r="D576" t="s">
        <v>483</v>
      </c>
      <c r="E576" t="s">
        <v>144</v>
      </c>
      <c r="F576" t="s">
        <v>2031</v>
      </c>
      <c r="G576" t="s">
        <v>2032</v>
      </c>
      <c r="H576" t="s">
        <v>33</v>
      </c>
      <c r="I576" t="s">
        <v>97</v>
      </c>
      <c r="J576" t="s">
        <v>64</v>
      </c>
      <c r="K576" t="s">
        <v>65</v>
      </c>
      <c r="L576" t="s">
        <v>66</v>
      </c>
      <c r="M576" t="s">
        <v>1782</v>
      </c>
      <c r="N576" t="s">
        <v>27</v>
      </c>
      <c r="O576" t="s">
        <v>101</v>
      </c>
      <c r="P576">
        <v>11.648</v>
      </c>
    </row>
    <row r="577" spans="1:16">
      <c r="A577" s="4">
        <v>2016</v>
      </c>
      <c r="B577" s="4">
        <v>149384</v>
      </c>
      <c r="C577" t="s">
        <v>671</v>
      </c>
      <c r="D577" t="s">
        <v>671</v>
      </c>
      <c r="E577" t="s">
        <v>132</v>
      </c>
      <c r="F577" t="s">
        <v>2031</v>
      </c>
      <c r="G577" t="s">
        <v>2032</v>
      </c>
      <c r="H577" t="s">
        <v>33</v>
      </c>
      <c r="I577" t="s">
        <v>97</v>
      </c>
      <c r="J577" t="s">
        <v>2035</v>
      </c>
      <c r="K577" t="s">
        <v>136</v>
      </c>
      <c r="L577" t="s">
        <v>66</v>
      </c>
      <c r="M577" t="s">
        <v>2036</v>
      </c>
      <c r="N577" t="s">
        <v>27</v>
      </c>
      <c r="O577" t="s">
        <v>101</v>
      </c>
      <c r="P577">
        <v>3.3660000000000001</v>
      </c>
    </row>
    <row r="578" spans="1:16">
      <c r="A578" s="4">
        <v>2016</v>
      </c>
      <c r="B578" s="4">
        <v>119697</v>
      </c>
      <c r="C578" t="s">
        <v>2037</v>
      </c>
      <c r="D578" t="s">
        <v>623</v>
      </c>
      <c r="E578" t="s">
        <v>144</v>
      </c>
      <c r="F578" t="s">
        <v>2038</v>
      </c>
      <c r="G578" t="s">
        <v>2039</v>
      </c>
      <c r="H578" t="s">
        <v>21</v>
      </c>
      <c r="I578" t="s">
        <v>97</v>
      </c>
      <c r="J578" t="s">
        <v>23</v>
      </c>
      <c r="K578" t="s">
        <v>24</v>
      </c>
      <c r="L578" t="s">
        <v>25</v>
      </c>
      <c r="M578" t="s">
        <v>2040</v>
      </c>
      <c r="N578" t="s">
        <v>38</v>
      </c>
      <c r="O578" t="s">
        <v>68</v>
      </c>
      <c r="P578">
        <v>54.384</v>
      </c>
    </row>
    <row r="579" spans="1:16">
      <c r="A579" s="4">
        <v>2017</v>
      </c>
      <c r="B579" s="4">
        <v>164630</v>
      </c>
      <c r="C579" t="s">
        <v>2041</v>
      </c>
      <c r="D579" t="s">
        <v>2042</v>
      </c>
      <c r="E579" t="s">
        <v>18</v>
      </c>
      <c r="F579" t="s">
        <v>2043</v>
      </c>
      <c r="G579" t="s">
        <v>2044</v>
      </c>
      <c r="H579" t="s">
        <v>21</v>
      </c>
      <c r="I579" t="s">
        <v>22</v>
      </c>
      <c r="J579" t="s">
        <v>1413</v>
      </c>
      <c r="K579" t="s">
        <v>44</v>
      </c>
      <c r="L579" t="s">
        <v>45</v>
      </c>
      <c r="M579" t="s">
        <v>2045</v>
      </c>
      <c r="N579" t="s">
        <v>38</v>
      </c>
      <c r="O579" t="s">
        <v>190</v>
      </c>
      <c r="P579">
        <v>959.96799999999996</v>
      </c>
    </row>
    <row r="580" spans="1:16">
      <c r="A580" s="4">
        <v>2015</v>
      </c>
      <c r="B580" s="4">
        <v>102295</v>
      </c>
      <c r="C580" t="s">
        <v>2046</v>
      </c>
      <c r="D580" t="s">
        <v>2047</v>
      </c>
      <c r="E580" t="s">
        <v>144</v>
      </c>
      <c r="F580" t="s">
        <v>2048</v>
      </c>
      <c r="G580" t="s">
        <v>2049</v>
      </c>
      <c r="H580" t="s">
        <v>33</v>
      </c>
      <c r="I580" t="s">
        <v>97</v>
      </c>
      <c r="J580" t="s">
        <v>2050</v>
      </c>
      <c r="K580" t="s">
        <v>65</v>
      </c>
      <c r="L580" t="s">
        <v>66</v>
      </c>
      <c r="M580" t="s">
        <v>568</v>
      </c>
      <c r="N580" t="s">
        <v>79</v>
      </c>
      <c r="O580" t="s">
        <v>138</v>
      </c>
      <c r="P580">
        <v>120.712</v>
      </c>
    </row>
    <row r="581" spans="1:16">
      <c r="A581" s="4">
        <v>2017</v>
      </c>
      <c r="B581" s="4">
        <v>124100</v>
      </c>
      <c r="C581" t="s">
        <v>54</v>
      </c>
      <c r="D581" t="s">
        <v>2051</v>
      </c>
      <c r="E581" t="s">
        <v>18</v>
      </c>
      <c r="F581" t="s">
        <v>2048</v>
      </c>
      <c r="G581" t="s">
        <v>2049</v>
      </c>
      <c r="H581" t="s">
        <v>33</v>
      </c>
      <c r="I581" t="s">
        <v>97</v>
      </c>
      <c r="J581" t="s">
        <v>49</v>
      </c>
      <c r="K581" t="s">
        <v>50</v>
      </c>
      <c r="L581" t="s">
        <v>25</v>
      </c>
      <c r="M581" t="s">
        <v>2052</v>
      </c>
      <c r="N581" t="s">
        <v>79</v>
      </c>
      <c r="O581" t="s">
        <v>138</v>
      </c>
      <c r="P581">
        <v>327.99599999999998</v>
      </c>
    </row>
    <row r="582" spans="1:16">
      <c r="A582" s="4">
        <v>2018</v>
      </c>
      <c r="B582" s="4">
        <v>144862</v>
      </c>
      <c r="C582" t="s">
        <v>1397</v>
      </c>
      <c r="D582" t="s">
        <v>103</v>
      </c>
      <c r="E582" t="s">
        <v>18</v>
      </c>
      <c r="F582" t="s">
        <v>2053</v>
      </c>
      <c r="G582" t="s">
        <v>2054</v>
      </c>
      <c r="H582" t="s">
        <v>33</v>
      </c>
      <c r="I582" t="s">
        <v>63</v>
      </c>
      <c r="J582" t="s">
        <v>23</v>
      </c>
      <c r="K582" t="s">
        <v>24</v>
      </c>
      <c r="L582" t="s">
        <v>25</v>
      </c>
      <c r="M582" t="s">
        <v>2055</v>
      </c>
      <c r="N582" t="s">
        <v>27</v>
      </c>
      <c r="O582" t="s">
        <v>501</v>
      </c>
      <c r="P582">
        <v>104.68</v>
      </c>
    </row>
    <row r="583" spans="1:16">
      <c r="A583" s="4">
        <v>2018</v>
      </c>
      <c r="B583" s="4">
        <v>167381</v>
      </c>
      <c r="C583" t="s">
        <v>698</v>
      </c>
      <c r="D583" t="s">
        <v>469</v>
      </c>
      <c r="E583" t="s">
        <v>144</v>
      </c>
      <c r="F583" t="s">
        <v>2053</v>
      </c>
      <c r="G583" t="s">
        <v>2054</v>
      </c>
      <c r="H583" t="s">
        <v>33</v>
      </c>
      <c r="I583" t="s">
        <v>63</v>
      </c>
      <c r="J583" t="s">
        <v>2056</v>
      </c>
      <c r="K583" t="s">
        <v>855</v>
      </c>
      <c r="L583" t="s">
        <v>36</v>
      </c>
      <c r="M583" t="s">
        <v>2057</v>
      </c>
      <c r="N583" t="s">
        <v>79</v>
      </c>
      <c r="O583" t="s">
        <v>286</v>
      </c>
      <c r="P583">
        <v>241.96</v>
      </c>
    </row>
    <row r="584" spans="1:16">
      <c r="A584" s="4">
        <v>2017</v>
      </c>
      <c r="B584" s="4">
        <v>152814</v>
      </c>
      <c r="C584" t="s">
        <v>2058</v>
      </c>
      <c r="D584" t="s">
        <v>1026</v>
      </c>
      <c r="E584" t="s">
        <v>18</v>
      </c>
      <c r="F584" t="s">
        <v>2053</v>
      </c>
      <c r="G584" t="s">
        <v>2054</v>
      </c>
      <c r="H584" t="s">
        <v>33</v>
      </c>
      <c r="I584" t="s">
        <v>63</v>
      </c>
      <c r="J584" t="s">
        <v>636</v>
      </c>
      <c r="K584" t="s">
        <v>222</v>
      </c>
      <c r="L584" t="s">
        <v>66</v>
      </c>
      <c r="M584" t="s">
        <v>2059</v>
      </c>
      <c r="N584" t="s">
        <v>27</v>
      </c>
      <c r="O584" t="s">
        <v>52</v>
      </c>
      <c r="P584">
        <v>29.472000000000001</v>
      </c>
    </row>
    <row r="585" spans="1:16">
      <c r="A585" s="4">
        <v>2015</v>
      </c>
      <c r="B585" s="4">
        <v>156433</v>
      </c>
      <c r="C585" t="s">
        <v>1863</v>
      </c>
      <c r="D585" t="s">
        <v>1335</v>
      </c>
      <c r="E585" t="s">
        <v>18</v>
      </c>
      <c r="F585" t="s">
        <v>2060</v>
      </c>
      <c r="G585" t="s">
        <v>2061</v>
      </c>
      <c r="H585" t="s">
        <v>21</v>
      </c>
      <c r="I585" t="s">
        <v>97</v>
      </c>
      <c r="J585" t="s">
        <v>226</v>
      </c>
      <c r="K585" t="s">
        <v>65</v>
      </c>
      <c r="L585" t="s">
        <v>66</v>
      </c>
      <c r="M585" t="s">
        <v>2062</v>
      </c>
      <c r="N585" t="s">
        <v>27</v>
      </c>
      <c r="O585" t="s">
        <v>111</v>
      </c>
      <c r="P585">
        <v>9.9600000000000009</v>
      </c>
    </row>
    <row r="586" spans="1:16">
      <c r="A586" s="4">
        <v>2015</v>
      </c>
      <c r="B586" s="4">
        <v>156216</v>
      </c>
      <c r="C586" t="s">
        <v>1543</v>
      </c>
      <c r="D586" t="s">
        <v>538</v>
      </c>
      <c r="E586" t="s">
        <v>18</v>
      </c>
      <c r="F586" t="s">
        <v>2063</v>
      </c>
      <c r="G586" t="s">
        <v>2064</v>
      </c>
      <c r="H586" t="s">
        <v>33</v>
      </c>
      <c r="I586" t="s">
        <v>22</v>
      </c>
      <c r="J586" t="s">
        <v>1413</v>
      </c>
      <c r="K586" t="s">
        <v>44</v>
      </c>
      <c r="L586" t="s">
        <v>45</v>
      </c>
      <c r="M586" t="s">
        <v>2065</v>
      </c>
      <c r="N586" t="s">
        <v>27</v>
      </c>
      <c r="O586" t="s">
        <v>101</v>
      </c>
      <c r="P586">
        <v>18.648</v>
      </c>
    </row>
    <row r="587" spans="1:16">
      <c r="A587" s="4">
        <v>2016</v>
      </c>
      <c r="B587" s="4">
        <v>154921</v>
      </c>
      <c r="C587" t="s">
        <v>2066</v>
      </c>
      <c r="D587" t="s">
        <v>2067</v>
      </c>
      <c r="E587" t="s">
        <v>18</v>
      </c>
      <c r="F587" t="s">
        <v>2063</v>
      </c>
      <c r="G587" t="s">
        <v>2064</v>
      </c>
      <c r="H587" t="s">
        <v>33</v>
      </c>
      <c r="I587" t="s">
        <v>22</v>
      </c>
      <c r="J587" t="s">
        <v>977</v>
      </c>
      <c r="K587" t="s">
        <v>1402</v>
      </c>
      <c r="L587" t="s">
        <v>45</v>
      </c>
      <c r="M587" t="s">
        <v>2068</v>
      </c>
      <c r="N587" t="s">
        <v>27</v>
      </c>
      <c r="O587" t="s">
        <v>501</v>
      </c>
      <c r="P587">
        <v>186.69</v>
      </c>
    </row>
    <row r="588" spans="1:16">
      <c r="A588" s="4">
        <v>2017</v>
      </c>
      <c r="B588" s="4">
        <v>164924</v>
      </c>
      <c r="C588" t="s">
        <v>329</v>
      </c>
      <c r="D588" t="s">
        <v>329</v>
      </c>
      <c r="E588" t="s">
        <v>132</v>
      </c>
      <c r="F588" t="s">
        <v>2063</v>
      </c>
      <c r="G588" t="s">
        <v>2064</v>
      </c>
      <c r="H588" t="s">
        <v>33</v>
      </c>
      <c r="I588" t="s">
        <v>22</v>
      </c>
      <c r="J588" t="s">
        <v>23</v>
      </c>
      <c r="K588" t="s">
        <v>24</v>
      </c>
      <c r="L588" t="s">
        <v>25</v>
      </c>
      <c r="M588" t="s">
        <v>2069</v>
      </c>
      <c r="N588" t="s">
        <v>38</v>
      </c>
      <c r="O588" t="s">
        <v>39</v>
      </c>
      <c r="P588">
        <v>341.99099999999999</v>
      </c>
    </row>
    <row r="589" spans="1:16">
      <c r="A589" s="4">
        <v>2017</v>
      </c>
      <c r="B589" s="4">
        <v>108581</v>
      </c>
      <c r="C589" t="s">
        <v>1159</v>
      </c>
      <c r="D589" t="s">
        <v>255</v>
      </c>
      <c r="E589" t="s">
        <v>18</v>
      </c>
      <c r="F589" t="s">
        <v>2063</v>
      </c>
      <c r="G589" t="s">
        <v>2064</v>
      </c>
      <c r="H589" t="s">
        <v>33</v>
      </c>
      <c r="I589" t="s">
        <v>22</v>
      </c>
      <c r="J589" t="s">
        <v>147</v>
      </c>
      <c r="K589" t="s">
        <v>35</v>
      </c>
      <c r="L589" t="s">
        <v>36</v>
      </c>
      <c r="M589" t="s">
        <v>2070</v>
      </c>
      <c r="N589" t="s">
        <v>38</v>
      </c>
      <c r="O589" t="s">
        <v>68</v>
      </c>
      <c r="P589">
        <v>95.968000000000004</v>
      </c>
    </row>
    <row r="590" spans="1:16">
      <c r="A590" s="4">
        <v>2016</v>
      </c>
      <c r="B590" s="4">
        <v>158939</v>
      </c>
      <c r="C590" t="s">
        <v>419</v>
      </c>
      <c r="D590" t="s">
        <v>2071</v>
      </c>
      <c r="E590" t="s">
        <v>18</v>
      </c>
      <c r="F590" t="s">
        <v>2063</v>
      </c>
      <c r="G590" t="s">
        <v>2064</v>
      </c>
      <c r="H590" t="s">
        <v>33</v>
      </c>
      <c r="I590" t="s">
        <v>22</v>
      </c>
      <c r="J590" t="s">
        <v>98</v>
      </c>
      <c r="K590" t="s">
        <v>99</v>
      </c>
      <c r="L590" t="s">
        <v>36</v>
      </c>
      <c r="M590" t="s">
        <v>2072</v>
      </c>
      <c r="N590" t="s">
        <v>38</v>
      </c>
      <c r="O590" t="s">
        <v>190</v>
      </c>
      <c r="P590">
        <v>599.99</v>
      </c>
    </row>
    <row r="591" spans="1:16">
      <c r="A591" s="4">
        <v>2017</v>
      </c>
      <c r="B591" s="4">
        <v>168956</v>
      </c>
      <c r="C591" t="s">
        <v>2073</v>
      </c>
      <c r="D591" t="s">
        <v>201</v>
      </c>
      <c r="E591" t="s">
        <v>18</v>
      </c>
      <c r="F591" t="s">
        <v>2063</v>
      </c>
      <c r="G591" t="s">
        <v>2064</v>
      </c>
      <c r="H591" t="s">
        <v>33</v>
      </c>
      <c r="I591" t="s">
        <v>22</v>
      </c>
      <c r="J591" t="s">
        <v>108</v>
      </c>
      <c r="K591" t="s">
        <v>109</v>
      </c>
      <c r="L591" t="s">
        <v>36</v>
      </c>
      <c r="M591" t="s">
        <v>755</v>
      </c>
      <c r="N591" t="s">
        <v>27</v>
      </c>
      <c r="O591" t="s">
        <v>228</v>
      </c>
      <c r="P591">
        <v>92.063999999999993</v>
      </c>
    </row>
    <row r="592" spans="1:16">
      <c r="A592" s="4">
        <v>2018</v>
      </c>
      <c r="B592" s="4">
        <v>121909</v>
      </c>
      <c r="C592" t="s">
        <v>2074</v>
      </c>
      <c r="D592" t="s">
        <v>2075</v>
      </c>
      <c r="E592" t="s">
        <v>18</v>
      </c>
      <c r="F592" t="s">
        <v>2063</v>
      </c>
      <c r="G592" t="s">
        <v>2064</v>
      </c>
      <c r="H592" t="s">
        <v>33</v>
      </c>
      <c r="I592" t="s">
        <v>22</v>
      </c>
      <c r="J592" t="s">
        <v>23</v>
      </c>
      <c r="K592" t="s">
        <v>24</v>
      </c>
      <c r="L592" t="s">
        <v>25</v>
      </c>
      <c r="M592" t="s">
        <v>2076</v>
      </c>
      <c r="N592" t="s">
        <v>27</v>
      </c>
      <c r="O592" t="s">
        <v>52</v>
      </c>
      <c r="P592">
        <v>54.816000000000003</v>
      </c>
    </row>
    <row r="593" spans="1:16">
      <c r="A593" s="4">
        <v>2018</v>
      </c>
      <c r="B593" s="4">
        <v>140074</v>
      </c>
      <c r="C593" t="s">
        <v>848</v>
      </c>
      <c r="D593" t="s">
        <v>2077</v>
      </c>
      <c r="E593" t="s">
        <v>18</v>
      </c>
      <c r="F593" t="s">
        <v>2078</v>
      </c>
      <c r="G593" t="s">
        <v>2079</v>
      </c>
      <c r="H593" t="s">
        <v>21</v>
      </c>
      <c r="I593" t="s">
        <v>97</v>
      </c>
      <c r="J593" t="s">
        <v>49</v>
      </c>
      <c r="K593" t="s">
        <v>50</v>
      </c>
      <c r="L593" t="s">
        <v>25</v>
      </c>
      <c r="M593" t="s">
        <v>2080</v>
      </c>
      <c r="N593" t="s">
        <v>27</v>
      </c>
      <c r="O593" t="s">
        <v>52</v>
      </c>
      <c r="P593">
        <v>25.68</v>
      </c>
    </row>
    <row r="594" spans="1:16">
      <c r="A594" s="4">
        <v>2017</v>
      </c>
      <c r="B594" s="4">
        <v>155670</v>
      </c>
      <c r="C594" t="s">
        <v>1443</v>
      </c>
      <c r="D594" t="s">
        <v>2081</v>
      </c>
      <c r="E594" t="s">
        <v>144</v>
      </c>
      <c r="F594" t="s">
        <v>2082</v>
      </c>
      <c r="G594" t="s">
        <v>2083</v>
      </c>
      <c r="H594" t="s">
        <v>21</v>
      </c>
      <c r="I594" t="s">
        <v>97</v>
      </c>
      <c r="J594" t="s">
        <v>43</v>
      </c>
      <c r="K594" t="s">
        <v>44</v>
      </c>
      <c r="L594" t="s">
        <v>45</v>
      </c>
      <c r="M594" t="s">
        <v>2084</v>
      </c>
      <c r="N594" t="s">
        <v>27</v>
      </c>
      <c r="O594" t="s">
        <v>101</v>
      </c>
      <c r="P594">
        <v>11.231999999999999</v>
      </c>
    </row>
    <row r="595" spans="1:16">
      <c r="A595" s="4">
        <v>2017</v>
      </c>
      <c r="B595" s="4">
        <v>136924</v>
      </c>
      <c r="C595" t="s">
        <v>1034</v>
      </c>
      <c r="D595" t="s">
        <v>382</v>
      </c>
      <c r="E595" t="s">
        <v>42</v>
      </c>
      <c r="F595" t="s">
        <v>2085</v>
      </c>
      <c r="G595" t="s">
        <v>2086</v>
      </c>
      <c r="H595" t="s">
        <v>33</v>
      </c>
      <c r="I595" t="s">
        <v>22</v>
      </c>
      <c r="J595" t="s">
        <v>135</v>
      </c>
      <c r="K595" t="s">
        <v>136</v>
      </c>
      <c r="L595" t="s">
        <v>66</v>
      </c>
      <c r="M595" t="s">
        <v>2087</v>
      </c>
      <c r="N595" t="s">
        <v>38</v>
      </c>
      <c r="O595" t="s">
        <v>118</v>
      </c>
      <c r="P595">
        <v>380.86399999999998</v>
      </c>
    </row>
    <row r="596" spans="1:16">
      <c r="A596" s="4">
        <v>2018</v>
      </c>
      <c r="B596" s="4">
        <v>139619</v>
      </c>
      <c r="C596" t="s">
        <v>926</v>
      </c>
      <c r="D596" t="s">
        <v>640</v>
      </c>
      <c r="E596" t="s">
        <v>18</v>
      </c>
      <c r="F596" t="s">
        <v>2085</v>
      </c>
      <c r="G596" t="s">
        <v>2086</v>
      </c>
      <c r="H596" t="s">
        <v>33</v>
      </c>
      <c r="I596" t="s">
        <v>22</v>
      </c>
      <c r="J596" t="s">
        <v>2088</v>
      </c>
      <c r="K596" t="s">
        <v>196</v>
      </c>
      <c r="L596" t="s">
        <v>45</v>
      </c>
      <c r="M596" t="s">
        <v>2089</v>
      </c>
      <c r="N596" t="s">
        <v>27</v>
      </c>
      <c r="O596" t="s">
        <v>58</v>
      </c>
      <c r="P596">
        <v>95.616</v>
      </c>
    </row>
    <row r="597" spans="1:16">
      <c r="A597" s="4">
        <v>2017</v>
      </c>
      <c r="B597" s="4">
        <v>134936</v>
      </c>
      <c r="C597" t="s">
        <v>2090</v>
      </c>
      <c r="D597" t="s">
        <v>2091</v>
      </c>
      <c r="E597" t="s">
        <v>18</v>
      </c>
      <c r="F597" t="s">
        <v>2085</v>
      </c>
      <c r="G597" t="s">
        <v>2086</v>
      </c>
      <c r="H597" t="s">
        <v>33</v>
      </c>
      <c r="I597" t="s">
        <v>22</v>
      </c>
      <c r="J597" t="s">
        <v>135</v>
      </c>
      <c r="K597" t="s">
        <v>136</v>
      </c>
      <c r="L597" t="s">
        <v>66</v>
      </c>
      <c r="M597" t="s">
        <v>2092</v>
      </c>
      <c r="N597" t="s">
        <v>79</v>
      </c>
      <c r="O597" t="s">
        <v>347</v>
      </c>
      <c r="P597">
        <v>455.97</v>
      </c>
    </row>
    <row r="598" spans="1:16">
      <c r="A598" s="4">
        <v>2017</v>
      </c>
      <c r="B598" s="4">
        <v>161669</v>
      </c>
      <c r="C598" t="s">
        <v>1388</v>
      </c>
      <c r="D598" t="s">
        <v>2093</v>
      </c>
      <c r="E598" t="s">
        <v>42</v>
      </c>
      <c r="F598" t="s">
        <v>2094</v>
      </c>
      <c r="G598" t="s">
        <v>2095</v>
      </c>
      <c r="H598" t="s">
        <v>33</v>
      </c>
      <c r="I598" t="s">
        <v>22</v>
      </c>
      <c r="J598" t="s">
        <v>64</v>
      </c>
      <c r="K598" t="s">
        <v>65</v>
      </c>
      <c r="L598" t="s">
        <v>66</v>
      </c>
      <c r="M598" t="s">
        <v>2096</v>
      </c>
      <c r="N598" t="s">
        <v>27</v>
      </c>
      <c r="O598" t="s">
        <v>101</v>
      </c>
      <c r="P598">
        <v>37.44</v>
      </c>
    </row>
    <row r="599" spans="1:16">
      <c r="A599" s="4">
        <v>2016</v>
      </c>
      <c r="B599" s="4">
        <v>159499</v>
      </c>
      <c r="C599" t="s">
        <v>980</v>
      </c>
      <c r="D599" t="s">
        <v>999</v>
      </c>
      <c r="E599" t="s">
        <v>144</v>
      </c>
      <c r="F599" t="s">
        <v>2094</v>
      </c>
      <c r="G599" t="s">
        <v>2095</v>
      </c>
      <c r="H599" t="s">
        <v>33</v>
      </c>
      <c r="I599" t="s">
        <v>22</v>
      </c>
      <c r="J599" t="s">
        <v>1713</v>
      </c>
      <c r="K599" t="s">
        <v>136</v>
      </c>
      <c r="L599" t="s">
        <v>66</v>
      </c>
      <c r="M599" t="s">
        <v>2097</v>
      </c>
      <c r="N599" t="s">
        <v>27</v>
      </c>
      <c r="O599" t="s">
        <v>228</v>
      </c>
      <c r="P599">
        <v>325.63200000000001</v>
      </c>
    </row>
    <row r="600" spans="1:16">
      <c r="A600" s="4">
        <v>2016</v>
      </c>
      <c r="B600" s="4">
        <v>154389</v>
      </c>
      <c r="C600" t="s">
        <v>1096</v>
      </c>
      <c r="D600" t="s">
        <v>871</v>
      </c>
      <c r="E600" t="s">
        <v>18</v>
      </c>
      <c r="F600" t="s">
        <v>2098</v>
      </c>
      <c r="G600" t="s">
        <v>2099</v>
      </c>
      <c r="H600" t="s">
        <v>33</v>
      </c>
      <c r="I600" t="s">
        <v>63</v>
      </c>
      <c r="J600" t="s">
        <v>23</v>
      </c>
      <c r="K600" t="s">
        <v>24</v>
      </c>
      <c r="L600" t="s">
        <v>25</v>
      </c>
      <c r="M600" t="s">
        <v>2100</v>
      </c>
      <c r="N600" t="s">
        <v>38</v>
      </c>
      <c r="O600" t="s">
        <v>118</v>
      </c>
      <c r="P600">
        <v>748.75199999999995</v>
      </c>
    </row>
    <row r="601" spans="1:16">
      <c r="A601" s="4">
        <v>2017</v>
      </c>
      <c r="B601" s="4">
        <v>156097</v>
      </c>
      <c r="C601" t="s">
        <v>509</v>
      </c>
      <c r="D601" t="s">
        <v>509</v>
      </c>
      <c r="E601" t="s">
        <v>132</v>
      </c>
      <c r="F601" t="s">
        <v>2098</v>
      </c>
      <c r="G601" t="s">
        <v>2099</v>
      </c>
      <c r="H601" t="s">
        <v>33</v>
      </c>
      <c r="I601" t="s">
        <v>63</v>
      </c>
      <c r="J601" t="s">
        <v>1482</v>
      </c>
      <c r="K601" t="s">
        <v>109</v>
      </c>
      <c r="L601" t="s">
        <v>36</v>
      </c>
      <c r="M601" t="s">
        <v>2101</v>
      </c>
      <c r="N601" t="s">
        <v>79</v>
      </c>
      <c r="O601" t="s">
        <v>138</v>
      </c>
      <c r="P601">
        <v>701.37199999999996</v>
      </c>
    </row>
    <row r="602" spans="1:16">
      <c r="A602" s="4">
        <v>2017</v>
      </c>
      <c r="B602" s="4">
        <v>104969</v>
      </c>
      <c r="C602" t="s">
        <v>675</v>
      </c>
      <c r="D602" t="s">
        <v>2102</v>
      </c>
      <c r="E602" t="s">
        <v>18</v>
      </c>
      <c r="F602" t="s">
        <v>2098</v>
      </c>
      <c r="G602" t="s">
        <v>2099</v>
      </c>
      <c r="H602" t="s">
        <v>33</v>
      </c>
      <c r="I602" t="s">
        <v>63</v>
      </c>
      <c r="J602" t="s">
        <v>2103</v>
      </c>
      <c r="K602" t="s">
        <v>237</v>
      </c>
      <c r="L602" t="s">
        <v>25</v>
      </c>
      <c r="M602" t="s">
        <v>2104</v>
      </c>
      <c r="N602" t="s">
        <v>27</v>
      </c>
      <c r="O602" t="s">
        <v>501</v>
      </c>
      <c r="P602">
        <v>8.8719999999999999</v>
      </c>
    </row>
    <row r="603" spans="1:16">
      <c r="A603" s="4">
        <v>2017</v>
      </c>
      <c r="B603" s="4">
        <v>136126</v>
      </c>
      <c r="C603" t="s">
        <v>2105</v>
      </c>
      <c r="D603" t="s">
        <v>2105</v>
      </c>
      <c r="E603" t="s">
        <v>132</v>
      </c>
      <c r="F603" t="s">
        <v>2098</v>
      </c>
      <c r="G603" t="s">
        <v>2099</v>
      </c>
      <c r="H603" t="s">
        <v>33</v>
      </c>
      <c r="I603" t="s">
        <v>63</v>
      </c>
      <c r="J603" t="s">
        <v>2106</v>
      </c>
      <c r="K603" t="s">
        <v>56</v>
      </c>
      <c r="L603" t="s">
        <v>45</v>
      </c>
      <c r="M603" t="s">
        <v>2107</v>
      </c>
      <c r="N603" t="s">
        <v>27</v>
      </c>
      <c r="O603" t="s">
        <v>74</v>
      </c>
      <c r="P603">
        <v>69.5</v>
      </c>
    </row>
    <row r="604" spans="1:16">
      <c r="A604" s="4">
        <v>2018</v>
      </c>
      <c r="B604" s="4">
        <v>133641</v>
      </c>
      <c r="C604" t="s">
        <v>1610</v>
      </c>
      <c r="D604" t="s">
        <v>2108</v>
      </c>
      <c r="E604" t="s">
        <v>18</v>
      </c>
      <c r="F604" t="s">
        <v>2109</v>
      </c>
      <c r="G604" t="s">
        <v>2110</v>
      </c>
      <c r="H604" t="s">
        <v>21</v>
      </c>
      <c r="I604" t="s">
        <v>97</v>
      </c>
      <c r="J604" t="s">
        <v>2111</v>
      </c>
      <c r="K604" t="s">
        <v>1444</v>
      </c>
      <c r="L604" t="s">
        <v>45</v>
      </c>
      <c r="M604" t="s">
        <v>2112</v>
      </c>
      <c r="N604" t="s">
        <v>27</v>
      </c>
      <c r="O604" t="s">
        <v>501</v>
      </c>
      <c r="P604">
        <v>48.69</v>
      </c>
    </row>
    <row r="605" spans="1:16">
      <c r="A605" s="4">
        <v>2018</v>
      </c>
      <c r="B605" s="4">
        <v>162635</v>
      </c>
      <c r="C605" t="s">
        <v>1176</v>
      </c>
      <c r="D605" t="s">
        <v>2113</v>
      </c>
      <c r="E605" t="s">
        <v>42</v>
      </c>
      <c r="F605" t="s">
        <v>2114</v>
      </c>
      <c r="G605" t="s">
        <v>2115</v>
      </c>
      <c r="H605" t="s">
        <v>21</v>
      </c>
      <c r="I605" t="s">
        <v>97</v>
      </c>
      <c r="J605" t="s">
        <v>653</v>
      </c>
      <c r="K605" t="s">
        <v>44</v>
      </c>
      <c r="L605" t="s">
        <v>45</v>
      </c>
      <c r="M605" t="s">
        <v>2116</v>
      </c>
      <c r="N605" t="s">
        <v>27</v>
      </c>
      <c r="O605" t="s">
        <v>52</v>
      </c>
      <c r="P605">
        <v>10.816000000000001</v>
      </c>
    </row>
    <row r="606" spans="1:16">
      <c r="A606" s="4">
        <v>2015</v>
      </c>
      <c r="B606" s="4">
        <v>139542</v>
      </c>
      <c r="C606" t="s">
        <v>2117</v>
      </c>
      <c r="D606" t="s">
        <v>326</v>
      </c>
      <c r="E606" t="s">
        <v>18</v>
      </c>
      <c r="F606" t="s">
        <v>2118</v>
      </c>
      <c r="G606" t="s">
        <v>2119</v>
      </c>
      <c r="H606" t="s">
        <v>33</v>
      </c>
      <c r="I606" t="s">
        <v>97</v>
      </c>
      <c r="J606" t="s">
        <v>23</v>
      </c>
      <c r="K606" t="s">
        <v>24</v>
      </c>
      <c r="L606" t="s">
        <v>25</v>
      </c>
      <c r="M606" t="s">
        <v>2120</v>
      </c>
      <c r="N606" t="s">
        <v>38</v>
      </c>
      <c r="O606" t="s">
        <v>68</v>
      </c>
      <c r="P606">
        <v>40.776000000000003</v>
      </c>
    </row>
    <row r="607" spans="1:16">
      <c r="A607" s="4">
        <v>2018</v>
      </c>
      <c r="B607" s="4">
        <v>112984</v>
      </c>
      <c r="C607" t="s">
        <v>683</v>
      </c>
      <c r="D607" t="s">
        <v>697</v>
      </c>
      <c r="E607" t="s">
        <v>144</v>
      </c>
      <c r="F607" t="s">
        <v>2118</v>
      </c>
      <c r="G607" t="s">
        <v>2119</v>
      </c>
      <c r="H607" t="s">
        <v>33</v>
      </c>
      <c r="I607" t="s">
        <v>97</v>
      </c>
      <c r="J607" t="s">
        <v>23</v>
      </c>
      <c r="K607" t="s">
        <v>24</v>
      </c>
      <c r="L607" t="s">
        <v>25</v>
      </c>
      <c r="M607" t="s">
        <v>2040</v>
      </c>
      <c r="N607" t="s">
        <v>27</v>
      </c>
      <c r="O607" t="s">
        <v>52</v>
      </c>
      <c r="P607">
        <v>20.544</v>
      </c>
    </row>
    <row r="608" spans="1:16">
      <c r="A608" s="4">
        <v>2018</v>
      </c>
      <c r="B608" s="4">
        <v>164056</v>
      </c>
      <c r="C608" t="s">
        <v>2121</v>
      </c>
      <c r="D608" t="s">
        <v>2122</v>
      </c>
      <c r="E608" t="s">
        <v>144</v>
      </c>
      <c r="F608" t="s">
        <v>2123</v>
      </c>
      <c r="G608" t="s">
        <v>2124</v>
      </c>
      <c r="H608" t="s">
        <v>33</v>
      </c>
      <c r="I608" t="s">
        <v>22</v>
      </c>
      <c r="J608" t="s">
        <v>1859</v>
      </c>
      <c r="K608" t="s">
        <v>237</v>
      </c>
      <c r="L608" t="s">
        <v>25</v>
      </c>
      <c r="M608" t="s">
        <v>2125</v>
      </c>
      <c r="N608" t="s">
        <v>79</v>
      </c>
      <c r="O608" t="s">
        <v>347</v>
      </c>
      <c r="P608">
        <v>1048.3499999999999</v>
      </c>
    </row>
    <row r="609" spans="1:16">
      <c r="A609" s="4">
        <v>2018</v>
      </c>
      <c r="B609" s="4">
        <v>127929</v>
      </c>
      <c r="C609" t="s">
        <v>1902</v>
      </c>
      <c r="D609" t="s">
        <v>1556</v>
      </c>
      <c r="E609" t="s">
        <v>18</v>
      </c>
      <c r="F609" t="s">
        <v>2123</v>
      </c>
      <c r="G609" t="s">
        <v>2124</v>
      </c>
      <c r="H609" t="s">
        <v>33</v>
      </c>
      <c r="I609" t="s">
        <v>22</v>
      </c>
      <c r="J609" t="s">
        <v>389</v>
      </c>
      <c r="K609" t="s">
        <v>390</v>
      </c>
      <c r="L609" t="s">
        <v>25</v>
      </c>
      <c r="M609" t="s">
        <v>426</v>
      </c>
      <c r="N609" t="s">
        <v>79</v>
      </c>
      <c r="O609" t="s">
        <v>80</v>
      </c>
      <c r="P609">
        <v>181.95</v>
      </c>
    </row>
    <row r="610" spans="1:16">
      <c r="A610" s="4">
        <v>2015</v>
      </c>
      <c r="B610" s="4">
        <v>114643</v>
      </c>
      <c r="C610" t="s">
        <v>1076</v>
      </c>
      <c r="D610" t="s">
        <v>2126</v>
      </c>
      <c r="E610" t="s">
        <v>18</v>
      </c>
      <c r="F610" t="s">
        <v>2123</v>
      </c>
      <c r="G610" t="s">
        <v>2124</v>
      </c>
      <c r="H610" t="s">
        <v>33</v>
      </c>
      <c r="I610" t="s">
        <v>22</v>
      </c>
      <c r="J610" t="s">
        <v>64</v>
      </c>
      <c r="K610" t="s">
        <v>65</v>
      </c>
      <c r="L610" t="s">
        <v>66</v>
      </c>
      <c r="M610" t="s">
        <v>2127</v>
      </c>
      <c r="N610" t="s">
        <v>27</v>
      </c>
      <c r="O610" t="s">
        <v>28</v>
      </c>
      <c r="P610">
        <v>14.52</v>
      </c>
    </row>
    <row r="611" spans="1:16">
      <c r="A611" s="4">
        <v>2016</v>
      </c>
      <c r="B611" s="4">
        <v>131359</v>
      </c>
      <c r="C611" t="s">
        <v>393</v>
      </c>
      <c r="D611" t="s">
        <v>2012</v>
      </c>
      <c r="E611" t="s">
        <v>144</v>
      </c>
      <c r="F611" t="s">
        <v>2128</v>
      </c>
      <c r="G611" t="s">
        <v>2129</v>
      </c>
      <c r="H611" t="s">
        <v>33</v>
      </c>
      <c r="I611" t="s">
        <v>22</v>
      </c>
      <c r="J611" t="s">
        <v>636</v>
      </c>
      <c r="K611" t="s">
        <v>222</v>
      </c>
      <c r="L611" t="s">
        <v>66</v>
      </c>
      <c r="M611" t="s">
        <v>2130</v>
      </c>
      <c r="N611" t="s">
        <v>38</v>
      </c>
      <c r="O611" t="s">
        <v>39</v>
      </c>
      <c r="P611">
        <v>59.994</v>
      </c>
    </row>
    <row r="612" spans="1:16">
      <c r="A612" s="4">
        <v>2017</v>
      </c>
      <c r="B612" s="4">
        <v>113845</v>
      </c>
      <c r="C612" t="s">
        <v>339</v>
      </c>
      <c r="D612" t="s">
        <v>2131</v>
      </c>
      <c r="E612" t="s">
        <v>18</v>
      </c>
      <c r="F612" t="s">
        <v>2128</v>
      </c>
      <c r="G612" t="s">
        <v>2129</v>
      </c>
      <c r="H612" t="s">
        <v>33</v>
      </c>
      <c r="I612" t="s">
        <v>22</v>
      </c>
      <c r="J612" t="s">
        <v>2132</v>
      </c>
      <c r="K612" t="s">
        <v>196</v>
      </c>
      <c r="L612" t="s">
        <v>45</v>
      </c>
      <c r="M612" t="s">
        <v>2133</v>
      </c>
      <c r="N612" t="s">
        <v>79</v>
      </c>
      <c r="O612" t="s">
        <v>286</v>
      </c>
      <c r="P612">
        <v>289.56799999999998</v>
      </c>
    </row>
    <row r="613" spans="1:16">
      <c r="A613" s="4">
        <v>2018</v>
      </c>
      <c r="B613" s="4">
        <v>122364</v>
      </c>
      <c r="C613" t="s">
        <v>469</v>
      </c>
      <c r="D613" t="s">
        <v>641</v>
      </c>
      <c r="E613" t="s">
        <v>18</v>
      </c>
      <c r="F613" t="s">
        <v>2128</v>
      </c>
      <c r="G613" t="s">
        <v>2129</v>
      </c>
      <c r="H613" t="s">
        <v>33</v>
      </c>
      <c r="I613" t="s">
        <v>22</v>
      </c>
      <c r="J613" t="s">
        <v>64</v>
      </c>
      <c r="K613" t="s">
        <v>65</v>
      </c>
      <c r="L613" t="s">
        <v>66</v>
      </c>
      <c r="M613" t="s">
        <v>2134</v>
      </c>
      <c r="N613" t="s">
        <v>38</v>
      </c>
      <c r="O613" t="s">
        <v>118</v>
      </c>
      <c r="P613">
        <v>859.2</v>
      </c>
    </row>
    <row r="614" spans="1:16">
      <c r="A614" s="4">
        <v>2016</v>
      </c>
      <c r="B614" s="4">
        <v>135391</v>
      </c>
      <c r="C614" t="s">
        <v>2135</v>
      </c>
      <c r="D614" t="s">
        <v>2136</v>
      </c>
      <c r="E614" t="s">
        <v>144</v>
      </c>
      <c r="F614" t="s">
        <v>2128</v>
      </c>
      <c r="G614" t="s">
        <v>2129</v>
      </c>
      <c r="H614" t="s">
        <v>33</v>
      </c>
      <c r="I614" t="s">
        <v>22</v>
      </c>
      <c r="J614" t="s">
        <v>738</v>
      </c>
      <c r="K614" t="s">
        <v>35</v>
      </c>
      <c r="L614" t="s">
        <v>36</v>
      </c>
      <c r="M614" t="s">
        <v>2137</v>
      </c>
      <c r="N614" t="s">
        <v>27</v>
      </c>
      <c r="O614" t="s">
        <v>111</v>
      </c>
      <c r="P614">
        <v>40.095999999999997</v>
      </c>
    </row>
    <row r="615" spans="1:16">
      <c r="A615" s="4">
        <v>2015</v>
      </c>
      <c r="B615" s="4">
        <v>156601</v>
      </c>
      <c r="C615" t="s">
        <v>662</v>
      </c>
      <c r="D615" t="s">
        <v>2138</v>
      </c>
      <c r="E615" t="s">
        <v>18</v>
      </c>
      <c r="F615" t="s">
        <v>2128</v>
      </c>
      <c r="G615" t="s">
        <v>2129</v>
      </c>
      <c r="H615" t="s">
        <v>33</v>
      </c>
      <c r="I615" t="s">
        <v>22</v>
      </c>
      <c r="J615" t="s">
        <v>1130</v>
      </c>
      <c r="K615" t="s">
        <v>65</v>
      </c>
      <c r="L615" t="s">
        <v>66</v>
      </c>
      <c r="M615" t="s">
        <v>2139</v>
      </c>
      <c r="N615" t="s">
        <v>27</v>
      </c>
      <c r="O615" t="s">
        <v>452</v>
      </c>
      <c r="P615">
        <v>7.16</v>
      </c>
    </row>
    <row r="616" spans="1:16">
      <c r="A616" s="4">
        <v>2018</v>
      </c>
      <c r="B616" s="4">
        <v>167640</v>
      </c>
      <c r="C616" t="s">
        <v>2140</v>
      </c>
      <c r="D616" t="s">
        <v>1056</v>
      </c>
      <c r="E616" t="s">
        <v>18</v>
      </c>
      <c r="F616" t="s">
        <v>2141</v>
      </c>
      <c r="G616" t="s">
        <v>2142</v>
      </c>
      <c r="H616" t="s">
        <v>21</v>
      </c>
      <c r="I616" t="s">
        <v>63</v>
      </c>
      <c r="J616" t="s">
        <v>226</v>
      </c>
      <c r="K616" t="s">
        <v>65</v>
      </c>
      <c r="L616" t="s">
        <v>66</v>
      </c>
      <c r="M616" t="s">
        <v>2143</v>
      </c>
      <c r="N616" t="s">
        <v>27</v>
      </c>
      <c r="O616" t="s">
        <v>28</v>
      </c>
      <c r="P616">
        <v>23.88</v>
      </c>
    </row>
    <row r="617" spans="1:16">
      <c r="A617" s="4">
        <v>2018</v>
      </c>
      <c r="B617" s="4">
        <v>101308</v>
      </c>
      <c r="C617" t="s">
        <v>666</v>
      </c>
      <c r="D617" t="s">
        <v>1737</v>
      </c>
      <c r="E617" t="s">
        <v>18</v>
      </c>
      <c r="F617" t="s">
        <v>2144</v>
      </c>
      <c r="G617" t="s">
        <v>2145</v>
      </c>
      <c r="H617" t="s">
        <v>33</v>
      </c>
      <c r="I617" t="s">
        <v>63</v>
      </c>
      <c r="J617" t="s">
        <v>271</v>
      </c>
      <c r="K617" t="s">
        <v>165</v>
      </c>
      <c r="L617" t="s">
        <v>66</v>
      </c>
      <c r="M617" t="s">
        <v>2146</v>
      </c>
      <c r="N617" t="s">
        <v>27</v>
      </c>
      <c r="O617" t="s">
        <v>452</v>
      </c>
      <c r="P617">
        <v>8.94</v>
      </c>
    </row>
    <row r="618" spans="1:16">
      <c r="A618" s="4">
        <v>2018</v>
      </c>
      <c r="B618" s="4">
        <v>160801</v>
      </c>
      <c r="C618" t="s">
        <v>926</v>
      </c>
      <c r="D618" t="s">
        <v>926</v>
      </c>
      <c r="E618" t="s">
        <v>132</v>
      </c>
      <c r="F618" t="s">
        <v>2144</v>
      </c>
      <c r="G618" t="s">
        <v>2145</v>
      </c>
      <c r="H618" t="s">
        <v>33</v>
      </c>
      <c r="I618" t="s">
        <v>63</v>
      </c>
      <c r="J618" t="s">
        <v>23</v>
      </c>
      <c r="K618" t="s">
        <v>24</v>
      </c>
      <c r="L618" t="s">
        <v>25</v>
      </c>
      <c r="M618" t="s">
        <v>2147</v>
      </c>
      <c r="N618" t="s">
        <v>27</v>
      </c>
      <c r="O618" t="s">
        <v>101</v>
      </c>
      <c r="P618">
        <v>4.8419999999999996</v>
      </c>
    </row>
    <row r="619" spans="1:16">
      <c r="A619" s="4">
        <v>2018</v>
      </c>
      <c r="B619" s="4">
        <v>106033</v>
      </c>
      <c r="C619" t="s">
        <v>2148</v>
      </c>
      <c r="D619" t="s">
        <v>2149</v>
      </c>
      <c r="E619" t="s">
        <v>144</v>
      </c>
      <c r="F619" t="s">
        <v>2144</v>
      </c>
      <c r="G619" t="s">
        <v>2145</v>
      </c>
      <c r="H619" t="s">
        <v>33</v>
      </c>
      <c r="I619" t="s">
        <v>63</v>
      </c>
      <c r="J619" t="s">
        <v>226</v>
      </c>
      <c r="K619" t="s">
        <v>65</v>
      </c>
      <c r="L619" t="s">
        <v>66</v>
      </c>
      <c r="M619" t="s">
        <v>2150</v>
      </c>
      <c r="N619" t="s">
        <v>27</v>
      </c>
      <c r="O619" t="s">
        <v>28</v>
      </c>
      <c r="P619">
        <v>87.92</v>
      </c>
    </row>
    <row r="620" spans="1:16">
      <c r="A620" s="4">
        <v>2017</v>
      </c>
      <c r="B620" s="4">
        <v>152170</v>
      </c>
      <c r="C620" t="s">
        <v>1354</v>
      </c>
      <c r="D620" t="s">
        <v>1743</v>
      </c>
      <c r="E620" t="s">
        <v>144</v>
      </c>
      <c r="F620" t="s">
        <v>2151</v>
      </c>
      <c r="G620" t="s">
        <v>2152</v>
      </c>
      <c r="H620" t="s">
        <v>33</v>
      </c>
      <c r="I620" t="s">
        <v>22</v>
      </c>
      <c r="J620" t="s">
        <v>2153</v>
      </c>
      <c r="K620" t="s">
        <v>122</v>
      </c>
      <c r="L620" t="s">
        <v>36</v>
      </c>
      <c r="M620" t="s">
        <v>2154</v>
      </c>
      <c r="N620" t="s">
        <v>27</v>
      </c>
      <c r="O620" t="s">
        <v>501</v>
      </c>
      <c r="P620">
        <v>287.52</v>
      </c>
    </row>
    <row r="621" spans="1:16">
      <c r="A621" s="4">
        <v>2018</v>
      </c>
      <c r="B621" s="4">
        <v>121503</v>
      </c>
      <c r="C621" t="s">
        <v>1254</v>
      </c>
      <c r="D621" t="s">
        <v>436</v>
      </c>
      <c r="E621" t="s">
        <v>144</v>
      </c>
      <c r="F621" t="s">
        <v>2151</v>
      </c>
      <c r="G621" t="s">
        <v>2152</v>
      </c>
      <c r="H621" t="s">
        <v>33</v>
      </c>
      <c r="I621" t="s">
        <v>22</v>
      </c>
      <c r="J621" t="s">
        <v>183</v>
      </c>
      <c r="K621" t="s">
        <v>35</v>
      </c>
      <c r="L621" t="s">
        <v>36</v>
      </c>
      <c r="M621" t="s">
        <v>2155</v>
      </c>
      <c r="N621" t="s">
        <v>27</v>
      </c>
      <c r="O621" t="s">
        <v>52</v>
      </c>
      <c r="P621">
        <v>273.89600000000002</v>
      </c>
    </row>
    <row r="622" spans="1:16">
      <c r="A622" s="4">
        <v>2015</v>
      </c>
      <c r="B622" s="4">
        <v>123260</v>
      </c>
      <c r="C622" t="s">
        <v>1874</v>
      </c>
      <c r="D622" t="s">
        <v>2156</v>
      </c>
      <c r="E622" t="s">
        <v>18</v>
      </c>
      <c r="F622" t="s">
        <v>2157</v>
      </c>
      <c r="G622" t="s">
        <v>2158</v>
      </c>
      <c r="H622" t="s">
        <v>33</v>
      </c>
      <c r="I622" t="s">
        <v>63</v>
      </c>
      <c r="J622" t="s">
        <v>64</v>
      </c>
      <c r="K622" t="s">
        <v>65</v>
      </c>
      <c r="L622" t="s">
        <v>66</v>
      </c>
      <c r="M622" t="s">
        <v>2159</v>
      </c>
      <c r="N622" t="s">
        <v>38</v>
      </c>
      <c r="O622" t="s">
        <v>68</v>
      </c>
      <c r="P622">
        <v>176.8</v>
      </c>
    </row>
    <row r="623" spans="1:16">
      <c r="A623" s="4">
        <v>2018</v>
      </c>
      <c r="B623" s="4">
        <v>129777</v>
      </c>
      <c r="C623" t="s">
        <v>1254</v>
      </c>
      <c r="D623" t="s">
        <v>2160</v>
      </c>
      <c r="E623" t="s">
        <v>18</v>
      </c>
      <c r="F623" t="s">
        <v>2157</v>
      </c>
      <c r="G623" t="s">
        <v>2158</v>
      </c>
      <c r="H623" t="s">
        <v>33</v>
      </c>
      <c r="I623" t="s">
        <v>63</v>
      </c>
      <c r="J623" t="s">
        <v>422</v>
      </c>
      <c r="K623" t="s">
        <v>284</v>
      </c>
      <c r="L623" t="s">
        <v>25</v>
      </c>
      <c r="M623" t="s">
        <v>2161</v>
      </c>
      <c r="N623" t="s">
        <v>38</v>
      </c>
      <c r="O623" t="s">
        <v>68</v>
      </c>
      <c r="P623">
        <v>258.89999999999998</v>
      </c>
    </row>
    <row r="624" spans="1:16">
      <c r="A624" s="4">
        <v>2018</v>
      </c>
      <c r="B624" s="4">
        <v>141992</v>
      </c>
      <c r="C624" t="s">
        <v>348</v>
      </c>
      <c r="D624" t="s">
        <v>233</v>
      </c>
      <c r="E624" t="s">
        <v>18</v>
      </c>
      <c r="F624" t="s">
        <v>2162</v>
      </c>
      <c r="G624" t="s">
        <v>2163</v>
      </c>
      <c r="H624" t="s">
        <v>33</v>
      </c>
      <c r="I624" t="s">
        <v>97</v>
      </c>
      <c r="J624" t="s">
        <v>627</v>
      </c>
      <c r="K624" t="s">
        <v>35</v>
      </c>
      <c r="L624" t="s">
        <v>36</v>
      </c>
      <c r="M624" t="s">
        <v>2164</v>
      </c>
      <c r="N624" t="s">
        <v>27</v>
      </c>
      <c r="O624" t="s">
        <v>74</v>
      </c>
      <c r="P624">
        <v>11.183999999999999</v>
      </c>
    </row>
    <row r="625" spans="1:16">
      <c r="A625" s="4">
        <v>2018</v>
      </c>
      <c r="B625" s="4">
        <v>106943</v>
      </c>
      <c r="C625" t="s">
        <v>1415</v>
      </c>
      <c r="D625" t="s">
        <v>124</v>
      </c>
      <c r="E625" t="s">
        <v>18</v>
      </c>
      <c r="F625" t="s">
        <v>2162</v>
      </c>
      <c r="G625" t="s">
        <v>2163</v>
      </c>
      <c r="H625" t="s">
        <v>33</v>
      </c>
      <c r="I625" t="s">
        <v>97</v>
      </c>
      <c r="J625" t="s">
        <v>49</v>
      </c>
      <c r="K625" t="s">
        <v>50</v>
      </c>
      <c r="L625" t="s">
        <v>25</v>
      </c>
      <c r="M625" t="s">
        <v>2165</v>
      </c>
      <c r="N625" t="s">
        <v>27</v>
      </c>
      <c r="O625" t="s">
        <v>101</v>
      </c>
      <c r="P625">
        <v>8.64</v>
      </c>
    </row>
    <row r="626" spans="1:16">
      <c r="A626" s="4">
        <v>2017</v>
      </c>
      <c r="B626" s="4">
        <v>125850</v>
      </c>
      <c r="C626" t="s">
        <v>555</v>
      </c>
      <c r="D626" t="s">
        <v>556</v>
      </c>
      <c r="E626" t="s">
        <v>18</v>
      </c>
      <c r="F626" t="s">
        <v>2166</v>
      </c>
      <c r="G626" t="s">
        <v>2167</v>
      </c>
      <c r="H626" t="s">
        <v>33</v>
      </c>
      <c r="I626" t="s">
        <v>97</v>
      </c>
      <c r="J626" t="s">
        <v>630</v>
      </c>
      <c r="K626" t="s">
        <v>65</v>
      </c>
      <c r="L626" t="s">
        <v>66</v>
      </c>
      <c r="M626" t="s">
        <v>2168</v>
      </c>
      <c r="N626" t="s">
        <v>27</v>
      </c>
      <c r="O626" t="s">
        <v>111</v>
      </c>
      <c r="P626">
        <v>44.4</v>
      </c>
    </row>
    <row r="627" spans="1:16">
      <c r="A627" s="4">
        <v>2017</v>
      </c>
      <c r="B627" s="4">
        <v>153129</v>
      </c>
      <c r="C627" t="s">
        <v>933</v>
      </c>
      <c r="D627" t="s">
        <v>2169</v>
      </c>
      <c r="E627" t="s">
        <v>18</v>
      </c>
      <c r="F627" t="s">
        <v>2166</v>
      </c>
      <c r="G627" t="s">
        <v>2167</v>
      </c>
      <c r="H627" t="s">
        <v>33</v>
      </c>
      <c r="I627" t="s">
        <v>97</v>
      </c>
      <c r="J627" t="s">
        <v>271</v>
      </c>
      <c r="K627" t="s">
        <v>165</v>
      </c>
      <c r="L627" t="s">
        <v>66</v>
      </c>
      <c r="M627" t="s">
        <v>2170</v>
      </c>
      <c r="N627" t="s">
        <v>27</v>
      </c>
      <c r="O627" t="s">
        <v>52</v>
      </c>
      <c r="P627">
        <v>33.9</v>
      </c>
    </row>
    <row r="628" spans="1:16">
      <c r="A628" s="4">
        <v>2018</v>
      </c>
      <c r="B628" s="4">
        <v>137099</v>
      </c>
      <c r="C628" t="s">
        <v>1746</v>
      </c>
      <c r="D628" t="s">
        <v>299</v>
      </c>
      <c r="E628" t="s">
        <v>42</v>
      </c>
      <c r="F628" t="s">
        <v>2166</v>
      </c>
      <c r="G628" t="s">
        <v>2167</v>
      </c>
      <c r="H628" t="s">
        <v>33</v>
      </c>
      <c r="I628" t="s">
        <v>97</v>
      </c>
      <c r="J628" t="s">
        <v>64</v>
      </c>
      <c r="K628" t="s">
        <v>65</v>
      </c>
      <c r="L628" t="s">
        <v>66</v>
      </c>
      <c r="M628" t="s">
        <v>2171</v>
      </c>
      <c r="N628" t="s">
        <v>38</v>
      </c>
      <c r="O628" t="s">
        <v>118</v>
      </c>
      <c r="P628">
        <v>374.37599999999998</v>
      </c>
    </row>
    <row r="629" spans="1:16">
      <c r="A629" s="4">
        <v>2018</v>
      </c>
      <c r="B629" s="4">
        <v>113572</v>
      </c>
      <c r="C629" t="s">
        <v>199</v>
      </c>
      <c r="D629" t="s">
        <v>2021</v>
      </c>
      <c r="E629" t="s">
        <v>18</v>
      </c>
      <c r="F629" t="s">
        <v>2166</v>
      </c>
      <c r="G629" t="s">
        <v>2167</v>
      </c>
      <c r="H629" t="s">
        <v>33</v>
      </c>
      <c r="I629" t="s">
        <v>97</v>
      </c>
      <c r="J629" t="s">
        <v>49</v>
      </c>
      <c r="K629" t="s">
        <v>50</v>
      </c>
      <c r="L629" t="s">
        <v>25</v>
      </c>
      <c r="M629" t="s">
        <v>1043</v>
      </c>
      <c r="N629" t="s">
        <v>38</v>
      </c>
      <c r="O629" t="s">
        <v>68</v>
      </c>
      <c r="P629">
        <v>7.88</v>
      </c>
    </row>
    <row r="630" spans="1:16">
      <c r="A630" s="4">
        <v>2015</v>
      </c>
      <c r="B630" s="4">
        <v>134054</v>
      </c>
      <c r="C630" t="s">
        <v>1462</v>
      </c>
      <c r="D630" t="s">
        <v>1462</v>
      </c>
      <c r="E630" t="s">
        <v>132</v>
      </c>
      <c r="F630" t="s">
        <v>2172</v>
      </c>
      <c r="G630" t="s">
        <v>2173</v>
      </c>
      <c r="H630" t="s">
        <v>21</v>
      </c>
      <c r="I630" t="s">
        <v>22</v>
      </c>
      <c r="J630" t="s">
        <v>782</v>
      </c>
      <c r="K630" t="s">
        <v>253</v>
      </c>
      <c r="L630" t="s">
        <v>66</v>
      </c>
      <c r="M630" t="s">
        <v>2174</v>
      </c>
      <c r="N630" t="s">
        <v>27</v>
      </c>
      <c r="O630" t="s">
        <v>28</v>
      </c>
      <c r="P630">
        <v>255.85</v>
      </c>
    </row>
    <row r="631" spans="1:16">
      <c r="A631" s="4">
        <v>2018</v>
      </c>
      <c r="B631" s="4">
        <v>106831</v>
      </c>
      <c r="C631" t="s">
        <v>680</v>
      </c>
      <c r="D631" t="s">
        <v>726</v>
      </c>
      <c r="E631" t="s">
        <v>42</v>
      </c>
      <c r="F631" t="s">
        <v>2175</v>
      </c>
      <c r="G631" t="s">
        <v>2176</v>
      </c>
      <c r="H631" t="s">
        <v>21</v>
      </c>
      <c r="I631" t="s">
        <v>97</v>
      </c>
      <c r="J631" t="s">
        <v>1859</v>
      </c>
      <c r="K631" t="s">
        <v>237</v>
      </c>
      <c r="L631" t="s">
        <v>25</v>
      </c>
      <c r="M631" t="s">
        <v>2177</v>
      </c>
      <c r="N631" t="s">
        <v>27</v>
      </c>
      <c r="O631" t="s">
        <v>101</v>
      </c>
      <c r="P631">
        <v>3.798</v>
      </c>
    </row>
    <row r="632" spans="1:16">
      <c r="A632" s="4">
        <v>2018</v>
      </c>
      <c r="B632" s="4">
        <v>109750</v>
      </c>
      <c r="C632" t="s">
        <v>2178</v>
      </c>
      <c r="D632" t="s">
        <v>2179</v>
      </c>
      <c r="E632" t="s">
        <v>18</v>
      </c>
      <c r="F632" t="s">
        <v>2180</v>
      </c>
      <c r="G632" t="s">
        <v>2181</v>
      </c>
      <c r="H632" t="s">
        <v>33</v>
      </c>
      <c r="I632" t="s">
        <v>22</v>
      </c>
      <c r="J632" t="s">
        <v>49</v>
      </c>
      <c r="K632" t="s">
        <v>50</v>
      </c>
      <c r="L632" t="s">
        <v>25</v>
      </c>
      <c r="M632" t="s">
        <v>2182</v>
      </c>
      <c r="N632" t="s">
        <v>38</v>
      </c>
      <c r="O632" t="s">
        <v>118</v>
      </c>
      <c r="P632">
        <v>29.97</v>
      </c>
    </row>
    <row r="633" spans="1:16">
      <c r="A633" s="4">
        <v>2018</v>
      </c>
      <c r="B633" s="4">
        <v>124303</v>
      </c>
      <c r="C633" t="s">
        <v>436</v>
      </c>
      <c r="D633" t="s">
        <v>2183</v>
      </c>
      <c r="E633" t="s">
        <v>18</v>
      </c>
      <c r="F633" t="s">
        <v>2180</v>
      </c>
      <c r="G633" t="s">
        <v>2181</v>
      </c>
      <c r="H633" t="s">
        <v>33</v>
      </c>
      <c r="I633" t="s">
        <v>22</v>
      </c>
      <c r="J633" t="s">
        <v>23</v>
      </c>
      <c r="K633" t="s">
        <v>24</v>
      </c>
      <c r="L633" t="s">
        <v>25</v>
      </c>
      <c r="M633" t="s">
        <v>2184</v>
      </c>
      <c r="N633" t="s">
        <v>27</v>
      </c>
      <c r="O633" t="s">
        <v>101</v>
      </c>
      <c r="P633">
        <v>2.9460000000000002</v>
      </c>
    </row>
    <row r="634" spans="1:16">
      <c r="A634" s="4">
        <v>2016</v>
      </c>
      <c r="B634" s="4">
        <v>111829</v>
      </c>
      <c r="C634" t="s">
        <v>803</v>
      </c>
      <c r="D634" t="s">
        <v>717</v>
      </c>
      <c r="E634" t="s">
        <v>42</v>
      </c>
      <c r="F634" t="s">
        <v>2180</v>
      </c>
      <c r="G634" t="s">
        <v>2181</v>
      </c>
      <c r="H634" t="s">
        <v>33</v>
      </c>
      <c r="I634" t="s">
        <v>22</v>
      </c>
      <c r="J634" t="s">
        <v>271</v>
      </c>
      <c r="K634" t="s">
        <v>165</v>
      </c>
      <c r="L634" t="s">
        <v>66</v>
      </c>
      <c r="M634" t="s">
        <v>2185</v>
      </c>
      <c r="N634" t="s">
        <v>27</v>
      </c>
      <c r="O634" t="s">
        <v>58</v>
      </c>
      <c r="P634">
        <v>1247.6400000000001</v>
      </c>
    </row>
    <row r="635" spans="1:16">
      <c r="A635" s="4">
        <v>2017</v>
      </c>
      <c r="B635" s="4">
        <v>135720</v>
      </c>
      <c r="C635" t="s">
        <v>572</v>
      </c>
      <c r="D635" t="s">
        <v>1733</v>
      </c>
      <c r="E635" t="s">
        <v>144</v>
      </c>
      <c r="F635" t="s">
        <v>2186</v>
      </c>
      <c r="G635" t="s">
        <v>2187</v>
      </c>
      <c r="H635" t="s">
        <v>33</v>
      </c>
      <c r="I635" t="s">
        <v>97</v>
      </c>
      <c r="J635" t="s">
        <v>1482</v>
      </c>
      <c r="K635" t="s">
        <v>222</v>
      </c>
      <c r="L635" t="s">
        <v>66</v>
      </c>
      <c r="M635" t="s">
        <v>2188</v>
      </c>
      <c r="N635" t="s">
        <v>27</v>
      </c>
      <c r="O635" t="s">
        <v>58</v>
      </c>
      <c r="P635">
        <v>243.38399999999999</v>
      </c>
    </row>
    <row r="636" spans="1:16">
      <c r="A636" s="4">
        <v>2016</v>
      </c>
      <c r="B636" s="4">
        <v>112711</v>
      </c>
      <c r="C636" t="s">
        <v>2189</v>
      </c>
      <c r="D636" t="s">
        <v>2190</v>
      </c>
      <c r="E636" t="s">
        <v>18</v>
      </c>
      <c r="F636" t="s">
        <v>2186</v>
      </c>
      <c r="G636" t="s">
        <v>2187</v>
      </c>
      <c r="H636" t="s">
        <v>33</v>
      </c>
      <c r="I636" t="s">
        <v>97</v>
      </c>
      <c r="J636" t="s">
        <v>1684</v>
      </c>
      <c r="K636" t="s">
        <v>35</v>
      </c>
      <c r="L636" t="s">
        <v>36</v>
      </c>
      <c r="M636" t="s">
        <v>2191</v>
      </c>
      <c r="N636" t="s">
        <v>38</v>
      </c>
      <c r="O636" t="s">
        <v>118</v>
      </c>
      <c r="P636">
        <v>307.16800000000001</v>
      </c>
    </row>
    <row r="637" spans="1:16">
      <c r="A637" s="4">
        <v>2017</v>
      </c>
      <c r="B637" s="4">
        <v>141082</v>
      </c>
      <c r="C637" t="s">
        <v>1532</v>
      </c>
      <c r="D637" t="s">
        <v>1733</v>
      </c>
      <c r="E637" t="s">
        <v>18</v>
      </c>
      <c r="F637" t="s">
        <v>2186</v>
      </c>
      <c r="G637" t="s">
        <v>2187</v>
      </c>
      <c r="H637" t="s">
        <v>33</v>
      </c>
      <c r="I637" t="s">
        <v>97</v>
      </c>
      <c r="J637" t="s">
        <v>952</v>
      </c>
      <c r="K637" t="s">
        <v>284</v>
      </c>
      <c r="L637" t="s">
        <v>25</v>
      </c>
      <c r="M637" t="s">
        <v>2192</v>
      </c>
      <c r="N637" t="s">
        <v>27</v>
      </c>
      <c r="O637" t="s">
        <v>111</v>
      </c>
      <c r="P637">
        <v>3.69</v>
      </c>
    </row>
    <row r="638" spans="1:16">
      <c r="A638" s="4">
        <v>2016</v>
      </c>
      <c r="B638" s="4">
        <v>121552</v>
      </c>
      <c r="C638" t="s">
        <v>1322</v>
      </c>
      <c r="D638" t="s">
        <v>1793</v>
      </c>
      <c r="E638" t="s">
        <v>18</v>
      </c>
      <c r="F638" t="s">
        <v>2193</v>
      </c>
      <c r="G638" t="s">
        <v>2194</v>
      </c>
      <c r="H638" t="s">
        <v>21</v>
      </c>
      <c r="I638" t="s">
        <v>22</v>
      </c>
      <c r="J638" t="s">
        <v>1079</v>
      </c>
      <c r="K638" t="s">
        <v>518</v>
      </c>
      <c r="L638" t="s">
        <v>45</v>
      </c>
      <c r="M638" t="s">
        <v>2195</v>
      </c>
      <c r="N638" t="s">
        <v>27</v>
      </c>
      <c r="O638" t="s">
        <v>28</v>
      </c>
      <c r="P638">
        <v>19.559999999999999</v>
      </c>
    </row>
    <row r="639" spans="1:16">
      <c r="A639" s="4">
        <v>2018</v>
      </c>
      <c r="B639" s="4">
        <v>131849</v>
      </c>
      <c r="C639" t="s">
        <v>113</v>
      </c>
      <c r="D639" t="s">
        <v>775</v>
      </c>
      <c r="E639" t="s">
        <v>18</v>
      </c>
      <c r="F639" t="s">
        <v>2196</v>
      </c>
      <c r="G639" t="s">
        <v>2197</v>
      </c>
      <c r="H639" t="s">
        <v>33</v>
      </c>
      <c r="I639" t="s">
        <v>63</v>
      </c>
      <c r="J639" t="s">
        <v>226</v>
      </c>
      <c r="K639" t="s">
        <v>65</v>
      </c>
      <c r="L639" t="s">
        <v>66</v>
      </c>
      <c r="M639" t="s">
        <v>2198</v>
      </c>
      <c r="N639" t="s">
        <v>79</v>
      </c>
      <c r="O639" t="s">
        <v>80</v>
      </c>
      <c r="P639">
        <v>4.95</v>
      </c>
    </row>
    <row r="640" spans="1:16">
      <c r="A640" s="4">
        <v>2018</v>
      </c>
      <c r="B640" s="4">
        <v>159282</v>
      </c>
      <c r="C640" t="s">
        <v>543</v>
      </c>
      <c r="D640" t="s">
        <v>544</v>
      </c>
      <c r="E640" t="s">
        <v>18</v>
      </c>
      <c r="F640" t="s">
        <v>2196</v>
      </c>
      <c r="G640" t="s">
        <v>2197</v>
      </c>
      <c r="H640" t="s">
        <v>33</v>
      </c>
      <c r="I640" t="s">
        <v>63</v>
      </c>
      <c r="J640" t="s">
        <v>2199</v>
      </c>
      <c r="K640" t="s">
        <v>136</v>
      </c>
      <c r="L640" t="s">
        <v>66</v>
      </c>
      <c r="M640" t="s">
        <v>2200</v>
      </c>
      <c r="N640" t="s">
        <v>38</v>
      </c>
      <c r="O640" t="s">
        <v>39</v>
      </c>
      <c r="P640">
        <v>599.98500000000001</v>
      </c>
    </row>
    <row r="641" spans="1:16">
      <c r="A641" s="4">
        <v>2018</v>
      </c>
      <c r="B641" s="4">
        <v>163006</v>
      </c>
      <c r="C641" t="s">
        <v>1809</v>
      </c>
      <c r="D641" t="s">
        <v>2201</v>
      </c>
      <c r="E641" t="s">
        <v>144</v>
      </c>
      <c r="F641" t="s">
        <v>2196</v>
      </c>
      <c r="G641" t="s">
        <v>2197</v>
      </c>
      <c r="H641" t="s">
        <v>33</v>
      </c>
      <c r="I641" t="s">
        <v>63</v>
      </c>
      <c r="J641" t="s">
        <v>108</v>
      </c>
      <c r="K641" t="s">
        <v>109</v>
      </c>
      <c r="L641" t="s">
        <v>36</v>
      </c>
      <c r="M641" t="s">
        <v>2202</v>
      </c>
      <c r="N641" t="s">
        <v>38</v>
      </c>
      <c r="O641" t="s">
        <v>118</v>
      </c>
      <c r="P641">
        <v>1001.5839999999999</v>
      </c>
    </row>
    <row r="642" spans="1:16">
      <c r="A642" s="4">
        <v>2017</v>
      </c>
      <c r="B642" s="4">
        <v>161025</v>
      </c>
      <c r="C642" t="s">
        <v>1139</v>
      </c>
      <c r="D642" t="s">
        <v>1532</v>
      </c>
      <c r="E642" t="s">
        <v>18</v>
      </c>
      <c r="F642" t="s">
        <v>2203</v>
      </c>
      <c r="G642" t="s">
        <v>2204</v>
      </c>
      <c r="H642" t="s">
        <v>33</v>
      </c>
      <c r="I642" t="s">
        <v>97</v>
      </c>
      <c r="J642" t="s">
        <v>64</v>
      </c>
      <c r="K642" t="s">
        <v>65</v>
      </c>
      <c r="L642" t="s">
        <v>66</v>
      </c>
      <c r="M642" t="s">
        <v>1167</v>
      </c>
      <c r="N642" t="s">
        <v>27</v>
      </c>
      <c r="O642" t="s">
        <v>58</v>
      </c>
      <c r="P642">
        <v>772.68</v>
      </c>
    </row>
    <row r="643" spans="1:16">
      <c r="A643" s="4">
        <v>2018</v>
      </c>
      <c r="B643" s="4">
        <v>135783</v>
      </c>
      <c r="C643" t="s">
        <v>2205</v>
      </c>
      <c r="D643" t="s">
        <v>1529</v>
      </c>
      <c r="E643" t="s">
        <v>42</v>
      </c>
      <c r="F643" t="s">
        <v>2203</v>
      </c>
      <c r="G643" t="s">
        <v>2204</v>
      </c>
      <c r="H643" t="s">
        <v>33</v>
      </c>
      <c r="I643" t="s">
        <v>97</v>
      </c>
      <c r="J643" t="s">
        <v>226</v>
      </c>
      <c r="K643" t="s">
        <v>65</v>
      </c>
      <c r="L643" t="s">
        <v>66</v>
      </c>
      <c r="M643" t="s">
        <v>2206</v>
      </c>
      <c r="N643" t="s">
        <v>79</v>
      </c>
      <c r="O643" t="s">
        <v>80</v>
      </c>
      <c r="P643">
        <v>18.28</v>
      </c>
    </row>
    <row r="644" spans="1:16">
      <c r="A644" s="4">
        <v>2018</v>
      </c>
      <c r="B644" s="4">
        <v>121251</v>
      </c>
      <c r="C644" t="s">
        <v>1289</v>
      </c>
      <c r="D644" t="s">
        <v>2207</v>
      </c>
      <c r="E644" t="s">
        <v>42</v>
      </c>
      <c r="F644" t="s">
        <v>2203</v>
      </c>
      <c r="G644" t="s">
        <v>2204</v>
      </c>
      <c r="H644" t="s">
        <v>33</v>
      </c>
      <c r="I644" t="s">
        <v>97</v>
      </c>
      <c r="J644" t="s">
        <v>49</v>
      </c>
      <c r="K644" t="s">
        <v>50</v>
      </c>
      <c r="L644" t="s">
        <v>25</v>
      </c>
      <c r="M644" t="s">
        <v>768</v>
      </c>
      <c r="N644" t="s">
        <v>79</v>
      </c>
      <c r="O644" t="s">
        <v>286</v>
      </c>
      <c r="P644">
        <v>257.56799999999998</v>
      </c>
    </row>
    <row r="645" spans="1:16">
      <c r="A645" s="4">
        <v>2017</v>
      </c>
      <c r="B645" s="4">
        <v>161396</v>
      </c>
      <c r="C645" t="s">
        <v>2208</v>
      </c>
      <c r="D645" t="s">
        <v>2209</v>
      </c>
      <c r="E645" t="s">
        <v>18</v>
      </c>
      <c r="F645" t="s">
        <v>2210</v>
      </c>
      <c r="G645" t="s">
        <v>2211</v>
      </c>
      <c r="H645" t="s">
        <v>33</v>
      </c>
      <c r="I645" t="s">
        <v>63</v>
      </c>
      <c r="J645" t="s">
        <v>473</v>
      </c>
      <c r="K645" t="s">
        <v>237</v>
      </c>
      <c r="L645" t="s">
        <v>25</v>
      </c>
      <c r="M645" t="s">
        <v>2212</v>
      </c>
      <c r="N645" t="s">
        <v>79</v>
      </c>
      <c r="O645" t="s">
        <v>347</v>
      </c>
      <c r="P645">
        <v>205.17599999999999</v>
      </c>
    </row>
    <row r="646" spans="1:16">
      <c r="A646" s="4">
        <v>2018</v>
      </c>
      <c r="B646" s="4">
        <v>122595</v>
      </c>
      <c r="C646" t="s">
        <v>432</v>
      </c>
      <c r="D646" t="s">
        <v>1707</v>
      </c>
      <c r="E646" t="s">
        <v>18</v>
      </c>
      <c r="F646" t="s">
        <v>2210</v>
      </c>
      <c r="G646" t="s">
        <v>2211</v>
      </c>
      <c r="H646" t="s">
        <v>33</v>
      </c>
      <c r="I646" t="s">
        <v>63</v>
      </c>
      <c r="J646" t="s">
        <v>108</v>
      </c>
      <c r="K646" t="s">
        <v>109</v>
      </c>
      <c r="L646" t="s">
        <v>36</v>
      </c>
      <c r="M646" t="s">
        <v>200</v>
      </c>
      <c r="N646" t="s">
        <v>38</v>
      </c>
      <c r="O646" t="s">
        <v>68</v>
      </c>
      <c r="P646">
        <v>227.976</v>
      </c>
    </row>
    <row r="647" spans="1:16">
      <c r="A647" s="4">
        <v>2015</v>
      </c>
      <c r="B647" s="4">
        <v>143231</v>
      </c>
      <c r="C647" t="s">
        <v>1059</v>
      </c>
      <c r="D647" t="s">
        <v>2213</v>
      </c>
      <c r="E647" t="s">
        <v>42</v>
      </c>
      <c r="F647" t="s">
        <v>2210</v>
      </c>
      <c r="G647" t="s">
        <v>2211</v>
      </c>
      <c r="H647" t="s">
        <v>33</v>
      </c>
      <c r="I647" t="s">
        <v>63</v>
      </c>
      <c r="J647" t="s">
        <v>283</v>
      </c>
      <c r="K647" t="s">
        <v>284</v>
      </c>
      <c r="L647" t="s">
        <v>25</v>
      </c>
      <c r="M647" t="s">
        <v>2214</v>
      </c>
      <c r="N647" t="s">
        <v>79</v>
      </c>
      <c r="O647" t="s">
        <v>80</v>
      </c>
      <c r="P647">
        <v>63.2</v>
      </c>
    </row>
    <row r="648" spans="1:16">
      <c r="A648" s="4">
        <v>2017</v>
      </c>
      <c r="B648" s="4">
        <v>159695</v>
      </c>
      <c r="C648" t="s">
        <v>1571</v>
      </c>
      <c r="D648" t="s">
        <v>989</v>
      </c>
      <c r="E648" t="s">
        <v>144</v>
      </c>
      <c r="F648" t="s">
        <v>2210</v>
      </c>
      <c r="G648" t="s">
        <v>2211</v>
      </c>
      <c r="H648" t="s">
        <v>33</v>
      </c>
      <c r="I648" t="s">
        <v>63</v>
      </c>
      <c r="J648" t="s">
        <v>183</v>
      </c>
      <c r="K648" t="s">
        <v>35</v>
      </c>
      <c r="L648" t="s">
        <v>36</v>
      </c>
      <c r="M648" t="s">
        <v>2215</v>
      </c>
      <c r="N648" t="s">
        <v>27</v>
      </c>
      <c r="O648" t="s">
        <v>58</v>
      </c>
      <c r="P648">
        <v>158.36799999999999</v>
      </c>
    </row>
    <row r="649" spans="1:16">
      <c r="A649" s="4">
        <v>2018</v>
      </c>
      <c r="B649" s="4">
        <v>151981</v>
      </c>
      <c r="C649" t="s">
        <v>2216</v>
      </c>
      <c r="D649" t="s">
        <v>2217</v>
      </c>
      <c r="E649" t="s">
        <v>18</v>
      </c>
      <c r="F649" t="s">
        <v>2210</v>
      </c>
      <c r="G649" t="s">
        <v>2211</v>
      </c>
      <c r="H649" t="s">
        <v>33</v>
      </c>
      <c r="I649" t="s">
        <v>63</v>
      </c>
      <c r="J649" t="s">
        <v>71</v>
      </c>
      <c r="K649" t="s">
        <v>72</v>
      </c>
      <c r="L649" t="s">
        <v>25</v>
      </c>
      <c r="M649" t="s">
        <v>2218</v>
      </c>
      <c r="N649" t="s">
        <v>38</v>
      </c>
      <c r="O649" t="s">
        <v>118</v>
      </c>
      <c r="P649">
        <v>824.95</v>
      </c>
    </row>
    <row r="650" spans="1:16">
      <c r="A650" s="4">
        <v>2018</v>
      </c>
      <c r="B650" s="4">
        <v>156769</v>
      </c>
      <c r="C650" t="s">
        <v>1144</v>
      </c>
      <c r="D650" t="s">
        <v>1600</v>
      </c>
      <c r="E650" t="s">
        <v>42</v>
      </c>
      <c r="F650" t="s">
        <v>2219</v>
      </c>
      <c r="G650" t="s">
        <v>2220</v>
      </c>
      <c r="H650" t="s">
        <v>33</v>
      </c>
      <c r="I650" t="s">
        <v>97</v>
      </c>
      <c r="J650" t="s">
        <v>55</v>
      </c>
      <c r="K650" t="s">
        <v>56</v>
      </c>
      <c r="L650" t="s">
        <v>45</v>
      </c>
      <c r="M650" t="s">
        <v>2221</v>
      </c>
      <c r="N650" t="s">
        <v>27</v>
      </c>
      <c r="O650" t="s">
        <v>28</v>
      </c>
      <c r="P650">
        <v>54.66</v>
      </c>
    </row>
    <row r="651" spans="1:16">
      <c r="A651" s="4">
        <v>2016</v>
      </c>
      <c r="B651" s="4">
        <v>154795</v>
      </c>
      <c r="C651" t="s">
        <v>600</v>
      </c>
      <c r="D651" t="s">
        <v>1666</v>
      </c>
      <c r="E651" t="s">
        <v>18</v>
      </c>
      <c r="F651" t="s">
        <v>2219</v>
      </c>
      <c r="G651" t="s">
        <v>2220</v>
      </c>
      <c r="H651" t="s">
        <v>33</v>
      </c>
      <c r="I651" t="s">
        <v>97</v>
      </c>
      <c r="J651" t="s">
        <v>2222</v>
      </c>
      <c r="K651" t="s">
        <v>136</v>
      </c>
      <c r="L651" t="s">
        <v>66</v>
      </c>
      <c r="M651" t="s">
        <v>2223</v>
      </c>
      <c r="N651" t="s">
        <v>27</v>
      </c>
      <c r="O651" t="s">
        <v>501</v>
      </c>
      <c r="P651">
        <v>7.92</v>
      </c>
    </row>
    <row r="652" spans="1:16">
      <c r="A652" s="4">
        <v>2017</v>
      </c>
      <c r="B652" s="4">
        <v>129903</v>
      </c>
      <c r="C652" t="s">
        <v>360</v>
      </c>
      <c r="D652" t="s">
        <v>1981</v>
      </c>
      <c r="E652" t="s">
        <v>144</v>
      </c>
      <c r="F652" t="s">
        <v>2219</v>
      </c>
      <c r="G652" t="s">
        <v>2220</v>
      </c>
      <c r="H652" t="s">
        <v>33</v>
      </c>
      <c r="I652" t="s">
        <v>97</v>
      </c>
      <c r="J652" t="s">
        <v>663</v>
      </c>
      <c r="K652" t="s">
        <v>372</v>
      </c>
      <c r="L652" t="s">
        <v>36</v>
      </c>
      <c r="M652" t="s">
        <v>2224</v>
      </c>
      <c r="N652" t="s">
        <v>27</v>
      </c>
      <c r="O652" t="s">
        <v>52</v>
      </c>
      <c r="P652">
        <v>23.92</v>
      </c>
    </row>
    <row r="653" spans="1:16">
      <c r="A653" s="4">
        <v>2018</v>
      </c>
      <c r="B653" s="4">
        <v>123463</v>
      </c>
      <c r="C653" t="s">
        <v>1902</v>
      </c>
      <c r="D653" t="s">
        <v>1902</v>
      </c>
      <c r="E653" t="s">
        <v>132</v>
      </c>
      <c r="F653" t="s">
        <v>2219</v>
      </c>
      <c r="G653" t="s">
        <v>2220</v>
      </c>
      <c r="H653" t="s">
        <v>33</v>
      </c>
      <c r="I653" t="s">
        <v>97</v>
      </c>
      <c r="J653" t="s">
        <v>226</v>
      </c>
      <c r="K653" t="s">
        <v>65</v>
      </c>
      <c r="L653" t="s">
        <v>66</v>
      </c>
      <c r="M653" t="s">
        <v>2225</v>
      </c>
      <c r="N653" t="s">
        <v>27</v>
      </c>
      <c r="O653" t="s">
        <v>28</v>
      </c>
      <c r="P653">
        <v>13.48</v>
      </c>
    </row>
    <row r="654" spans="1:16">
      <c r="A654" s="4">
        <v>2015</v>
      </c>
      <c r="B654" s="4">
        <v>132500</v>
      </c>
      <c r="C654" t="s">
        <v>734</v>
      </c>
      <c r="D654" t="s">
        <v>735</v>
      </c>
      <c r="E654" t="s">
        <v>18</v>
      </c>
      <c r="F654" t="s">
        <v>2219</v>
      </c>
      <c r="G654" t="s">
        <v>2220</v>
      </c>
      <c r="H654" t="s">
        <v>33</v>
      </c>
      <c r="I654" t="s">
        <v>97</v>
      </c>
      <c r="J654" t="s">
        <v>226</v>
      </c>
      <c r="K654" t="s">
        <v>65</v>
      </c>
      <c r="L654" t="s">
        <v>66</v>
      </c>
      <c r="M654" t="s">
        <v>2226</v>
      </c>
      <c r="N654" t="s">
        <v>38</v>
      </c>
      <c r="O654" t="s">
        <v>68</v>
      </c>
      <c r="P654">
        <v>49.98</v>
      </c>
    </row>
    <row r="655" spans="1:16">
      <c r="A655" s="4">
        <v>2018</v>
      </c>
      <c r="B655" s="4">
        <v>126928</v>
      </c>
      <c r="C655" t="s">
        <v>212</v>
      </c>
      <c r="D655" t="s">
        <v>640</v>
      </c>
      <c r="E655" t="s">
        <v>18</v>
      </c>
      <c r="F655" t="s">
        <v>2219</v>
      </c>
      <c r="G655" t="s">
        <v>2220</v>
      </c>
      <c r="H655" t="s">
        <v>33</v>
      </c>
      <c r="I655" t="s">
        <v>97</v>
      </c>
      <c r="J655" t="s">
        <v>2227</v>
      </c>
      <c r="K655" t="s">
        <v>869</v>
      </c>
      <c r="L655" t="s">
        <v>25</v>
      </c>
      <c r="M655" t="s">
        <v>2228</v>
      </c>
      <c r="N655" t="s">
        <v>38</v>
      </c>
      <c r="O655" t="s">
        <v>39</v>
      </c>
      <c r="P655">
        <v>480</v>
      </c>
    </row>
    <row r="656" spans="1:16">
      <c r="A656" s="4">
        <v>2017</v>
      </c>
      <c r="B656" s="4">
        <v>117590</v>
      </c>
      <c r="C656" t="s">
        <v>220</v>
      </c>
      <c r="D656" t="s">
        <v>1753</v>
      </c>
      <c r="E656" t="s">
        <v>42</v>
      </c>
      <c r="F656" t="s">
        <v>2229</v>
      </c>
      <c r="G656" t="s">
        <v>2230</v>
      </c>
      <c r="H656" t="s">
        <v>21</v>
      </c>
      <c r="I656" t="s">
        <v>22</v>
      </c>
      <c r="J656" t="s">
        <v>2231</v>
      </c>
      <c r="K656" t="s">
        <v>35</v>
      </c>
      <c r="L656" t="s">
        <v>36</v>
      </c>
      <c r="M656" t="s">
        <v>2232</v>
      </c>
      <c r="N656" t="s">
        <v>38</v>
      </c>
      <c r="O656" t="s">
        <v>118</v>
      </c>
      <c r="P656">
        <v>1097.5440000000001</v>
      </c>
    </row>
    <row r="657" spans="1:16">
      <c r="A657" s="4">
        <v>2015</v>
      </c>
      <c r="B657" s="4">
        <v>141901</v>
      </c>
      <c r="C657" t="s">
        <v>409</v>
      </c>
      <c r="D657" t="s">
        <v>2233</v>
      </c>
      <c r="E657" t="s">
        <v>18</v>
      </c>
      <c r="F657" t="s">
        <v>2234</v>
      </c>
      <c r="G657" t="s">
        <v>2235</v>
      </c>
      <c r="H657" t="s">
        <v>33</v>
      </c>
      <c r="I657" t="s">
        <v>97</v>
      </c>
      <c r="J657" t="s">
        <v>1292</v>
      </c>
      <c r="K657" t="s">
        <v>65</v>
      </c>
      <c r="L657" t="s">
        <v>66</v>
      </c>
      <c r="M657" t="s">
        <v>2236</v>
      </c>
      <c r="N657" t="s">
        <v>27</v>
      </c>
      <c r="O657" t="s">
        <v>52</v>
      </c>
      <c r="P657">
        <v>5.98</v>
      </c>
    </row>
    <row r="658" spans="1:16">
      <c r="A658" s="4">
        <v>2017</v>
      </c>
      <c r="B658" s="4">
        <v>119445</v>
      </c>
      <c r="C658" t="s">
        <v>255</v>
      </c>
      <c r="D658" t="s">
        <v>2237</v>
      </c>
      <c r="E658" t="s">
        <v>18</v>
      </c>
      <c r="F658" t="s">
        <v>2234</v>
      </c>
      <c r="G658" t="s">
        <v>2235</v>
      </c>
      <c r="H658" t="s">
        <v>33</v>
      </c>
      <c r="I658" t="s">
        <v>97</v>
      </c>
      <c r="J658" t="s">
        <v>837</v>
      </c>
      <c r="K658" t="s">
        <v>838</v>
      </c>
      <c r="L658" t="s">
        <v>25</v>
      </c>
      <c r="M658" t="s">
        <v>1813</v>
      </c>
      <c r="N658" t="s">
        <v>27</v>
      </c>
      <c r="O658" t="s">
        <v>58</v>
      </c>
      <c r="P658">
        <v>14.9</v>
      </c>
    </row>
    <row r="659" spans="1:16">
      <c r="A659" s="4">
        <v>2017</v>
      </c>
      <c r="B659" s="4">
        <v>117625</v>
      </c>
      <c r="C659" t="s">
        <v>2238</v>
      </c>
      <c r="D659" t="s">
        <v>2239</v>
      </c>
      <c r="E659" t="s">
        <v>18</v>
      </c>
      <c r="F659" t="s">
        <v>2234</v>
      </c>
      <c r="G659" t="s">
        <v>2235</v>
      </c>
      <c r="H659" t="s">
        <v>33</v>
      </c>
      <c r="I659" t="s">
        <v>97</v>
      </c>
      <c r="J659" t="s">
        <v>108</v>
      </c>
      <c r="K659" t="s">
        <v>109</v>
      </c>
      <c r="L659" t="s">
        <v>36</v>
      </c>
      <c r="M659" t="s">
        <v>2240</v>
      </c>
      <c r="N659" t="s">
        <v>27</v>
      </c>
      <c r="O659" t="s">
        <v>501</v>
      </c>
      <c r="P659">
        <v>7.0720000000000001</v>
      </c>
    </row>
    <row r="660" spans="1:16">
      <c r="A660" s="4">
        <v>2017</v>
      </c>
      <c r="B660" s="4">
        <v>137393</v>
      </c>
      <c r="C660" t="s">
        <v>2241</v>
      </c>
      <c r="D660" t="s">
        <v>2238</v>
      </c>
      <c r="E660" t="s">
        <v>18</v>
      </c>
      <c r="F660" t="s">
        <v>2234</v>
      </c>
      <c r="G660" t="s">
        <v>2235</v>
      </c>
      <c r="H660" t="s">
        <v>33</v>
      </c>
      <c r="I660" t="s">
        <v>97</v>
      </c>
      <c r="J660" t="s">
        <v>2242</v>
      </c>
      <c r="K660" t="s">
        <v>65</v>
      </c>
      <c r="L660" t="s">
        <v>66</v>
      </c>
      <c r="M660" t="s">
        <v>166</v>
      </c>
      <c r="N660" t="s">
        <v>79</v>
      </c>
      <c r="O660" t="s">
        <v>80</v>
      </c>
      <c r="P660">
        <v>41.6</v>
      </c>
    </row>
    <row r="661" spans="1:16">
      <c r="A661" s="4">
        <v>2017</v>
      </c>
      <c r="B661" s="4">
        <v>132731</v>
      </c>
      <c r="C661" t="s">
        <v>359</v>
      </c>
      <c r="D661" t="s">
        <v>2243</v>
      </c>
      <c r="E661" t="s">
        <v>18</v>
      </c>
      <c r="F661" t="s">
        <v>2244</v>
      </c>
      <c r="G661" t="s">
        <v>2245</v>
      </c>
      <c r="H661" t="s">
        <v>21</v>
      </c>
      <c r="I661" t="s">
        <v>97</v>
      </c>
      <c r="J661" t="s">
        <v>627</v>
      </c>
      <c r="K661" t="s">
        <v>35</v>
      </c>
      <c r="L661" t="s">
        <v>36</v>
      </c>
      <c r="M661" t="s">
        <v>2246</v>
      </c>
      <c r="N661" t="s">
        <v>38</v>
      </c>
      <c r="O661" t="s">
        <v>118</v>
      </c>
      <c r="P661">
        <v>657.55200000000002</v>
      </c>
    </row>
    <row r="662" spans="1:16">
      <c r="A662" s="4">
        <v>2017</v>
      </c>
      <c r="B662" s="4">
        <v>149314</v>
      </c>
      <c r="C662" t="s">
        <v>2247</v>
      </c>
      <c r="D662" t="s">
        <v>1186</v>
      </c>
      <c r="E662" t="s">
        <v>144</v>
      </c>
      <c r="F662" t="s">
        <v>2248</v>
      </c>
      <c r="G662" t="s">
        <v>2249</v>
      </c>
      <c r="H662" t="s">
        <v>33</v>
      </c>
      <c r="I662" t="s">
        <v>22</v>
      </c>
      <c r="J662" t="s">
        <v>64</v>
      </c>
      <c r="K662" t="s">
        <v>65</v>
      </c>
      <c r="L662" t="s">
        <v>66</v>
      </c>
      <c r="M662" t="s">
        <v>2250</v>
      </c>
      <c r="N662" t="s">
        <v>79</v>
      </c>
      <c r="O662" t="s">
        <v>138</v>
      </c>
      <c r="P662">
        <v>195.184</v>
      </c>
    </row>
    <row r="663" spans="1:16">
      <c r="A663" s="4">
        <v>2017</v>
      </c>
      <c r="B663" s="4">
        <v>159912</v>
      </c>
      <c r="C663" t="s">
        <v>69</v>
      </c>
      <c r="D663" t="s">
        <v>70</v>
      </c>
      <c r="E663" t="s">
        <v>18</v>
      </c>
      <c r="F663" t="s">
        <v>2248</v>
      </c>
      <c r="G663" t="s">
        <v>2249</v>
      </c>
      <c r="H663" t="s">
        <v>33</v>
      </c>
      <c r="I663" t="s">
        <v>22</v>
      </c>
      <c r="J663" t="s">
        <v>23</v>
      </c>
      <c r="K663" t="s">
        <v>24</v>
      </c>
      <c r="L663" t="s">
        <v>25</v>
      </c>
      <c r="M663" t="s">
        <v>2251</v>
      </c>
      <c r="N663" t="s">
        <v>79</v>
      </c>
      <c r="O663" t="s">
        <v>347</v>
      </c>
      <c r="P663">
        <v>241.92</v>
      </c>
    </row>
    <row r="664" spans="1:16">
      <c r="A664" s="4">
        <v>2016</v>
      </c>
      <c r="B664" s="4">
        <v>126186</v>
      </c>
      <c r="C664" t="s">
        <v>1215</v>
      </c>
      <c r="D664" t="s">
        <v>826</v>
      </c>
      <c r="E664" t="s">
        <v>42</v>
      </c>
      <c r="F664" t="s">
        <v>2248</v>
      </c>
      <c r="G664" t="s">
        <v>2249</v>
      </c>
      <c r="H664" t="s">
        <v>33</v>
      </c>
      <c r="I664" t="s">
        <v>22</v>
      </c>
      <c r="J664" t="s">
        <v>1482</v>
      </c>
      <c r="K664" t="s">
        <v>222</v>
      </c>
      <c r="L664" t="s">
        <v>66</v>
      </c>
      <c r="M664" t="s">
        <v>2252</v>
      </c>
      <c r="N664" t="s">
        <v>79</v>
      </c>
      <c r="O664" t="s">
        <v>80</v>
      </c>
      <c r="P664">
        <v>24.64</v>
      </c>
    </row>
    <row r="665" spans="1:16">
      <c r="A665" s="4">
        <v>2018</v>
      </c>
      <c r="B665" s="4">
        <v>160983</v>
      </c>
      <c r="C665" t="s">
        <v>2253</v>
      </c>
      <c r="D665" t="s">
        <v>2254</v>
      </c>
      <c r="E665" t="s">
        <v>144</v>
      </c>
      <c r="F665" t="s">
        <v>2248</v>
      </c>
      <c r="G665" t="s">
        <v>2249</v>
      </c>
      <c r="H665" t="s">
        <v>33</v>
      </c>
      <c r="I665" t="s">
        <v>22</v>
      </c>
      <c r="J665" t="s">
        <v>2255</v>
      </c>
      <c r="K665" t="s">
        <v>50</v>
      </c>
      <c r="L665" t="s">
        <v>25</v>
      </c>
      <c r="M665" t="s">
        <v>2256</v>
      </c>
      <c r="N665" t="s">
        <v>27</v>
      </c>
      <c r="O665" t="s">
        <v>52</v>
      </c>
      <c r="P665">
        <v>46.96</v>
      </c>
    </row>
    <row r="666" spans="1:16">
      <c r="A666" s="4">
        <v>2017</v>
      </c>
      <c r="B666" s="4">
        <v>164672</v>
      </c>
      <c r="C666" t="s">
        <v>1406</v>
      </c>
      <c r="D666" t="s">
        <v>2257</v>
      </c>
      <c r="E666" t="s">
        <v>144</v>
      </c>
      <c r="F666" t="s">
        <v>2248</v>
      </c>
      <c r="G666" t="s">
        <v>2249</v>
      </c>
      <c r="H666" t="s">
        <v>33</v>
      </c>
      <c r="I666" t="s">
        <v>22</v>
      </c>
      <c r="J666" t="s">
        <v>2258</v>
      </c>
      <c r="K666" t="s">
        <v>1392</v>
      </c>
      <c r="L666" t="s">
        <v>25</v>
      </c>
      <c r="M666" t="s">
        <v>2259</v>
      </c>
      <c r="N666" t="s">
        <v>79</v>
      </c>
      <c r="O666" t="s">
        <v>80</v>
      </c>
      <c r="P666">
        <v>211.96</v>
      </c>
    </row>
    <row r="667" spans="1:16">
      <c r="A667" s="4">
        <v>2016</v>
      </c>
      <c r="B667" s="4">
        <v>158421</v>
      </c>
      <c r="C667" t="s">
        <v>1206</v>
      </c>
      <c r="D667" t="s">
        <v>1040</v>
      </c>
      <c r="E667" t="s">
        <v>18</v>
      </c>
      <c r="F667" t="s">
        <v>2260</v>
      </c>
      <c r="G667" t="s">
        <v>2261</v>
      </c>
      <c r="H667" t="s">
        <v>33</v>
      </c>
      <c r="I667" t="s">
        <v>97</v>
      </c>
      <c r="J667" t="s">
        <v>977</v>
      </c>
      <c r="K667" t="s">
        <v>1402</v>
      </c>
      <c r="L667" t="s">
        <v>45</v>
      </c>
      <c r="M667" t="s">
        <v>1142</v>
      </c>
      <c r="N667" t="s">
        <v>79</v>
      </c>
      <c r="O667" t="s">
        <v>138</v>
      </c>
      <c r="P667">
        <v>1690.04</v>
      </c>
    </row>
    <row r="668" spans="1:16">
      <c r="A668" s="4">
        <v>2016</v>
      </c>
      <c r="B668" s="4">
        <v>139850</v>
      </c>
      <c r="C668" t="s">
        <v>2262</v>
      </c>
      <c r="D668" t="s">
        <v>380</v>
      </c>
      <c r="E668" t="s">
        <v>18</v>
      </c>
      <c r="F668" t="s">
        <v>2260</v>
      </c>
      <c r="G668" t="s">
        <v>2261</v>
      </c>
      <c r="H668" t="s">
        <v>33</v>
      </c>
      <c r="I668" t="s">
        <v>97</v>
      </c>
      <c r="J668" t="s">
        <v>23</v>
      </c>
      <c r="K668" t="s">
        <v>24</v>
      </c>
      <c r="L668" t="s">
        <v>25</v>
      </c>
      <c r="M668" t="s">
        <v>2263</v>
      </c>
      <c r="N668" t="s">
        <v>27</v>
      </c>
      <c r="O668" t="s">
        <v>52</v>
      </c>
      <c r="P668">
        <v>20.736000000000001</v>
      </c>
    </row>
    <row r="669" spans="1:16">
      <c r="A669" s="4">
        <v>2017</v>
      </c>
      <c r="B669" s="4">
        <v>121223</v>
      </c>
      <c r="C669" t="s">
        <v>106</v>
      </c>
      <c r="D669" t="s">
        <v>2264</v>
      </c>
      <c r="E669" t="s">
        <v>144</v>
      </c>
      <c r="F669" t="s">
        <v>2265</v>
      </c>
      <c r="G669" t="s">
        <v>2266</v>
      </c>
      <c r="H669" t="s">
        <v>21</v>
      </c>
      <c r="I669" t="s">
        <v>22</v>
      </c>
      <c r="J669" t="s">
        <v>23</v>
      </c>
      <c r="K669" t="s">
        <v>24</v>
      </c>
      <c r="L669" t="s">
        <v>25</v>
      </c>
      <c r="M669" t="s">
        <v>2267</v>
      </c>
      <c r="N669" t="s">
        <v>27</v>
      </c>
      <c r="O669" t="s">
        <v>52</v>
      </c>
      <c r="P669">
        <v>8.4480000000000004</v>
      </c>
    </row>
    <row r="670" spans="1:16">
      <c r="A670" s="4">
        <v>2018</v>
      </c>
      <c r="B670" s="4">
        <v>113852</v>
      </c>
      <c r="C670" t="s">
        <v>480</v>
      </c>
      <c r="D670" t="s">
        <v>2268</v>
      </c>
      <c r="E670" t="s">
        <v>18</v>
      </c>
      <c r="F670" t="s">
        <v>2269</v>
      </c>
      <c r="G670" t="s">
        <v>2270</v>
      </c>
      <c r="H670" t="s">
        <v>21</v>
      </c>
      <c r="I670" t="s">
        <v>97</v>
      </c>
      <c r="J670" t="s">
        <v>271</v>
      </c>
      <c r="K670" t="s">
        <v>165</v>
      </c>
      <c r="L670" t="s">
        <v>66</v>
      </c>
      <c r="M670" t="s">
        <v>2271</v>
      </c>
      <c r="N670" t="s">
        <v>38</v>
      </c>
      <c r="O670" t="s">
        <v>68</v>
      </c>
      <c r="P670">
        <v>90.57</v>
      </c>
    </row>
    <row r="671" spans="1:16">
      <c r="A671" s="4">
        <v>2018</v>
      </c>
      <c r="B671" s="4">
        <v>139444</v>
      </c>
      <c r="C671" t="s">
        <v>591</v>
      </c>
      <c r="D671" t="s">
        <v>702</v>
      </c>
      <c r="E671" t="s">
        <v>18</v>
      </c>
      <c r="F671" t="s">
        <v>2272</v>
      </c>
      <c r="G671" t="s">
        <v>2273</v>
      </c>
      <c r="H671" t="s">
        <v>33</v>
      </c>
      <c r="I671" t="s">
        <v>22</v>
      </c>
      <c r="J671" t="s">
        <v>256</v>
      </c>
      <c r="K671" t="s">
        <v>35</v>
      </c>
      <c r="L671" t="s">
        <v>36</v>
      </c>
      <c r="M671" t="s">
        <v>2274</v>
      </c>
      <c r="N671" t="s">
        <v>27</v>
      </c>
      <c r="O671" t="s">
        <v>111</v>
      </c>
      <c r="P671">
        <v>9.8559999999999999</v>
      </c>
    </row>
    <row r="672" spans="1:16">
      <c r="A672" s="4">
        <v>2017</v>
      </c>
      <c r="B672" s="4">
        <v>116729</v>
      </c>
      <c r="C672" t="s">
        <v>2091</v>
      </c>
      <c r="D672" t="s">
        <v>2275</v>
      </c>
      <c r="E672" t="s">
        <v>42</v>
      </c>
      <c r="F672" t="s">
        <v>2272</v>
      </c>
      <c r="G672" t="s">
        <v>2273</v>
      </c>
      <c r="H672" t="s">
        <v>33</v>
      </c>
      <c r="I672" t="s">
        <v>22</v>
      </c>
      <c r="J672" t="s">
        <v>64</v>
      </c>
      <c r="K672" t="s">
        <v>65</v>
      </c>
      <c r="L672" t="s">
        <v>66</v>
      </c>
      <c r="M672" t="s">
        <v>2276</v>
      </c>
      <c r="N672" t="s">
        <v>38</v>
      </c>
      <c r="O672" t="s">
        <v>118</v>
      </c>
      <c r="P672">
        <v>2575.944</v>
      </c>
    </row>
    <row r="673" spans="1:16">
      <c r="A673" s="4">
        <v>2015</v>
      </c>
      <c r="B673" s="4">
        <v>165862</v>
      </c>
      <c r="C673" t="s">
        <v>2277</v>
      </c>
      <c r="D673" t="s">
        <v>355</v>
      </c>
      <c r="E673" t="s">
        <v>18</v>
      </c>
      <c r="F673" t="s">
        <v>2272</v>
      </c>
      <c r="G673" t="s">
        <v>2273</v>
      </c>
      <c r="H673" t="s">
        <v>33</v>
      </c>
      <c r="I673" t="s">
        <v>22</v>
      </c>
      <c r="J673" t="s">
        <v>64</v>
      </c>
      <c r="K673" t="s">
        <v>65</v>
      </c>
      <c r="L673" t="s">
        <v>66</v>
      </c>
      <c r="M673" t="s">
        <v>2278</v>
      </c>
      <c r="N673" t="s">
        <v>79</v>
      </c>
      <c r="O673" t="s">
        <v>347</v>
      </c>
      <c r="P673">
        <v>351.21600000000001</v>
      </c>
    </row>
    <row r="674" spans="1:16">
      <c r="A674" s="4">
        <v>2017</v>
      </c>
      <c r="B674" s="4">
        <v>162138</v>
      </c>
      <c r="C674" t="s">
        <v>2279</v>
      </c>
      <c r="D674" t="s">
        <v>1162</v>
      </c>
      <c r="E674" t="s">
        <v>18</v>
      </c>
      <c r="F674" t="s">
        <v>2272</v>
      </c>
      <c r="G674" t="s">
        <v>2273</v>
      </c>
      <c r="H674" t="s">
        <v>33</v>
      </c>
      <c r="I674" t="s">
        <v>22</v>
      </c>
      <c r="J674" t="s">
        <v>2280</v>
      </c>
      <c r="K674" t="s">
        <v>65</v>
      </c>
      <c r="L674" t="s">
        <v>66</v>
      </c>
      <c r="M674" t="s">
        <v>2281</v>
      </c>
      <c r="N674" t="s">
        <v>27</v>
      </c>
      <c r="O674" t="s">
        <v>101</v>
      </c>
      <c r="P674">
        <v>251.52</v>
      </c>
    </row>
    <row r="675" spans="1:16">
      <c r="A675" s="4">
        <v>2016</v>
      </c>
      <c r="B675" s="4">
        <v>161767</v>
      </c>
      <c r="C675" t="s">
        <v>972</v>
      </c>
      <c r="D675" t="s">
        <v>1602</v>
      </c>
      <c r="E675" t="s">
        <v>18</v>
      </c>
      <c r="F675" t="s">
        <v>2272</v>
      </c>
      <c r="G675" t="s">
        <v>2273</v>
      </c>
      <c r="H675" t="s">
        <v>33</v>
      </c>
      <c r="I675" t="s">
        <v>22</v>
      </c>
      <c r="J675" t="s">
        <v>627</v>
      </c>
      <c r="K675" t="s">
        <v>35</v>
      </c>
      <c r="L675" t="s">
        <v>36</v>
      </c>
      <c r="M675" t="s">
        <v>2282</v>
      </c>
      <c r="N675" t="s">
        <v>38</v>
      </c>
      <c r="O675" t="s">
        <v>39</v>
      </c>
      <c r="P675">
        <v>479.988</v>
      </c>
    </row>
    <row r="676" spans="1:16">
      <c r="A676" s="4">
        <v>2018</v>
      </c>
      <c r="B676" s="4">
        <v>168116</v>
      </c>
      <c r="C676" t="s">
        <v>1283</v>
      </c>
      <c r="D676" t="s">
        <v>1283</v>
      </c>
      <c r="E676" t="s">
        <v>132</v>
      </c>
      <c r="F676" t="s">
        <v>2283</v>
      </c>
      <c r="G676" t="s">
        <v>2284</v>
      </c>
      <c r="H676" t="s">
        <v>21</v>
      </c>
      <c r="I676" t="s">
        <v>22</v>
      </c>
      <c r="J676" t="s">
        <v>2285</v>
      </c>
      <c r="K676" t="s">
        <v>44</v>
      </c>
      <c r="L676" t="s">
        <v>45</v>
      </c>
      <c r="M676" t="s">
        <v>2286</v>
      </c>
      <c r="N676" t="s">
        <v>38</v>
      </c>
      <c r="O676" t="s">
        <v>39</v>
      </c>
      <c r="P676">
        <v>7999.98</v>
      </c>
    </row>
    <row r="677" spans="1:16">
      <c r="A677" s="4">
        <v>2015</v>
      </c>
      <c r="B677" s="4">
        <v>106439</v>
      </c>
      <c r="C677" t="s">
        <v>549</v>
      </c>
      <c r="D677" t="s">
        <v>2287</v>
      </c>
      <c r="E677" t="s">
        <v>18</v>
      </c>
      <c r="F677" t="s">
        <v>2288</v>
      </c>
      <c r="G677" t="s">
        <v>2289</v>
      </c>
      <c r="H677" t="s">
        <v>33</v>
      </c>
      <c r="I677" t="s">
        <v>22</v>
      </c>
      <c r="J677" t="s">
        <v>64</v>
      </c>
      <c r="K677" t="s">
        <v>65</v>
      </c>
      <c r="L677" t="s">
        <v>66</v>
      </c>
      <c r="M677" t="s">
        <v>2290</v>
      </c>
      <c r="N677" t="s">
        <v>27</v>
      </c>
      <c r="O677" t="s">
        <v>452</v>
      </c>
      <c r="P677">
        <v>11.34</v>
      </c>
    </row>
    <row r="678" spans="1:16">
      <c r="A678" s="4">
        <v>2016</v>
      </c>
      <c r="B678" s="4">
        <v>136476</v>
      </c>
      <c r="C678" t="s">
        <v>1109</v>
      </c>
      <c r="D678" t="s">
        <v>2291</v>
      </c>
      <c r="E678" t="s">
        <v>18</v>
      </c>
      <c r="F678" t="s">
        <v>2288</v>
      </c>
      <c r="G678" t="s">
        <v>2289</v>
      </c>
      <c r="H678" t="s">
        <v>33</v>
      </c>
      <c r="I678" t="s">
        <v>22</v>
      </c>
      <c r="J678" t="s">
        <v>1154</v>
      </c>
      <c r="K678" t="s">
        <v>206</v>
      </c>
      <c r="L678" t="s">
        <v>45</v>
      </c>
      <c r="M678" t="s">
        <v>2292</v>
      </c>
      <c r="N678" t="s">
        <v>27</v>
      </c>
      <c r="O678" t="s">
        <v>101</v>
      </c>
      <c r="P678">
        <v>157.79400000000001</v>
      </c>
    </row>
    <row r="679" spans="1:16">
      <c r="A679" s="4">
        <v>2016</v>
      </c>
      <c r="B679" s="4">
        <v>163090</v>
      </c>
      <c r="C679" t="s">
        <v>979</v>
      </c>
      <c r="D679" t="s">
        <v>980</v>
      </c>
      <c r="E679" t="s">
        <v>144</v>
      </c>
      <c r="F679" t="s">
        <v>2293</v>
      </c>
      <c r="G679" t="s">
        <v>2294</v>
      </c>
      <c r="H679" t="s">
        <v>33</v>
      </c>
      <c r="I679" t="s">
        <v>97</v>
      </c>
      <c r="J679" t="s">
        <v>108</v>
      </c>
      <c r="K679" t="s">
        <v>109</v>
      </c>
      <c r="L679" t="s">
        <v>36</v>
      </c>
      <c r="M679" t="s">
        <v>2295</v>
      </c>
      <c r="N679" t="s">
        <v>27</v>
      </c>
      <c r="O679" t="s">
        <v>74</v>
      </c>
      <c r="P679">
        <v>40.92</v>
      </c>
    </row>
    <row r="680" spans="1:16">
      <c r="A680" s="4">
        <v>2018</v>
      </c>
      <c r="B680" s="4">
        <v>136539</v>
      </c>
      <c r="C680" t="s">
        <v>1316</v>
      </c>
      <c r="D680" t="s">
        <v>2296</v>
      </c>
      <c r="E680" t="s">
        <v>18</v>
      </c>
      <c r="F680" t="s">
        <v>2293</v>
      </c>
      <c r="G680" t="s">
        <v>2294</v>
      </c>
      <c r="H680" t="s">
        <v>33</v>
      </c>
      <c r="I680" t="s">
        <v>97</v>
      </c>
      <c r="J680" t="s">
        <v>291</v>
      </c>
      <c r="K680" t="s">
        <v>35</v>
      </c>
      <c r="L680" t="s">
        <v>36</v>
      </c>
      <c r="M680" t="s">
        <v>2297</v>
      </c>
      <c r="N680" t="s">
        <v>27</v>
      </c>
      <c r="O680" t="s">
        <v>28</v>
      </c>
      <c r="P680">
        <v>27.167999999999999</v>
      </c>
    </row>
    <row r="681" spans="1:16">
      <c r="A681" s="4">
        <v>2015</v>
      </c>
      <c r="B681" s="4">
        <v>127012</v>
      </c>
      <c r="C681" t="s">
        <v>2298</v>
      </c>
      <c r="D681" t="s">
        <v>1317</v>
      </c>
      <c r="E681" t="s">
        <v>18</v>
      </c>
      <c r="F681" t="s">
        <v>2299</v>
      </c>
      <c r="G681" t="s">
        <v>2300</v>
      </c>
      <c r="H681" t="s">
        <v>33</v>
      </c>
      <c r="I681" t="s">
        <v>97</v>
      </c>
      <c r="J681" t="s">
        <v>271</v>
      </c>
      <c r="K681" t="s">
        <v>165</v>
      </c>
      <c r="L681" t="s">
        <v>66</v>
      </c>
      <c r="M681" t="s">
        <v>2301</v>
      </c>
      <c r="N681" t="s">
        <v>79</v>
      </c>
      <c r="O681" t="s">
        <v>80</v>
      </c>
      <c r="P681">
        <v>12.35</v>
      </c>
    </row>
    <row r="682" spans="1:16">
      <c r="A682" s="4">
        <v>2017</v>
      </c>
      <c r="B682" s="4">
        <v>139710</v>
      </c>
      <c r="C682" t="s">
        <v>2302</v>
      </c>
      <c r="D682" t="s">
        <v>2303</v>
      </c>
      <c r="E682" t="s">
        <v>18</v>
      </c>
      <c r="F682" t="s">
        <v>2299</v>
      </c>
      <c r="G682" t="s">
        <v>2300</v>
      </c>
      <c r="H682" t="s">
        <v>33</v>
      </c>
      <c r="I682" t="s">
        <v>97</v>
      </c>
      <c r="J682" t="s">
        <v>64</v>
      </c>
      <c r="K682" t="s">
        <v>65</v>
      </c>
      <c r="L682" t="s">
        <v>66</v>
      </c>
      <c r="M682" t="s">
        <v>2304</v>
      </c>
      <c r="N682" t="s">
        <v>38</v>
      </c>
      <c r="O682" t="s">
        <v>118</v>
      </c>
      <c r="P682">
        <v>177.48</v>
      </c>
    </row>
    <row r="683" spans="1:16">
      <c r="A683" s="4">
        <v>2017</v>
      </c>
      <c r="B683" s="4">
        <v>139157</v>
      </c>
      <c r="C683" t="s">
        <v>1228</v>
      </c>
      <c r="D683" t="s">
        <v>2305</v>
      </c>
      <c r="E683" t="s">
        <v>18</v>
      </c>
      <c r="F683" t="s">
        <v>2299</v>
      </c>
      <c r="G683" t="s">
        <v>2300</v>
      </c>
      <c r="H683" t="s">
        <v>33</v>
      </c>
      <c r="I683" t="s">
        <v>97</v>
      </c>
      <c r="J683" t="s">
        <v>49</v>
      </c>
      <c r="K683" t="s">
        <v>50</v>
      </c>
      <c r="L683" t="s">
        <v>25</v>
      </c>
      <c r="M683" t="s">
        <v>2306</v>
      </c>
      <c r="N683" t="s">
        <v>79</v>
      </c>
      <c r="O683" t="s">
        <v>347</v>
      </c>
      <c r="P683">
        <v>330.58800000000002</v>
      </c>
    </row>
    <row r="684" spans="1:16">
      <c r="A684" s="4">
        <v>2015</v>
      </c>
      <c r="B684" s="4">
        <v>103310</v>
      </c>
      <c r="C684" t="s">
        <v>2307</v>
      </c>
      <c r="D684" t="s">
        <v>262</v>
      </c>
      <c r="E684" t="s">
        <v>18</v>
      </c>
      <c r="F684" t="s">
        <v>2299</v>
      </c>
      <c r="G684" t="s">
        <v>2300</v>
      </c>
      <c r="H684" t="s">
        <v>33</v>
      </c>
      <c r="I684" t="s">
        <v>97</v>
      </c>
      <c r="J684" t="s">
        <v>1333</v>
      </c>
      <c r="K684" t="s">
        <v>65</v>
      </c>
      <c r="L684" t="s">
        <v>66</v>
      </c>
      <c r="M684" t="s">
        <v>2308</v>
      </c>
      <c r="N684" t="s">
        <v>27</v>
      </c>
      <c r="O684" t="s">
        <v>52</v>
      </c>
      <c r="P684">
        <v>39.96</v>
      </c>
    </row>
    <row r="685" spans="1:16">
      <c r="A685" s="4">
        <v>2018</v>
      </c>
      <c r="B685" s="4">
        <v>161774</v>
      </c>
      <c r="C685" t="s">
        <v>1610</v>
      </c>
      <c r="D685" t="s">
        <v>2309</v>
      </c>
      <c r="E685" t="s">
        <v>42</v>
      </c>
      <c r="F685" t="s">
        <v>2310</v>
      </c>
      <c r="G685" t="s">
        <v>2311</v>
      </c>
      <c r="H685" t="s">
        <v>33</v>
      </c>
      <c r="I685" t="s">
        <v>97</v>
      </c>
      <c r="J685" t="s">
        <v>183</v>
      </c>
      <c r="K685" t="s">
        <v>35</v>
      </c>
      <c r="L685" t="s">
        <v>36</v>
      </c>
      <c r="M685" t="s">
        <v>1248</v>
      </c>
      <c r="N685" t="s">
        <v>79</v>
      </c>
      <c r="O685" t="s">
        <v>138</v>
      </c>
      <c r="P685">
        <v>899.43</v>
      </c>
    </row>
    <row r="686" spans="1:16">
      <c r="A686" s="4">
        <v>2016</v>
      </c>
      <c r="B686" s="4">
        <v>124450</v>
      </c>
      <c r="C686" t="s">
        <v>2312</v>
      </c>
      <c r="D686" t="s">
        <v>2313</v>
      </c>
      <c r="E686" t="s">
        <v>18</v>
      </c>
      <c r="F686" t="s">
        <v>2310</v>
      </c>
      <c r="G686" t="s">
        <v>2311</v>
      </c>
      <c r="H686" t="s">
        <v>33</v>
      </c>
      <c r="I686" t="s">
        <v>97</v>
      </c>
      <c r="J686" t="s">
        <v>165</v>
      </c>
      <c r="K686" t="s">
        <v>2314</v>
      </c>
      <c r="L686" t="s">
        <v>25</v>
      </c>
      <c r="M686" t="s">
        <v>1727</v>
      </c>
      <c r="N686" t="s">
        <v>27</v>
      </c>
      <c r="O686" t="s">
        <v>28</v>
      </c>
      <c r="P686">
        <v>22.74</v>
      </c>
    </row>
    <row r="687" spans="1:16">
      <c r="A687" s="4">
        <v>2017</v>
      </c>
      <c r="B687" s="4">
        <v>169040</v>
      </c>
      <c r="C687" t="s">
        <v>2019</v>
      </c>
      <c r="D687" t="s">
        <v>2315</v>
      </c>
      <c r="E687" t="s">
        <v>18</v>
      </c>
      <c r="F687" t="s">
        <v>2310</v>
      </c>
      <c r="G687" t="s">
        <v>2311</v>
      </c>
      <c r="H687" t="s">
        <v>33</v>
      </c>
      <c r="I687" t="s">
        <v>97</v>
      </c>
      <c r="J687" t="s">
        <v>271</v>
      </c>
      <c r="K687" t="s">
        <v>165</v>
      </c>
      <c r="L687" t="s">
        <v>66</v>
      </c>
      <c r="M687" t="s">
        <v>2316</v>
      </c>
      <c r="N687" t="s">
        <v>38</v>
      </c>
      <c r="O687" t="s">
        <v>118</v>
      </c>
      <c r="P687">
        <v>156.792</v>
      </c>
    </row>
    <row r="688" spans="1:16">
      <c r="A688" s="4">
        <v>2018</v>
      </c>
      <c r="B688" s="4">
        <v>126956</v>
      </c>
      <c r="C688" t="s">
        <v>2317</v>
      </c>
      <c r="D688" t="s">
        <v>2318</v>
      </c>
      <c r="E688" t="s">
        <v>18</v>
      </c>
      <c r="F688" t="s">
        <v>2310</v>
      </c>
      <c r="G688" t="s">
        <v>2311</v>
      </c>
      <c r="H688" t="s">
        <v>33</v>
      </c>
      <c r="I688" t="s">
        <v>97</v>
      </c>
      <c r="J688" t="s">
        <v>2319</v>
      </c>
      <c r="K688" t="s">
        <v>372</v>
      </c>
      <c r="L688" t="s">
        <v>36</v>
      </c>
      <c r="M688" t="s">
        <v>1895</v>
      </c>
      <c r="N688" t="s">
        <v>27</v>
      </c>
      <c r="O688" t="s">
        <v>452</v>
      </c>
      <c r="P688">
        <v>35</v>
      </c>
    </row>
    <row r="689" spans="1:16">
      <c r="A689" s="4">
        <v>2018</v>
      </c>
      <c r="B689" s="4">
        <v>101945</v>
      </c>
      <c r="C689" t="s">
        <v>2320</v>
      </c>
      <c r="D689" t="s">
        <v>1751</v>
      </c>
      <c r="E689" t="s">
        <v>18</v>
      </c>
      <c r="F689" t="s">
        <v>2310</v>
      </c>
      <c r="G689" t="s">
        <v>2311</v>
      </c>
      <c r="H689" t="s">
        <v>33</v>
      </c>
      <c r="I689" t="s">
        <v>97</v>
      </c>
      <c r="J689" t="s">
        <v>183</v>
      </c>
      <c r="K689" t="s">
        <v>35</v>
      </c>
      <c r="L689" t="s">
        <v>36</v>
      </c>
      <c r="M689" t="s">
        <v>1615</v>
      </c>
      <c r="N689" t="s">
        <v>27</v>
      </c>
      <c r="O689" t="s">
        <v>452</v>
      </c>
      <c r="P689">
        <v>10.824</v>
      </c>
    </row>
    <row r="690" spans="1:16">
      <c r="A690" s="4">
        <v>2018</v>
      </c>
      <c r="B690" s="4">
        <v>114636</v>
      </c>
      <c r="C690" t="s">
        <v>2321</v>
      </c>
      <c r="D690" t="s">
        <v>2322</v>
      </c>
      <c r="E690" t="s">
        <v>18</v>
      </c>
      <c r="F690" t="s">
        <v>2323</v>
      </c>
      <c r="G690" t="s">
        <v>2324</v>
      </c>
      <c r="H690" t="s">
        <v>33</v>
      </c>
      <c r="I690" t="s">
        <v>97</v>
      </c>
      <c r="J690" t="s">
        <v>1413</v>
      </c>
      <c r="K690" t="s">
        <v>44</v>
      </c>
      <c r="L690" t="s">
        <v>45</v>
      </c>
      <c r="M690" t="s">
        <v>2325</v>
      </c>
      <c r="N690" t="s">
        <v>27</v>
      </c>
      <c r="O690" t="s">
        <v>52</v>
      </c>
      <c r="P690">
        <v>192.16</v>
      </c>
    </row>
    <row r="691" spans="1:16">
      <c r="A691" s="4">
        <v>2018</v>
      </c>
      <c r="B691" s="4">
        <v>107503</v>
      </c>
      <c r="C691" t="s">
        <v>2326</v>
      </c>
      <c r="D691" t="s">
        <v>754</v>
      </c>
      <c r="E691" t="s">
        <v>18</v>
      </c>
      <c r="F691" t="s">
        <v>2323</v>
      </c>
      <c r="G691" t="s">
        <v>2324</v>
      </c>
      <c r="H691" t="s">
        <v>33</v>
      </c>
      <c r="I691" t="s">
        <v>97</v>
      </c>
      <c r="J691" t="s">
        <v>259</v>
      </c>
      <c r="K691" t="s">
        <v>237</v>
      </c>
      <c r="L691" t="s">
        <v>25</v>
      </c>
      <c r="M691" t="s">
        <v>2327</v>
      </c>
      <c r="N691" t="s">
        <v>79</v>
      </c>
      <c r="O691" t="s">
        <v>80</v>
      </c>
      <c r="P691">
        <v>48.896000000000001</v>
      </c>
    </row>
    <row r="692" spans="1:16">
      <c r="A692" s="4">
        <v>2016</v>
      </c>
      <c r="B692" s="4">
        <v>126235</v>
      </c>
      <c r="C692" t="s">
        <v>2328</v>
      </c>
      <c r="D692" t="s">
        <v>2328</v>
      </c>
      <c r="E692" t="s">
        <v>132</v>
      </c>
      <c r="F692" t="s">
        <v>2323</v>
      </c>
      <c r="G692" t="s">
        <v>2324</v>
      </c>
      <c r="H692" t="s">
        <v>33</v>
      </c>
      <c r="I692" t="s">
        <v>97</v>
      </c>
      <c r="J692" t="s">
        <v>2329</v>
      </c>
      <c r="K692" t="s">
        <v>855</v>
      </c>
      <c r="L692" t="s">
        <v>36</v>
      </c>
      <c r="M692" t="s">
        <v>2330</v>
      </c>
      <c r="N692" t="s">
        <v>79</v>
      </c>
      <c r="O692" t="s">
        <v>80</v>
      </c>
      <c r="P692">
        <v>17.14</v>
      </c>
    </row>
    <row r="693" spans="1:16">
      <c r="A693" s="4">
        <v>2016</v>
      </c>
      <c r="B693" s="4">
        <v>110163</v>
      </c>
      <c r="C693" t="s">
        <v>1168</v>
      </c>
      <c r="D693" t="s">
        <v>1524</v>
      </c>
      <c r="E693" t="s">
        <v>42</v>
      </c>
      <c r="F693" t="s">
        <v>2323</v>
      </c>
      <c r="G693" t="s">
        <v>2324</v>
      </c>
      <c r="H693" t="s">
        <v>33</v>
      </c>
      <c r="I693" t="s">
        <v>97</v>
      </c>
      <c r="J693" t="s">
        <v>322</v>
      </c>
      <c r="K693" t="s">
        <v>323</v>
      </c>
      <c r="L693" t="s">
        <v>66</v>
      </c>
      <c r="M693" t="s">
        <v>2331</v>
      </c>
      <c r="N693" t="s">
        <v>27</v>
      </c>
      <c r="O693" t="s">
        <v>28</v>
      </c>
      <c r="P693">
        <v>7.88</v>
      </c>
    </row>
    <row r="694" spans="1:16">
      <c r="A694" s="4">
        <v>2015</v>
      </c>
      <c r="B694" s="4">
        <v>136742</v>
      </c>
      <c r="C694" t="s">
        <v>427</v>
      </c>
      <c r="D694" t="s">
        <v>2332</v>
      </c>
      <c r="E694" t="s">
        <v>18</v>
      </c>
      <c r="F694" t="s">
        <v>2333</v>
      </c>
      <c r="G694" t="s">
        <v>2334</v>
      </c>
      <c r="H694" t="s">
        <v>21</v>
      </c>
      <c r="I694" t="s">
        <v>22</v>
      </c>
      <c r="J694" t="s">
        <v>884</v>
      </c>
      <c r="K694" t="s">
        <v>24</v>
      </c>
      <c r="L694" t="s">
        <v>25</v>
      </c>
      <c r="M694" t="s">
        <v>2335</v>
      </c>
      <c r="N694" t="s">
        <v>27</v>
      </c>
      <c r="O694" t="s">
        <v>101</v>
      </c>
      <c r="P694">
        <v>44.91</v>
      </c>
    </row>
    <row r="695" spans="1:16">
      <c r="A695" s="4">
        <v>2017</v>
      </c>
      <c r="B695" s="4">
        <v>130029</v>
      </c>
      <c r="C695" t="s">
        <v>2237</v>
      </c>
      <c r="D695" t="s">
        <v>2336</v>
      </c>
      <c r="E695" t="s">
        <v>42</v>
      </c>
      <c r="F695" t="s">
        <v>2337</v>
      </c>
      <c r="G695" t="s">
        <v>2338</v>
      </c>
      <c r="H695" t="s">
        <v>33</v>
      </c>
      <c r="I695" t="s">
        <v>97</v>
      </c>
      <c r="J695" t="s">
        <v>64</v>
      </c>
      <c r="K695" t="s">
        <v>65</v>
      </c>
      <c r="L695" t="s">
        <v>66</v>
      </c>
      <c r="M695" t="s">
        <v>2339</v>
      </c>
      <c r="N695" t="s">
        <v>27</v>
      </c>
      <c r="O695" t="s">
        <v>52</v>
      </c>
      <c r="P695">
        <v>12.96</v>
      </c>
    </row>
    <row r="696" spans="1:16">
      <c r="A696" s="4">
        <v>2018</v>
      </c>
      <c r="B696" s="4">
        <v>104745</v>
      </c>
      <c r="C696" t="s">
        <v>2340</v>
      </c>
      <c r="D696" t="s">
        <v>1536</v>
      </c>
      <c r="E696" t="s">
        <v>18</v>
      </c>
      <c r="F696" t="s">
        <v>2337</v>
      </c>
      <c r="G696" t="s">
        <v>2338</v>
      </c>
      <c r="H696" t="s">
        <v>33</v>
      </c>
      <c r="I696" t="s">
        <v>97</v>
      </c>
      <c r="J696" t="s">
        <v>2341</v>
      </c>
      <c r="K696" t="s">
        <v>35</v>
      </c>
      <c r="L696" t="s">
        <v>36</v>
      </c>
      <c r="M696" t="s">
        <v>2342</v>
      </c>
      <c r="N696" t="s">
        <v>27</v>
      </c>
      <c r="O696" t="s">
        <v>52</v>
      </c>
      <c r="P696">
        <v>25.92</v>
      </c>
    </row>
    <row r="697" spans="1:16">
      <c r="A697" s="4">
        <v>2018</v>
      </c>
      <c r="B697" s="4">
        <v>106964</v>
      </c>
      <c r="C697" t="s">
        <v>597</v>
      </c>
      <c r="D697" t="s">
        <v>1707</v>
      </c>
      <c r="E697" t="s">
        <v>42</v>
      </c>
      <c r="F697" t="s">
        <v>2343</v>
      </c>
      <c r="G697" t="s">
        <v>2344</v>
      </c>
      <c r="H697" t="s">
        <v>33</v>
      </c>
      <c r="I697" t="s">
        <v>63</v>
      </c>
      <c r="J697" t="s">
        <v>64</v>
      </c>
      <c r="K697" t="s">
        <v>65</v>
      </c>
      <c r="L697" t="s">
        <v>66</v>
      </c>
      <c r="M697" t="s">
        <v>2345</v>
      </c>
      <c r="N697" t="s">
        <v>27</v>
      </c>
      <c r="O697" t="s">
        <v>101</v>
      </c>
      <c r="P697">
        <v>11.808</v>
      </c>
    </row>
    <row r="698" spans="1:16">
      <c r="A698" s="4">
        <v>2016</v>
      </c>
      <c r="B698" s="4">
        <v>103954</v>
      </c>
      <c r="C698" t="s">
        <v>1686</v>
      </c>
      <c r="D698" t="s">
        <v>2346</v>
      </c>
      <c r="E698" t="s">
        <v>144</v>
      </c>
      <c r="F698" t="s">
        <v>2343</v>
      </c>
      <c r="G698" t="s">
        <v>2344</v>
      </c>
      <c r="H698" t="s">
        <v>33</v>
      </c>
      <c r="I698" t="s">
        <v>63</v>
      </c>
      <c r="J698" t="s">
        <v>477</v>
      </c>
      <c r="K698" t="s">
        <v>478</v>
      </c>
      <c r="L698" t="s">
        <v>36</v>
      </c>
      <c r="M698" t="s">
        <v>2347</v>
      </c>
      <c r="N698" t="s">
        <v>79</v>
      </c>
      <c r="O698" t="s">
        <v>286</v>
      </c>
      <c r="P698">
        <v>687.4</v>
      </c>
    </row>
    <row r="699" spans="1:16">
      <c r="A699" s="4">
        <v>2015</v>
      </c>
      <c r="B699" s="4">
        <v>143707</v>
      </c>
      <c r="C699" t="s">
        <v>2348</v>
      </c>
      <c r="D699" t="s">
        <v>2349</v>
      </c>
      <c r="E699" t="s">
        <v>18</v>
      </c>
      <c r="F699" t="s">
        <v>2343</v>
      </c>
      <c r="G699" t="s">
        <v>2344</v>
      </c>
      <c r="H699" t="s">
        <v>33</v>
      </c>
      <c r="I699" t="s">
        <v>63</v>
      </c>
      <c r="J699" t="s">
        <v>49</v>
      </c>
      <c r="K699" t="s">
        <v>50</v>
      </c>
      <c r="L699" t="s">
        <v>25</v>
      </c>
      <c r="M699" t="s">
        <v>2350</v>
      </c>
      <c r="N699" t="s">
        <v>38</v>
      </c>
      <c r="O699" t="s">
        <v>118</v>
      </c>
      <c r="P699">
        <v>5.94</v>
      </c>
    </row>
    <row r="700" spans="1:16">
      <c r="A700" s="4">
        <v>2015</v>
      </c>
      <c r="B700" s="4">
        <v>119172</v>
      </c>
      <c r="C700" t="s">
        <v>2351</v>
      </c>
      <c r="D700" t="s">
        <v>262</v>
      </c>
      <c r="E700" t="s">
        <v>18</v>
      </c>
      <c r="F700" t="s">
        <v>2352</v>
      </c>
      <c r="G700" t="s">
        <v>2353</v>
      </c>
      <c r="H700" t="s">
        <v>21</v>
      </c>
      <c r="I700" t="s">
        <v>63</v>
      </c>
      <c r="J700" t="s">
        <v>108</v>
      </c>
      <c r="K700" t="s">
        <v>109</v>
      </c>
      <c r="L700" t="s">
        <v>36</v>
      </c>
      <c r="M700" t="s">
        <v>2354</v>
      </c>
      <c r="N700" t="s">
        <v>27</v>
      </c>
      <c r="O700" t="s">
        <v>52</v>
      </c>
      <c r="P700">
        <v>17.472000000000001</v>
      </c>
    </row>
    <row r="701" spans="1:16">
      <c r="A701" s="4">
        <v>2018</v>
      </c>
      <c r="B701" s="4">
        <v>143252</v>
      </c>
      <c r="C701" t="s">
        <v>16</v>
      </c>
      <c r="D701" t="s">
        <v>424</v>
      </c>
      <c r="E701" t="s">
        <v>18</v>
      </c>
      <c r="F701" t="s">
        <v>2355</v>
      </c>
      <c r="G701" t="s">
        <v>2356</v>
      </c>
      <c r="H701" t="s">
        <v>21</v>
      </c>
      <c r="I701" t="s">
        <v>22</v>
      </c>
      <c r="J701" t="s">
        <v>477</v>
      </c>
      <c r="K701" t="s">
        <v>478</v>
      </c>
      <c r="L701" t="s">
        <v>36</v>
      </c>
      <c r="M701" t="s">
        <v>2357</v>
      </c>
      <c r="N701" t="s">
        <v>79</v>
      </c>
      <c r="O701" t="s">
        <v>80</v>
      </c>
      <c r="P701">
        <v>99.95</v>
      </c>
    </row>
    <row r="702" spans="1:16">
      <c r="A702" s="4">
        <v>2015</v>
      </c>
      <c r="B702" s="4">
        <v>121664</v>
      </c>
      <c r="C702" t="s">
        <v>2358</v>
      </c>
      <c r="D702" t="s">
        <v>2307</v>
      </c>
      <c r="E702" t="s">
        <v>18</v>
      </c>
      <c r="F702" t="s">
        <v>2359</v>
      </c>
      <c r="G702" t="s">
        <v>2360</v>
      </c>
      <c r="H702" t="s">
        <v>33</v>
      </c>
      <c r="I702" t="s">
        <v>63</v>
      </c>
      <c r="J702" t="s">
        <v>64</v>
      </c>
      <c r="K702" t="s">
        <v>65</v>
      </c>
      <c r="L702" t="s">
        <v>66</v>
      </c>
      <c r="M702" t="s">
        <v>2361</v>
      </c>
      <c r="N702" t="s">
        <v>27</v>
      </c>
      <c r="O702" t="s">
        <v>101</v>
      </c>
      <c r="P702">
        <v>140.73599999999999</v>
      </c>
    </row>
    <row r="703" spans="1:16">
      <c r="A703" s="4">
        <v>2016</v>
      </c>
      <c r="B703" s="4">
        <v>122259</v>
      </c>
      <c r="C703" t="s">
        <v>1523</v>
      </c>
      <c r="D703" t="s">
        <v>1524</v>
      </c>
      <c r="E703" t="s">
        <v>18</v>
      </c>
      <c r="F703" t="s">
        <v>2359</v>
      </c>
      <c r="G703" t="s">
        <v>2360</v>
      </c>
      <c r="H703" t="s">
        <v>33</v>
      </c>
      <c r="I703" t="s">
        <v>63</v>
      </c>
      <c r="J703" t="s">
        <v>854</v>
      </c>
      <c r="K703" t="s">
        <v>855</v>
      </c>
      <c r="L703" t="s">
        <v>36</v>
      </c>
      <c r="M703" t="s">
        <v>2362</v>
      </c>
      <c r="N703" t="s">
        <v>27</v>
      </c>
      <c r="O703" t="s">
        <v>74</v>
      </c>
      <c r="P703">
        <v>70.12</v>
      </c>
    </row>
    <row r="704" spans="1:16">
      <c r="A704" s="4">
        <v>2016</v>
      </c>
      <c r="B704" s="4">
        <v>118983</v>
      </c>
      <c r="C704" t="s">
        <v>418</v>
      </c>
      <c r="D704" t="s">
        <v>419</v>
      </c>
      <c r="E704" t="s">
        <v>18</v>
      </c>
      <c r="F704" t="s">
        <v>2359</v>
      </c>
      <c r="G704" t="s">
        <v>2360</v>
      </c>
      <c r="H704" t="s">
        <v>33</v>
      </c>
      <c r="I704" t="s">
        <v>63</v>
      </c>
      <c r="J704" t="s">
        <v>1861</v>
      </c>
      <c r="K704" t="s">
        <v>35</v>
      </c>
      <c r="L704" t="s">
        <v>36</v>
      </c>
      <c r="M704" t="s">
        <v>2363</v>
      </c>
      <c r="N704" t="s">
        <v>27</v>
      </c>
      <c r="O704" t="s">
        <v>228</v>
      </c>
      <c r="P704">
        <v>68.81</v>
      </c>
    </row>
    <row r="705" spans="1:16">
      <c r="A705" s="4">
        <v>2018</v>
      </c>
      <c r="B705" s="4">
        <v>111689</v>
      </c>
      <c r="C705" t="s">
        <v>82</v>
      </c>
      <c r="D705" t="s">
        <v>102</v>
      </c>
      <c r="E705" t="s">
        <v>144</v>
      </c>
      <c r="F705" t="s">
        <v>2359</v>
      </c>
      <c r="G705" t="s">
        <v>2360</v>
      </c>
      <c r="H705" t="s">
        <v>33</v>
      </c>
      <c r="I705" t="s">
        <v>63</v>
      </c>
      <c r="J705" t="s">
        <v>49</v>
      </c>
      <c r="K705" t="s">
        <v>50</v>
      </c>
      <c r="L705" t="s">
        <v>25</v>
      </c>
      <c r="M705" t="s">
        <v>2364</v>
      </c>
      <c r="N705" t="s">
        <v>27</v>
      </c>
      <c r="O705" t="s">
        <v>101</v>
      </c>
      <c r="P705">
        <v>68.471999999999994</v>
      </c>
    </row>
    <row r="706" spans="1:16">
      <c r="A706" s="4">
        <v>2016</v>
      </c>
      <c r="B706" s="4">
        <v>135538</v>
      </c>
      <c r="C706" t="s">
        <v>1666</v>
      </c>
      <c r="D706" t="s">
        <v>2037</v>
      </c>
      <c r="E706" t="s">
        <v>18</v>
      </c>
      <c r="F706" t="s">
        <v>2365</v>
      </c>
      <c r="G706" t="s">
        <v>2366</v>
      </c>
      <c r="H706" t="s">
        <v>33</v>
      </c>
      <c r="I706" t="s">
        <v>22</v>
      </c>
      <c r="J706" t="s">
        <v>947</v>
      </c>
      <c r="K706" t="s">
        <v>136</v>
      </c>
      <c r="L706" t="s">
        <v>66</v>
      </c>
      <c r="M706" t="s">
        <v>2367</v>
      </c>
      <c r="N706" t="s">
        <v>79</v>
      </c>
      <c r="O706" t="s">
        <v>138</v>
      </c>
      <c r="P706">
        <v>883.84</v>
      </c>
    </row>
    <row r="707" spans="1:16">
      <c r="A707" s="4">
        <v>2016</v>
      </c>
      <c r="B707" s="4">
        <v>110632</v>
      </c>
      <c r="C707" t="s">
        <v>2368</v>
      </c>
      <c r="D707" t="s">
        <v>1322</v>
      </c>
      <c r="E707" t="s">
        <v>144</v>
      </c>
      <c r="F707" t="s">
        <v>2365</v>
      </c>
      <c r="G707" t="s">
        <v>2366</v>
      </c>
      <c r="H707" t="s">
        <v>33</v>
      </c>
      <c r="I707" t="s">
        <v>22</v>
      </c>
      <c r="J707" t="s">
        <v>49</v>
      </c>
      <c r="K707" t="s">
        <v>50</v>
      </c>
      <c r="L707" t="s">
        <v>25</v>
      </c>
      <c r="M707" t="s">
        <v>2369</v>
      </c>
      <c r="N707" t="s">
        <v>38</v>
      </c>
      <c r="O707" t="s">
        <v>68</v>
      </c>
      <c r="P707">
        <v>15.02</v>
      </c>
    </row>
    <row r="708" spans="1:16">
      <c r="A708" s="4">
        <v>2015</v>
      </c>
      <c r="B708" s="4">
        <v>127131</v>
      </c>
      <c r="C708" t="s">
        <v>2046</v>
      </c>
      <c r="D708" t="s">
        <v>2370</v>
      </c>
      <c r="E708" t="s">
        <v>18</v>
      </c>
      <c r="F708" t="s">
        <v>2365</v>
      </c>
      <c r="G708" t="s">
        <v>2366</v>
      </c>
      <c r="H708" t="s">
        <v>33</v>
      </c>
      <c r="I708" t="s">
        <v>22</v>
      </c>
      <c r="J708" t="s">
        <v>271</v>
      </c>
      <c r="K708" t="s">
        <v>165</v>
      </c>
      <c r="L708" t="s">
        <v>66</v>
      </c>
      <c r="M708" t="s">
        <v>2371</v>
      </c>
      <c r="N708" t="s">
        <v>27</v>
      </c>
      <c r="O708" t="s">
        <v>101</v>
      </c>
      <c r="P708">
        <v>12.096</v>
      </c>
    </row>
    <row r="709" spans="1:16">
      <c r="A709" s="4">
        <v>2016</v>
      </c>
      <c r="B709" s="4">
        <v>161347</v>
      </c>
      <c r="C709" t="s">
        <v>2372</v>
      </c>
      <c r="D709" t="s">
        <v>1279</v>
      </c>
      <c r="E709" t="s">
        <v>18</v>
      </c>
      <c r="F709" t="s">
        <v>2373</v>
      </c>
      <c r="G709" t="s">
        <v>2374</v>
      </c>
      <c r="H709" t="s">
        <v>33</v>
      </c>
      <c r="I709" t="s">
        <v>97</v>
      </c>
      <c r="J709" t="s">
        <v>23</v>
      </c>
      <c r="K709" t="s">
        <v>24</v>
      </c>
      <c r="L709" t="s">
        <v>25</v>
      </c>
      <c r="M709" t="s">
        <v>2375</v>
      </c>
      <c r="N709" t="s">
        <v>27</v>
      </c>
      <c r="O709" t="s">
        <v>101</v>
      </c>
      <c r="P709">
        <v>2.4119999999999999</v>
      </c>
    </row>
    <row r="710" spans="1:16">
      <c r="A710" s="4">
        <v>2018</v>
      </c>
      <c r="B710" s="4">
        <v>141873</v>
      </c>
      <c r="C710" t="s">
        <v>1176</v>
      </c>
      <c r="D710" t="s">
        <v>799</v>
      </c>
      <c r="E710" t="s">
        <v>18</v>
      </c>
      <c r="F710" t="s">
        <v>2373</v>
      </c>
      <c r="G710" t="s">
        <v>2374</v>
      </c>
      <c r="H710" t="s">
        <v>33</v>
      </c>
      <c r="I710" t="s">
        <v>97</v>
      </c>
      <c r="J710" t="s">
        <v>49</v>
      </c>
      <c r="K710" t="s">
        <v>50</v>
      </c>
      <c r="L710" t="s">
        <v>25</v>
      </c>
      <c r="M710" t="s">
        <v>2376</v>
      </c>
      <c r="N710" t="s">
        <v>27</v>
      </c>
      <c r="O710" t="s">
        <v>101</v>
      </c>
      <c r="P710">
        <v>12.816000000000001</v>
      </c>
    </row>
    <row r="711" spans="1:16">
      <c r="A711" s="4">
        <v>2016</v>
      </c>
      <c r="B711" s="4">
        <v>128587</v>
      </c>
      <c r="C711" t="s">
        <v>1666</v>
      </c>
      <c r="D711" t="s">
        <v>2377</v>
      </c>
      <c r="E711" t="s">
        <v>18</v>
      </c>
      <c r="F711" t="s">
        <v>2378</v>
      </c>
      <c r="G711" t="s">
        <v>2379</v>
      </c>
      <c r="H711" t="s">
        <v>33</v>
      </c>
      <c r="I711" t="s">
        <v>22</v>
      </c>
      <c r="J711" t="s">
        <v>98</v>
      </c>
      <c r="K711" t="s">
        <v>99</v>
      </c>
      <c r="L711" t="s">
        <v>36</v>
      </c>
      <c r="M711" t="s">
        <v>2380</v>
      </c>
      <c r="N711" t="s">
        <v>79</v>
      </c>
      <c r="O711" t="s">
        <v>80</v>
      </c>
      <c r="P711">
        <v>9.68</v>
      </c>
    </row>
    <row r="712" spans="1:16">
      <c r="A712" s="4">
        <v>2017</v>
      </c>
      <c r="B712" s="4">
        <v>110170</v>
      </c>
      <c r="C712" t="s">
        <v>2381</v>
      </c>
      <c r="D712" t="s">
        <v>1999</v>
      </c>
      <c r="E712" t="s">
        <v>18</v>
      </c>
      <c r="F712" t="s">
        <v>2378</v>
      </c>
      <c r="G712" t="s">
        <v>2379</v>
      </c>
      <c r="H712" t="s">
        <v>33</v>
      </c>
      <c r="I712" t="s">
        <v>22</v>
      </c>
      <c r="J712" t="s">
        <v>1079</v>
      </c>
      <c r="K712" t="s">
        <v>35</v>
      </c>
      <c r="L712" t="s">
        <v>36</v>
      </c>
      <c r="M712" t="s">
        <v>2382</v>
      </c>
      <c r="N712" t="s">
        <v>79</v>
      </c>
      <c r="O712" t="s">
        <v>286</v>
      </c>
      <c r="P712">
        <v>956.66480000000001</v>
      </c>
    </row>
    <row r="713" spans="1:16">
      <c r="A713" s="4">
        <v>2018</v>
      </c>
      <c r="B713" s="4">
        <v>132738</v>
      </c>
      <c r="C713" t="s">
        <v>1231</v>
      </c>
      <c r="D713" t="s">
        <v>30</v>
      </c>
      <c r="E713" t="s">
        <v>42</v>
      </c>
      <c r="F713" t="s">
        <v>2378</v>
      </c>
      <c r="G713" t="s">
        <v>2379</v>
      </c>
      <c r="H713" t="s">
        <v>33</v>
      </c>
      <c r="I713" t="s">
        <v>22</v>
      </c>
      <c r="J713" t="s">
        <v>2383</v>
      </c>
      <c r="K713" t="s">
        <v>222</v>
      </c>
      <c r="L713" t="s">
        <v>66</v>
      </c>
      <c r="M713" t="s">
        <v>2384</v>
      </c>
      <c r="N713" t="s">
        <v>27</v>
      </c>
      <c r="O713" t="s">
        <v>52</v>
      </c>
      <c r="P713">
        <v>7.968</v>
      </c>
    </row>
    <row r="714" spans="1:16">
      <c r="A714" s="4">
        <v>2016</v>
      </c>
      <c r="B714" s="4">
        <v>109862</v>
      </c>
      <c r="C714" t="s">
        <v>2385</v>
      </c>
      <c r="D714" t="s">
        <v>393</v>
      </c>
      <c r="E714" t="s">
        <v>18</v>
      </c>
      <c r="F714" t="s">
        <v>2386</v>
      </c>
      <c r="G714" t="s">
        <v>2387</v>
      </c>
      <c r="H714" t="s">
        <v>33</v>
      </c>
      <c r="I714" t="s">
        <v>22</v>
      </c>
      <c r="J714" t="s">
        <v>987</v>
      </c>
      <c r="K714" t="s">
        <v>1392</v>
      </c>
      <c r="L714" t="s">
        <v>25</v>
      </c>
      <c r="M714" t="s">
        <v>2388</v>
      </c>
      <c r="N714" t="s">
        <v>38</v>
      </c>
      <c r="O714" t="s">
        <v>118</v>
      </c>
      <c r="P714">
        <v>158.99</v>
      </c>
    </row>
    <row r="715" spans="1:16">
      <c r="A715" s="4">
        <v>2018</v>
      </c>
      <c r="B715" s="4">
        <v>126382</v>
      </c>
      <c r="C715" t="s">
        <v>726</v>
      </c>
      <c r="D715" t="s">
        <v>2389</v>
      </c>
      <c r="E715" t="s">
        <v>18</v>
      </c>
      <c r="F715" t="s">
        <v>2386</v>
      </c>
      <c r="G715" t="s">
        <v>2387</v>
      </c>
      <c r="H715" t="s">
        <v>33</v>
      </c>
      <c r="I715" t="s">
        <v>22</v>
      </c>
      <c r="J715" t="s">
        <v>283</v>
      </c>
      <c r="K715" t="s">
        <v>206</v>
      </c>
      <c r="L715" t="s">
        <v>45</v>
      </c>
      <c r="M715" t="s">
        <v>2390</v>
      </c>
      <c r="N715" t="s">
        <v>79</v>
      </c>
      <c r="O715" t="s">
        <v>80</v>
      </c>
      <c r="P715">
        <v>35.167999999999999</v>
      </c>
    </row>
    <row r="716" spans="1:16">
      <c r="A716" s="4">
        <v>2018</v>
      </c>
      <c r="B716" s="4">
        <v>124576</v>
      </c>
      <c r="C716" t="s">
        <v>29</v>
      </c>
      <c r="D716" t="s">
        <v>1231</v>
      </c>
      <c r="E716" t="s">
        <v>144</v>
      </c>
      <c r="F716" t="s">
        <v>2386</v>
      </c>
      <c r="G716" t="s">
        <v>2387</v>
      </c>
      <c r="H716" t="s">
        <v>33</v>
      </c>
      <c r="I716" t="s">
        <v>22</v>
      </c>
      <c r="J716" t="s">
        <v>1527</v>
      </c>
      <c r="K716" t="s">
        <v>65</v>
      </c>
      <c r="L716" t="s">
        <v>66</v>
      </c>
      <c r="M716" t="s">
        <v>2391</v>
      </c>
      <c r="N716" t="s">
        <v>27</v>
      </c>
      <c r="O716" t="s">
        <v>101</v>
      </c>
      <c r="P716">
        <v>54.896000000000001</v>
      </c>
    </row>
    <row r="717" spans="1:16">
      <c r="A717" s="4">
        <v>2017</v>
      </c>
      <c r="B717" s="4">
        <v>165484</v>
      </c>
      <c r="C717" t="s">
        <v>2392</v>
      </c>
      <c r="D717" t="s">
        <v>274</v>
      </c>
      <c r="E717" t="s">
        <v>18</v>
      </c>
      <c r="F717" t="s">
        <v>2386</v>
      </c>
      <c r="G717" t="s">
        <v>2387</v>
      </c>
      <c r="H717" t="s">
        <v>33</v>
      </c>
      <c r="I717" t="s">
        <v>22</v>
      </c>
      <c r="J717" t="s">
        <v>108</v>
      </c>
      <c r="K717" t="s">
        <v>109</v>
      </c>
      <c r="L717" t="s">
        <v>36</v>
      </c>
      <c r="M717" t="s">
        <v>1764</v>
      </c>
      <c r="N717" t="s">
        <v>79</v>
      </c>
      <c r="O717" t="s">
        <v>80</v>
      </c>
      <c r="P717">
        <v>16.155999999999999</v>
      </c>
    </row>
    <row r="718" spans="1:16">
      <c r="A718" s="4">
        <v>2015</v>
      </c>
      <c r="B718" s="4">
        <v>146640</v>
      </c>
      <c r="C718" t="s">
        <v>581</v>
      </c>
      <c r="D718" t="s">
        <v>2393</v>
      </c>
      <c r="E718" t="s">
        <v>18</v>
      </c>
      <c r="F718" t="s">
        <v>2394</v>
      </c>
      <c r="G718" t="s">
        <v>2395</v>
      </c>
      <c r="H718" t="s">
        <v>33</v>
      </c>
      <c r="I718" t="s">
        <v>97</v>
      </c>
      <c r="J718" t="s">
        <v>49</v>
      </c>
      <c r="K718" t="s">
        <v>50</v>
      </c>
      <c r="L718" t="s">
        <v>25</v>
      </c>
      <c r="M718" t="s">
        <v>2097</v>
      </c>
      <c r="N718" t="s">
        <v>27</v>
      </c>
      <c r="O718" t="s">
        <v>101</v>
      </c>
      <c r="P718">
        <v>334.76799999999997</v>
      </c>
    </row>
    <row r="719" spans="1:16">
      <c r="A719" s="4">
        <v>2016</v>
      </c>
      <c r="B719" s="4">
        <v>153073</v>
      </c>
      <c r="C719" t="s">
        <v>94</v>
      </c>
      <c r="D719" t="s">
        <v>94</v>
      </c>
      <c r="E719" t="s">
        <v>132</v>
      </c>
      <c r="F719" t="s">
        <v>2394</v>
      </c>
      <c r="G719" t="s">
        <v>2395</v>
      </c>
      <c r="H719" t="s">
        <v>33</v>
      </c>
      <c r="I719" t="s">
        <v>97</v>
      </c>
      <c r="J719" t="s">
        <v>108</v>
      </c>
      <c r="K719" t="s">
        <v>109</v>
      </c>
      <c r="L719" t="s">
        <v>36</v>
      </c>
      <c r="M719" t="s">
        <v>2396</v>
      </c>
      <c r="N719" t="s">
        <v>79</v>
      </c>
      <c r="O719" t="s">
        <v>80</v>
      </c>
      <c r="P719">
        <v>17.495999999999999</v>
      </c>
    </row>
    <row r="720" spans="1:16">
      <c r="A720" s="4">
        <v>2018</v>
      </c>
      <c r="B720" s="4">
        <v>130141</v>
      </c>
      <c r="C720" t="s">
        <v>961</v>
      </c>
      <c r="D720" t="s">
        <v>1928</v>
      </c>
      <c r="E720" t="s">
        <v>144</v>
      </c>
      <c r="F720" t="s">
        <v>2394</v>
      </c>
      <c r="G720" t="s">
        <v>2395</v>
      </c>
      <c r="H720" t="s">
        <v>33</v>
      </c>
      <c r="I720" t="s">
        <v>97</v>
      </c>
      <c r="J720" t="s">
        <v>642</v>
      </c>
      <c r="K720" t="s">
        <v>222</v>
      </c>
      <c r="L720" t="s">
        <v>66</v>
      </c>
      <c r="M720" t="s">
        <v>2397</v>
      </c>
      <c r="N720" t="s">
        <v>27</v>
      </c>
      <c r="O720" t="s">
        <v>101</v>
      </c>
      <c r="P720">
        <v>3.1680000000000001</v>
      </c>
    </row>
    <row r="721" spans="1:16">
      <c r="A721" s="4">
        <v>2017</v>
      </c>
      <c r="B721" s="4">
        <v>113649</v>
      </c>
      <c r="C721" t="s">
        <v>2398</v>
      </c>
      <c r="D721" t="s">
        <v>2399</v>
      </c>
      <c r="E721" t="s">
        <v>42</v>
      </c>
      <c r="F721" t="s">
        <v>2400</v>
      </c>
      <c r="G721" t="s">
        <v>2401</v>
      </c>
      <c r="H721" t="s">
        <v>33</v>
      </c>
      <c r="I721" t="s">
        <v>97</v>
      </c>
      <c r="J721" t="s">
        <v>672</v>
      </c>
      <c r="K721" t="s">
        <v>44</v>
      </c>
      <c r="L721" t="s">
        <v>45</v>
      </c>
      <c r="M721" t="s">
        <v>2402</v>
      </c>
      <c r="N721" t="s">
        <v>27</v>
      </c>
      <c r="O721" t="s">
        <v>52</v>
      </c>
      <c r="P721">
        <v>30.815999999999999</v>
      </c>
    </row>
    <row r="722" spans="1:16">
      <c r="A722" s="4">
        <v>2018</v>
      </c>
      <c r="B722" s="4">
        <v>117044</v>
      </c>
      <c r="C722" t="s">
        <v>476</v>
      </c>
      <c r="D722" t="s">
        <v>592</v>
      </c>
      <c r="E722" t="s">
        <v>144</v>
      </c>
      <c r="F722" t="s">
        <v>2400</v>
      </c>
      <c r="G722" t="s">
        <v>2401</v>
      </c>
      <c r="H722" t="s">
        <v>33</v>
      </c>
      <c r="I722" t="s">
        <v>97</v>
      </c>
      <c r="J722" t="s">
        <v>108</v>
      </c>
      <c r="K722" t="s">
        <v>109</v>
      </c>
      <c r="L722" t="s">
        <v>36</v>
      </c>
      <c r="M722" t="s">
        <v>2403</v>
      </c>
      <c r="N722" t="s">
        <v>27</v>
      </c>
      <c r="O722" t="s">
        <v>452</v>
      </c>
      <c r="P722">
        <v>10.528</v>
      </c>
    </row>
    <row r="723" spans="1:16">
      <c r="A723" s="4">
        <v>2018</v>
      </c>
      <c r="B723" s="4">
        <v>157651</v>
      </c>
      <c r="C723" t="s">
        <v>299</v>
      </c>
      <c r="D723" t="s">
        <v>432</v>
      </c>
      <c r="E723" t="s">
        <v>18</v>
      </c>
      <c r="F723" t="s">
        <v>2400</v>
      </c>
      <c r="G723" t="s">
        <v>2401</v>
      </c>
      <c r="H723" t="s">
        <v>33</v>
      </c>
      <c r="I723" t="s">
        <v>97</v>
      </c>
      <c r="J723" t="s">
        <v>23</v>
      </c>
      <c r="K723" t="s">
        <v>24</v>
      </c>
      <c r="L723" t="s">
        <v>25</v>
      </c>
      <c r="M723" t="s">
        <v>2404</v>
      </c>
      <c r="N723" t="s">
        <v>38</v>
      </c>
      <c r="O723" t="s">
        <v>68</v>
      </c>
      <c r="P723">
        <v>14.2</v>
      </c>
    </row>
    <row r="724" spans="1:16">
      <c r="A724" s="4">
        <v>2016</v>
      </c>
      <c r="B724" s="4">
        <v>155334</v>
      </c>
      <c r="C724" t="s">
        <v>1425</v>
      </c>
      <c r="D724" t="s">
        <v>2405</v>
      </c>
      <c r="E724" t="s">
        <v>42</v>
      </c>
      <c r="F724" t="s">
        <v>2400</v>
      </c>
      <c r="G724" t="s">
        <v>2401</v>
      </c>
      <c r="H724" t="s">
        <v>33</v>
      </c>
      <c r="I724" t="s">
        <v>97</v>
      </c>
      <c r="J724" t="s">
        <v>226</v>
      </c>
      <c r="K724" t="s">
        <v>65</v>
      </c>
      <c r="L724" t="s">
        <v>66</v>
      </c>
      <c r="M724" t="s">
        <v>2406</v>
      </c>
      <c r="N724" t="s">
        <v>38</v>
      </c>
      <c r="O724" t="s">
        <v>68</v>
      </c>
      <c r="P724">
        <v>209.93</v>
      </c>
    </row>
    <row r="725" spans="1:16">
      <c r="A725" s="4">
        <v>2016</v>
      </c>
      <c r="B725" s="4">
        <v>136735</v>
      </c>
      <c r="C725" t="s">
        <v>1491</v>
      </c>
      <c r="D725" t="s">
        <v>1594</v>
      </c>
      <c r="E725" t="s">
        <v>18</v>
      </c>
      <c r="F725" t="s">
        <v>2400</v>
      </c>
      <c r="G725" t="s">
        <v>2401</v>
      </c>
      <c r="H725" t="s">
        <v>33</v>
      </c>
      <c r="I725" t="s">
        <v>97</v>
      </c>
      <c r="J725" t="s">
        <v>226</v>
      </c>
      <c r="K725" t="s">
        <v>65</v>
      </c>
      <c r="L725" t="s">
        <v>66</v>
      </c>
      <c r="M725" t="s">
        <v>929</v>
      </c>
      <c r="N725" t="s">
        <v>27</v>
      </c>
      <c r="O725" t="s">
        <v>501</v>
      </c>
      <c r="P725">
        <v>167.86</v>
      </c>
    </row>
    <row r="726" spans="1:16">
      <c r="A726" s="4">
        <v>2017</v>
      </c>
      <c r="B726" s="4">
        <v>136133</v>
      </c>
      <c r="C726" t="s">
        <v>2407</v>
      </c>
      <c r="D726" t="s">
        <v>1824</v>
      </c>
      <c r="E726" t="s">
        <v>144</v>
      </c>
      <c r="F726" t="s">
        <v>2408</v>
      </c>
      <c r="G726" t="s">
        <v>2409</v>
      </c>
      <c r="H726" t="s">
        <v>33</v>
      </c>
      <c r="I726" t="s">
        <v>22</v>
      </c>
      <c r="J726" t="s">
        <v>49</v>
      </c>
      <c r="K726" t="s">
        <v>50</v>
      </c>
      <c r="L726" t="s">
        <v>25</v>
      </c>
      <c r="M726" t="s">
        <v>1559</v>
      </c>
      <c r="N726" t="s">
        <v>27</v>
      </c>
      <c r="O726" t="s">
        <v>228</v>
      </c>
      <c r="P726">
        <v>355.32</v>
      </c>
    </row>
    <row r="727" spans="1:16">
      <c r="A727" s="4">
        <v>2018</v>
      </c>
      <c r="B727" s="4">
        <v>105809</v>
      </c>
      <c r="C727" t="s">
        <v>2410</v>
      </c>
      <c r="D727" t="s">
        <v>2411</v>
      </c>
      <c r="E727" t="s">
        <v>42</v>
      </c>
      <c r="F727" t="s">
        <v>2408</v>
      </c>
      <c r="G727" t="s">
        <v>2409</v>
      </c>
      <c r="H727" t="s">
        <v>33</v>
      </c>
      <c r="I727" t="s">
        <v>22</v>
      </c>
      <c r="J727" t="s">
        <v>630</v>
      </c>
      <c r="K727" t="s">
        <v>65</v>
      </c>
      <c r="L727" t="s">
        <v>66</v>
      </c>
      <c r="M727" t="s">
        <v>2412</v>
      </c>
      <c r="N727" t="s">
        <v>79</v>
      </c>
      <c r="O727" t="s">
        <v>80</v>
      </c>
      <c r="P727">
        <v>22.23</v>
      </c>
    </row>
    <row r="728" spans="1:16">
      <c r="A728" s="4">
        <v>2018</v>
      </c>
      <c r="B728" s="4">
        <v>165491</v>
      </c>
      <c r="C728" t="s">
        <v>2413</v>
      </c>
      <c r="D728" t="s">
        <v>1157</v>
      </c>
      <c r="E728" t="s">
        <v>18</v>
      </c>
      <c r="F728" t="s">
        <v>2408</v>
      </c>
      <c r="G728" t="s">
        <v>2409</v>
      </c>
      <c r="H728" t="s">
        <v>33</v>
      </c>
      <c r="I728" t="s">
        <v>22</v>
      </c>
      <c r="J728" t="s">
        <v>271</v>
      </c>
      <c r="K728" t="s">
        <v>165</v>
      </c>
      <c r="L728" t="s">
        <v>66</v>
      </c>
      <c r="M728" t="s">
        <v>1990</v>
      </c>
      <c r="N728" t="s">
        <v>38</v>
      </c>
      <c r="O728" t="s">
        <v>68</v>
      </c>
      <c r="P728">
        <v>265.93</v>
      </c>
    </row>
    <row r="729" spans="1:16">
      <c r="A729" s="4">
        <v>2018</v>
      </c>
      <c r="B729" s="4">
        <v>140326</v>
      </c>
      <c r="C729" t="s">
        <v>2414</v>
      </c>
      <c r="D729" t="s">
        <v>2415</v>
      </c>
      <c r="E729" t="s">
        <v>42</v>
      </c>
      <c r="F729" t="s">
        <v>2408</v>
      </c>
      <c r="G729" t="s">
        <v>2409</v>
      </c>
      <c r="H729" t="s">
        <v>33</v>
      </c>
      <c r="I729" t="s">
        <v>22</v>
      </c>
      <c r="J729" t="s">
        <v>108</v>
      </c>
      <c r="K729" t="s">
        <v>109</v>
      </c>
      <c r="L729" t="s">
        <v>36</v>
      </c>
      <c r="M729" t="s">
        <v>2416</v>
      </c>
      <c r="N729" t="s">
        <v>79</v>
      </c>
      <c r="O729" t="s">
        <v>286</v>
      </c>
      <c r="P729">
        <v>825.17399999999998</v>
      </c>
    </row>
    <row r="730" spans="1:16">
      <c r="A730" s="4">
        <v>2017</v>
      </c>
      <c r="B730" s="4">
        <v>154361</v>
      </c>
      <c r="C730" t="s">
        <v>2417</v>
      </c>
      <c r="D730" t="s">
        <v>895</v>
      </c>
      <c r="E730" t="s">
        <v>18</v>
      </c>
      <c r="F730" t="s">
        <v>2418</v>
      </c>
      <c r="G730" t="s">
        <v>2419</v>
      </c>
      <c r="H730" t="s">
        <v>33</v>
      </c>
      <c r="I730" t="s">
        <v>97</v>
      </c>
      <c r="J730" t="s">
        <v>473</v>
      </c>
      <c r="K730" t="s">
        <v>237</v>
      </c>
      <c r="L730" t="s">
        <v>25</v>
      </c>
      <c r="M730" t="s">
        <v>2420</v>
      </c>
      <c r="N730" t="s">
        <v>79</v>
      </c>
      <c r="O730" t="s">
        <v>80</v>
      </c>
      <c r="P730">
        <v>21.88</v>
      </c>
    </row>
    <row r="731" spans="1:16">
      <c r="A731" s="4">
        <v>2018</v>
      </c>
      <c r="B731" s="4">
        <v>168739</v>
      </c>
      <c r="C731" t="s">
        <v>2340</v>
      </c>
      <c r="D731" t="s">
        <v>112</v>
      </c>
      <c r="E731" t="s">
        <v>18</v>
      </c>
      <c r="F731" t="s">
        <v>2418</v>
      </c>
      <c r="G731" t="s">
        <v>2419</v>
      </c>
      <c r="H731" t="s">
        <v>33</v>
      </c>
      <c r="I731" t="s">
        <v>97</v>
      </c>
      <c r="J731" t="s">
        <v>183</v>
      </c>
      <c r="K731" t="s">
        <v>35</v>
      </c>
      <c r="L731" t="s">
        <v>36</v>
      </c>
      <c r="M731" t="s">
        <v>2421</v>
      </c>
      <c r="N731" t="s">
        <v>79</v>
      </c>
      <c r="O731" t="s">
        <v>80</v>
      </c>
      <c r="P731">
        <v>65.424000000000007</v>
      </c>
    </row>
    <row r="732" spans="1:16">
      <c r="A732" s="4">
        <v>2015</v>
      </c>
      <c r="B732" s="4">
        <v>152723</v>
      </c>
      <c r="C732" t="s">
        <v>1335</v>
      </c>
      <c r="D732" t="s">
        <v>1335</v>
      </c>
      <c r="E732" t="s">
        <v>132</v>
      </c>
      <c r="F732" t="s">
        <v>2422</v>
      </c>
      <c r="G732" t="s">
        <v>2423</v>
      </c>
      <c r="H732" t="s">
        <v>33</v>
      </c>
      <c r="I732" t="s">
        <v>22</v>
      </c>
      <c r="J732" t="s">
        <v>2424</v>
      </c>
      <c r="K732" t="s">
        <v>35</v>
      </c>
      <c r="L732" t="s">
        <v>36</v>
      </c>
      <c r="M732" t="s">
        <v>2425</v>
      </c>
      <c r="N732" t="s">
        <v>27</v>
      </c>
      <c r="O732" t="s">
        <v>101</v>
      </c>
      <c r="P732">
        <v>0.876</v>
      </c>
    </row>
    <row r="733" spans="1:16">
      <c r="A733" s="4">
        <v>2018</v>
      </c>
      <c r="B733" s="4">
        <v>122714</v>
      </c>
      <c r="C733" t="s">
        <v>1746</v>
      </c>
      <c r="D733" t="s">
        <v>1294</v>
      </c>
      <c r="E733" t="s">
        <v>18</v>
      </c>
      <c r="F733" t="s">
        <v>2422</v>
      </c>
      <c r="G733" t="s">
        <v>2423</v>
      </c>
      <c r="H733" t="s">
        <v>33</v>
      </c>
      <c r="I733" t="s">
        <v>22</v>
      </c>
      <c r="J733" t="s">
        <v>108</v>
      </c>
      <c r="K733" t="s">
        <v>109</v>
      </c>
      <c r="L733" t="s">
        <v>36</v>
      </c>
      <c r="M733" t="s">
        <v>2426</v>
      </c>
      <c r="N733" t="s">
        <v>27</v>
      </c>
      <c r="O733" t="s">
        <v>101</v>
      </c>
      <c r="P733">
        <v>1889.99</v>
      </c>
    </row>
    <row r="734" spans="1:16">
      <c r="A734" s="4">
        <v>2015</v>
      </c>
      <c r="B734" s="4">
        <v>126480</v>
      </c>
      <c r="C734" t="s">
        <v>1863</v>
      </c>
      <c r="D734" t="s">
        <v>2138</v>
      </c>
      <c r="E734" t="s">
        <v>18</v>
      </c>
      <c r="F734" t="s">
        <v>2422</v>
      </c>
      <c r="G734" t="s">
        <v>2423</v>
      </c>
      <c r="H734" t="s">
        <v>33</v>
      </c>
      <c r="I734" t="s">
        <v>22</v>
      </c>
      <c r="J734" t="s">
        <v>630</v>
      </c>
      <c r="K734" t="s">
        <v>65</v>
      </c>
      <c r="L734" t="s">
        <v>66</v>
      </c>
      <c r="M734" t="s">
        <v>2427</v>
      </c>
      <c r="N734" t="s">
        <v>27</v>
      </c>
      <c r="O734" t="s">
        <v>52</v>
      </c>
      <c r="P734">
        <v>8.56</v>
      </c>
    </row>
    <row r="735" spans="1:16">
      <c r="A735" s="4">
        <v>2017</v>
      </c>
      <c r="B735" s="4">
        <v>145919</v>
      </c>
      <c r="C735" t="s">
        <v>191</v>
      </c>
      <c r="D735" t="s">
        <v>2428</v>
      </c>
      <c r="E735" t="s">
        <v>18</v>
      </c>
      <c r="F735" t="s">
        <v>2422</v>
      </c>
      <c r="G735" t="s">
        <v>2423</v>
      </c>
      <c r="H735" t="s">
        <v>33</v>
      </c>
      <c r="I735" t="s">
        <v>22</v>
      </c>
      <c r="J735" t="s">
        <v>64</v>
      </c>
      <c r="K735" t="s">
        <v>65</v>
      </c>
      <c r="L735" t="s">
        <v>66</v>
      </c>
      <c r="M735" t="s">
        <v>2429</v>
      </c>
      <c r="N735" t="s">
        <v>27</v>
      </c>
      <c r="O735" t="s">
        <v>52</v>
      </c>
      <c r="P735">
        <v>38.880000000000003</v>
      </c>
    </row>
    <row r="736" spans="1:16">
      <c r="A736" s="4">
        <v>2017</v>
      </c>
      <c r="B736" s="4">
        <v>106075</v>
      </c>
      <c r="C736" t="s">
        <v>2430</v>
      </c>
      <c r="D736" t="s">
        <v>1053</v>
      </c>
      <c r="E736" t="s">
        <v>18</v>
      </c>
      <c r="F736" t="s">
        <v>2431</v>
      </c>
      <c r="G736" t="s">
        <v>2432</v>
      </c>
      <c r="H736" t="s">
        <v>21</v>
      </c>
      <c r="I736" t="s">
        <v>97</v>
      </c>
      <c r="J736" t="s">
        <v>49</v>
      </c>
      <c r="K736" t="s">
        <v>50</v>
      </c>
      <c r="L736" t="s">
        <v>25</v>
      </c>
      <c r="M736" t="s">
        <v>2433</v>
      </c>
      <c r="N736" t="s">
        <v>27</v>
      </c>
      <c r="O736" t="s">
        <v>101</v>
      </c>
      <c r="P736">
        <v>4.6159999999999997</v>
      </c>
    </row>
    <row r="737" spans="1:16">
      <c r="A737" s="4">
        <v>2018</v>
      </c>
      <c r="B737" s="4">
        <v>129833</v>
      </c>
      <c r="C737" t="s">
        <v>163</v>
      </c>
      <c r="D737" t="s">
        <v>2434</v>
      </c>
      <c r="E737" t="s">
        <v>18</v>
      </c>
      <c r="F737" t="s">
        <v>2435</v>
      </c>
      <c r="G737" t="s">
        <v>2436</v>
      </c>
      <c r="H737" t="s">
        <v>21</v>
      </c>
      <c r="I737" t="s">
        <v>97</v>
      </c>
      <c r="J737" t="s">
        <v>121</v>
      </c>
      <c r="K737" t="s">
        <v>122</v>
      </c>
      <c r="L737" t="s">
        <v>36</v>
      </c>
      <c r="M737" t="s">
        <v>2437</v>
      </c>
      <c r="N737" t="s">
        <v>27</v>
      </c>
      <c r="O737" t="s">
        <v>52</v>
      </c>
      <c r="P737">
        <v>33.450000000000003</v>
      </c>
    </row>
    <row r="738" spans="1:16">
      <c r="A738" s="4">
        <v>2018</v>
      </c>
      <c r="B738" s="4">
        <v>131492</v>
      </c>
      <c r="C738" t="s">
        <v>659</v>
      </c>
      <c r="D738" t="s">
        <v>1928</v>
      </c>
      <c r="E738" t="s">
        <v>144</v>
      </c>
      <c r="F738" t="s">
        <v>2438</v>
      </c>
      <c r="G738" t="s">
        <v>2439</v>
      </c>
      <c r="H738" t="s">
        <v>33</v>
      </c>
      <c r="I738" t="s">
        <v>22</v>
      </c>
      <c r="J738" t="s">
        <v>226</v>
      </c>
      <c r="K738" t="s">
        <v>65</v>
      </c>
      <c r="L738" t="s">
        <v>66</v>
      </c>
      <c r="M738" t="s">
        <v>2440</v>
      </c>
      <c r="N738" t="s">
        <v>27</v>
      </c>
      <c r="O738" t="s">
        <v>501</v>
      </c>
      <c r="P738">
        <v>8.9600000000000009</v>
      </c>
    </row>
    <row r="739" spans="1:16">
      <c r="A739" s="4">
        <v>2015</v>
      </c>
      <c r="B739" s="4">
        <v>135699</v>
      </c>
      <c r="C739" t="s">
        <v>1419</v>
      </c>
      <c r="D739" t="s">
        <v>1419</v>
      </c>
      <c r="E739" t="s">
        <v>132</v>
      </c>
      <c r="F739" t="s">
        <v>2438</v>
      </c>
      <c r="G739" t="s">
        <v>2439</v>
      </c>
      <c r="H739" t="s">
        <v>33</v>
      </c>
      <c r="I739" t="s">
        <v>22</v>
      </c>
      <c r="J739" t="s">
        <v>226</v>
      </c>
      <c r="K739" t="s">
        <v>65</v>
      </c>
      <c r="L739" t="s">
        <v>66</v>
      </c>
      <c r="M739" t="s">
        <v>2441</v>
      </c>
      <c r="N739" t="s">
        <v>27</v>
      </c>
      <c r="O739" t="s">
        <v>52</v>
      </c>
      <c r="P739">
        <v>109.92</v>
      </c>
    </row>
    <row r="740" spans="1:16">
      <c r="A740" s="4">
        <v>2015</v>
      </c>
      <c r="B740" s="4">
        <v>163748</v>
      </c>
      <c r="C740" t="s">
        <v>2442</v>
      </c>
      <c r="D740" t="s">
        <v>2443</v>
      </c>
      <c r="E740" t="s">
        <v>18</v>
      </c>
      <c r="F740" t="s">
        <v>2444</v>
      </c>
      <c r="G740" t="s">
        <v>2445</v>
      </c>
      <c r="H740" t="s">
        <v>33</v>
      </c>
      <c r="I740" t="s">
        <v>97</v>
      </c>
      <c r="J740" t="s">
        <v>1861</v>
      </c>
      <c r="K740" t="s">
        <v>35</v>
      </c>
      <c r="L740" t="s">
        <v>36</v>
      </c>
      <c r="M740" t="s">
        <v>2446</v>
      </c>
      <c r="N740" t="s">
        <v>27</v>
      </c>
      <c r="O740" t="s">
        <v>228</v>
      </c>
      <c r="P740">
        <v>3.16</v>
      </c>
    </row>
    <row r="741" spans="1:16">
      <c r="A741" s="4">
        <v>2017</v>
      </c>
      <c r="B741" s="4">
        <v>156692</v>
      </c>
      <c r="C741" t="s">
        <v>1443</v>
      </c>
      <c r="D741" t="s">
        <v>1443</v>
      </c>
      <c r="E741" t="s">
        <v>132</v>
      </c>
      <c r="F741" t="s">
        <v>2444</v>
      </c>
      <c r="G741" t="s">
        <v>2445</v>
      </c>
      <c r="H741" t="s">
        <v>33</v>
      </c>
      <c r="I741" t="s">
        <v>97</v>
      </c>
      <c r="J741" t="s">
        <v>2447</v>
      </c>
      <c r="K741" t="s">
        <v>377</v>
      </c>
      <c r="L741" t="s">
        <v>45</v>
      </c>
      <c r="M741" t="s">
        <v>2448</v>
      </c>
      <c r="N741" t="s">
        <v>27</v>
      </c>
      <c r="O741" t="s">
        <v>228</v>
      </c>
      <c r="P741">
        <v>17.34</v>
      </c>
    </row>
    <row r="742" spans="1:16">
      <c r="A742" s="4">
        <v>2017</v>
      </c>
      <c r="B742" s="4">
        <v>140634</v>
      </c>
      <c r="C742" t="s">
        <v>1999</v>
      </c>
      <c r="D742" t="s">
        <v>2449</v>
      </c>
      <c r="E742" t="s">
        <v>144</v>
      </c>
      <c r="F742" t="s">
        <v>2450</v>
      </c>
      <c r="G742" t="s">
        <v>2451</v>
      </c>
      <c r="H742" t="s">
        <v>33</v>
      </c>
      <c r="I742" t="s">
        <v>97</v>
      </c>
      <c r="J742" t="s">
        <v>183</v>
      </c>
      <c r="K742" t="s">
        <v>35</v>
      </c>
      <c r="L742" t="s">
        <v>36</v>
      </c>
      <c r="M742" t="s">
        <v>2452</v>
      </c>
      <c r="N742" t="s">
        <v>27</v>
      </c>
      <c r="O742" t="s">
        <v>501</v>
      </c>
      <c r="P742">
        <v>15.648</v>
      </c>
    </row>
    <row r="743" spans="1:16">
      <c r="A743" s="4">
        <v>2017</v>
      </c>
      <c r="B743" s="4">
        <v>101987</v>
      </c>
      <c r="C743" t="s">
        <v>840</v>
      </c>
      <c r="D743" t="s">
        <v>2453</v>
      </c>
      <c r="E743" t="s">
        <v>18</v>
      </c>
      <c r="F743" t="s">
        <v>2450</v>
      </c>
      <c r="G743" t="s">
        <v>2451</v>
      </c>
      <c r="H743" t="s">
        <v>33</v>
      </c>
      <c r="I743" t="s">
        <v>97</v>
      </c>
      <c r="J743" t="s">
        <v>1011</v>
      </c>
      <c r="K743" t="s">
        <v>122</v>
      </c>
      <c r="L743" t="s">
        <v>36</v>
      </c>
      <c r="M743" t="s">
        <v>2454</v>
      </c>
      <c r="N743" t="s">
        <v>38</v>
      </c>
      <c r="O743" t="s">
        <v>118</v>
      </c>
      <c r="P743">
        <v>440.91</v>
      </c>
    </row>
    <row r="744" spans="1:16">
      <c r="A744" s="4">
        <v>2018</v>
      </c>
      <c r="B744" s="4">
        <v>134607</v>
      </c>
      <c r="C744" t="s">
        <v>367</v>
      </c>
      <c r="D744" t="s">
        <v>1977</v>
      </c>
      <c r="E744" t="s">
        <v>144</v>
      </c>
      <c r="F744" t="s">
        <v>2450</v>
      </c>
      <c r="G744" t="s">
        <v>2451</v>
      </c>
      <c r="H744" t="s">
        <v>33</v>
      </c>
      <c r="I744" t="s">
        <v>97</v>
      </c>
      <c r="J744" t="s">
        <v>663</v>
      </c>
      <c r="K744" t="s">
        <v>50</v>
      </c>
      <c r="L744" t="s">
        <v>25</v>
      </c>
      <c r="M744" t="s">
        <v>2455</v>
      </c>
      <c r="N744" t="s">
        <v>27</v>
      </c>
      <c r="O744" t="s">
        <v>58</v>
      </c>
      <c r="P744">
        <v>22.58</v>
      </c>
    </row>
    <row r="745" spans="1:16">
      <c r="A745" s="4">
        <v>2015</v>
      </c>
      <c r="B745" s="4">
        <v>147627</v>
      </c>
      <c r="C745" t="s">
        <v>2456</v>
      </c>
      <c r="D745" t="s">
        <v>2457</v>
      </c>
      <c r="E745" t="s">
        <v>18</v>
      </c>
      <c r="F745" t="s">
        <v>2450</v>
      </c>
      <c r="G745" t="s">
        <v>2451</v>
      </c>
      <c r="H745" t="s">
        <v>33</v>
      </c>
      <c r="I745" t="s">
        <v>97</v>
      </c>
      <c r="J745" t="s">
        <v>2458</v>
      </c>
      <c r="K745" t="s">
        <v>1270</v>
      </c>
      <c r="L745" t="s">
        <v>45</v>
      </c>
      <c r="M745" t="s">
        <v>2459</v>
      </c>
      <c r="N745" t="s">
        <v>38</v>
      </c>
      <c r="O745" t="s">
        <v>118</v>
      </c>
      <c r="P745">
        <v>699.93</v>
      </c>
    </row>
    <row r="746" spans="1:16">
      <c r="A746" s="4">
        <v>2016</v>
      </c>
      <c r="B746" s="4">
        <v>104346</v>
      </c>
      <c r="C746" t="s">
        <v>604</v>
      </c>
      <c r="D746" t="s">
        <v>1890</v>
      </c>
      <c r="E746" t="s">
        <v>18</v>
      </c>
      <c r="F746" t="s">
        <v>2460</v>
      </c>
      <c r="G746" t="s">
        <v>2461</v>
      </c>
      <c r="H746" t="s">
        <v>33</v>
      </c>
      <c r="I746" t="s">
        <v>97</v>
      </c>
      <c r="J746" t="s">
        <v>1992</v>
      </c>
      <c r="K746" t="s">
        <v>222</v>
      </c>
      <c r="L746" t="s">
        <v>66</v>
      </c>
      <c r="M746" t="s">
        <v>391</v>
      </c>
      <c r="N746" t="s">
        <v>27</v>
      </c>
      <c r="O746" t="s">
        <v>28</v>
      </c>
      <c r="P746">
        <v>13.12</v>
      </c>
    </row>
    <row r="747" spans="1:16">
      <c r="A747" s="4">
        <v>2017</v>
      </c>
      <c r="B747" s="4">
        <v>140501</v>
      </c>
      <c r="C747" t="s">
        <v>2462</v>
      </c>
      <c r="D747" t="s">
        <v>1277</v>
      </c>
      <c r="E747" t="s">
        <v>18</v>
      </c>
      <c r="F747" t="s">
        <v>2460</v>
      </c>
      <c r="G747" t="s">
        <v>2461</v>
      </c>
      <c r="H747" t="s">
        <v>33</v>
      </c>
      <c r="I747" t="s">
        <v>97</v>
      </c>
      <c r="J747" t="s">
        <v>49</v>
      </c>
      <c r="K747" t="s">
        <v>50</v>
      </c>
      <c r="L747" t="s">
        <v>25</v>
      </c>
      <c r="M747" t="s">
        <v>2463</v>
      </c>
      <c r="N747" t="s">
        <v>27</v>
      </c>
      <c r="O747" t="s">
        <v>111</v>
      </c>
      <c r="P747">
        <v>122.12</v>
      </c>
    </row>
    <row r="748" spans="1:16">
      <c r="A748" s="4">
        <v>2017</v>
      </c>
      <c r="B748" s="4">
        <v>161389</v>
      </c>
      <c r="C748" t="s">
        <v>279</v>
      </c>
      <c r="D748" t="s">
        <v>1753</v>
      </c>
      <c r="E748" t="s">
        <v>18</v>
      </c>
      <c r="F748" t="s">
        <v>2460</v>
      </c>
      <c r="G748" t="s">
        <v>2461</v>
      </c>
      <c r="H748" t="s">
        <v>33</v>
      </c>
      <c r="I748" t="s">
        <v>97</v>
      </c>
      <c r="J748" t="s">
        <v>271</v>
      </c>
      <c r="K748" t="s">
        <v>165</v>
      </c>
      <c r="L748" t="s">
        <v>66</v>
      </c>
      <c r="M748" t="s">
        <v>1332</v>
      </c>
      <c r="N748" t="s">
        <v>27</v>
      </c>
      <c r="O748" t="s">
        <v>101</v>
      </c>
      <c r="P748">
        <v>407.976</v>
      </c>
    </row>
    <row r="749" spans="1:16">
      <c r="A749" s="4">
        <v>2016</v>
      </c>
      <c r="B749" s="4">
        <v>154956</v>
      </c>
      <c r="C749" t="s">
        <v>170</v>
      </c>
      <c r="D749" t="s">
        <v>1008</v>
      </c>
      <c r="E749" t="s">
        <v>18</v>
      </c>
      <c r="F749" t="s">
        <v>2460</v>
      </c>
      <c r="G749" t="s">
        <v>2461</v>
      </c>
      <c r="H749" t="s">
        <v>33</v>
      </c>
      <c r="I749" t="s">
        <v>97</v>
      </c>
      <c r="J749" t="s">
        <v>477</v>
      </c>
      <c r="K749" t="s">
        <v>478</v>
      </c>
      <c r="L749" t="s">
        <v>36</v>
      </c>
      <c r="M749" t="s">
        <v>2464</v>
      </c>
      <c r="N749" t="s">
        <v>38</v>
      </c>
      <c r="O749" t="s">
        <v>118</v>
      </c>
      <c r="P749">
        <v>1099.96</v>
      </c>
    </row>
    <row r="750" spans="1:16">
      <c r="A750" s="4">
        <v>2015</v>
      </c>
      <c r="B750" s="4">
        <v>120768</v>
      </c>
      <c r="C750" t="s">
        <v>709</v>
      </c>
      <c r="D750" t="s">
        <v>710</v>
      </c>
      <c r="E750" t="s">
        <v>144</v>
      </c>
      <c r="F750" t="s">
        <v>2460</v>
      </c>
      <c r="G750" t="s">
        <v>2461</v>
      </c>
      <c r="H750" t="s">
        <v>33</v>
      </c>
      <c r="I750" t="s">
        <v>97</v>
      </c>
      <c r="J750" t="s">
        <v>517</v>
      </c>
      <c r="K750" t="s">
        <v>518</v>
      </c>
      <c r="L750" t="s">
        <v>45</v>
      </c>
      <c r="M750" t="s">
        <v>2465</v>
      </c>
      <c r="N750" t="s">
        <v>27</v>
      </c>
      <c r="O750" t="s">
        <v>101</v>
      </c>
      <c r="P750">
        <v>152.76</v>
      </c>
    </row>
    <row r="751" spans="1:16">
      <c r="A751" s="4">
        <v>2018</v>
      </c>
      <c r="B751" s="4">
        <v>158743</v>
      </c>
      <c r="C751" t="s">
        <v>1927</v>
      </c>
      <c r="D751" t="s">
        <v>2466</v>
      </c>
      <c r="E751" t="s">
        <v>18</v>
      </c>
      <c r="F751" t="s">
        <v>2467</v>
      </c>
      <c r="G751" t="s">
        <v>2468</v>
      </c>
      <c r="H751" t="s">
        <v>33</v>
      </c>
      <c r="I751" t="s">
        <v>97</v>
      </c>
      <c r="J751" t="s">
        <v>1269</v>
      </c>
      <c r="K751" t="s">
        <v>1270</v>
      </c>
      <c r="L751" t="s">
        <v>45</v>
      </c>
      <c r="M751" t="s">
        <v>2469</v>
      </c>
      <c r="N751" t="s">
        <v>27</v>
      </c>
      <c r="O751" t="s">
        <v>28</v>
      </c>
      <c r="P751">
        <v>13.36</v>
      </c>
    </row>
    <row r="752" spans="1:16">
      <c r="A752" s="4">
        <v>2017</v>
      </c>
      <c r="B752" s="4">
        <v>159345</v>
      </c>
      <c r="C752" t="s">
        <v>1470</v>
      </c>
      <c r="D752" t="s">
        <v>2470</v>
      </c>
      <c r="E752" t="s">
        <v>18</v>
      </c>
      <c r="F752" t="s">
        <v>2467</v>
      </c>
      <c r="G752" t="s">
        <v>2468</v>
      </c>
      <c r="H752" t="s">
        <v>33</v>
      </c>
      <c r="I752" t="s">
        <v>97</v>
      </c>
      <c r="J752" t="s">
        <v>630</v>
      </c>
      <c r="K752" t="s">
        <v>65</v>
      </c>
      <c r="L752" t="s">
        <v>66</v>
      </c>
      <c r="M752" t="s">
        <v>2471</v>
      </c>
      <c r="N752" t="s">
        <v>27</v>
      </c>
      <c r="O752" t="s">
        <v>52</v>
      </c>
      <c r="P752">
        <v>111.96</v>
      </c>
    </row>
    <row r="753" spans="1:16">
      <c r="A753" s="4">
        <v>2016</v>
      </c>
      <c r="B753" s="4">
        <v>114741</v>
      </c>
      <c r="C753" t="s">
        <v>603</v>
      </c>
      <c r="D753" t="s">
        <v>2472</v>
      </c>
      <c r="E753" t="s">
        <v>18</v>
      </c>
      <c r="F753" t="s">
        <v>2473</v>
      </c>
      <c r="G753" t="s">
        <v>2474</v>
      </c>
      <c r="H753" t="s">
        <v>33</v>
      </c>
      <c r="I753" t="s">
        <v>97</v>
      </c>
      <c r="J753" t="s">
        <v>2475</v>
      </c>
      <c r="K753" t="s">
        <v>91</v>
      </c>
      <c r="L753" t="s">
        <v>66</v>
      </c>
      <c r="M753" t="s">
        <v>2476</v>
      </c>
      <c r="N753" t="s">
        <v>27</v>
      </c>
      <c r="O753" t="s">
        <v>52</v>
      </c>
      <c r="P753">
        <v>6.48</v>
      </c>
    </row>
    <row r="754" spans="1:16">
      <c r="A754" s="4">
        <v>2016</v>
      </c>
      <c r="B754" s="4">
        <v>156482</v>
      </c>
      <c r="C754" t="s">
        <v>1218</v>
      </c>
      <c r="D754" t="s">
        <v>2477</v>
      </c>
      <c r="E754" t="s">
        <v>18</v>
      </c>
      <c r="F754" t="s">
        <v>2473</v>
      </c>
      <c r="G754" t="s">
        <v>2474</v>
      </c>
      <c r="H754" t="s">
        <v>33</v>
      </c>
      <c r="I754" t="s">
        <v>97</v>
      </c>
      <c r="J754" t="s">
        <v>653</v>
      </c>
      <c r="K754" t="s">
        <v>1392</v>
      </c>
      <c r="L754" t="s">
        <v>25</v>
      </c>
      <c r="M754" t="s">
        <v>2478</v>
      </c>
      <c r="N754" t="s">
        <v>79</v>
      </c>
      <c r="O754" t="s">
        <v>138</v>
      </c>
      <c r="P754">
        <v>1268.82</v>
      </c>
    </row>
    <row r="755" spans="1:16">
      <c r="A755" s="4">
        <v>2015</v>
      </c>
      <c r="B755" s="4">
        <v>152296</v>
      </c>
      <c r="C755" t="s">
        <v>447</v>
      </c>
      <c r="D755" t="s">
        <v>806</v>
      </c>
      <c r="E755" t="s">
        <v>42</v>
      </c>
      <c r="F755" t="s">
        <v>2473</v>
      </c>
      <c r="G755" t="s">
        <v>2474</v>
      </c>
      <c r="H755" t="s">
        <v>33</v>
      </c>
      <c r="I755" t="s">
        <v>97</v>
      </c>
      <c r="J755" t="s">
        <v>226</v>
      </c>
      <c r="K755" t="s">
        <v>65</v>
      </c>
      <c r="L755" t="s">
        <v>66</v>
      </c>
      <c r="M755" t="s">
        <v>2479</v>
      </c>
      <c r="N755" t="s">
        <v>27</v>
      </c>
      <c r="O755" t="s">
        <v>101</v>
      </c>
      <c r="P755">
        <v>19.751999999999999</v>
      </c>
    </row>
    <row r="756" spans="1:16">
      <c r="A756" s="4">
        <v>2015</v>
      </c>
      <c r="B756" s="4">
        <v>135972</v>
      </c>
      <c r="C756" t="s">
        <v>539</v>
      </c>
      <c r="D756" t="s">
        <v>969</v>
      </c>
      <c r="E756" t="s">
        <v>144</v>
      </c>
      <c r="F756" t="s">
        <v>2480</v>
      </c>
      <c r="G756" t="s">
        <v>2481</v>
      </c>
      <c r="H756" t="s">
        <v>21</v>
      </c>
      <c r="I756" t="s">
        <v>97</v>
      </c>
      <c r="J756" t="s">
        <v>796</v>
      </c>
      <c r="K756" t="s">
        <v>165</v>
      </c>
      <c r="L756" t="s">
        <v>66</v>
      </c>
      <c r="M756" t="s">
        <v>2482</v>
      </c>
      <c r="N756" t="s">
        <v>38</v>
      </c>
      <c r="O756" t="s">
        <v>118</v>
      </c>
      <c r="P756">
        <v>246.38399999999999</v>
      </c>
    </row>
    <row r="757" spans="1:16">
      <c r="A757" s="4">
        <v>2015</v>
      </c>
      <c r="B757" s="4">
        <v>167486</v>
      </c>
      <c r="C757" t="s">
        <v>2483</v>
      </c>
      <c r="D757" t="s">
        <v>457</v>
      </c>
      <c r="E757" t="s">
        <v>18</v>
      </c>
      <c r="F757" t="s">
        <v>2484</v>
      </c>
      <c r="G757" t="s">
        <v>2485</v>
      </c>
      <c r="H757" t="s">
        <v>21</v>
      </c>
      <c r="I757" t="s">
        <v>22</v>
      </c>
      <c r="J757" t="s">
        <v>2486</v>
      </c>
      <c r="K757" t="s">
        <v>50</v>
      </c>
      <c r="L757" t="s">
        <v>25</v>
      </c>
      <c r="M757" t="s">
        <v>2487</v>
      </c>
      <c r="N757" t="s">
        <v>79</v>
      </c>
      <c r="O757" t="s">
        <v>80</v>
      </c>
      <c r="P757">
        <v>199.9</v>
      </c>
    </row>
    <row r="758" spans="1:16">
      <c r="A758" s="4">
        <v>2017</v>
      </c>
      <c r="B758" s="4">
        <v>124772</v>
      </c>
      <c r="C758" t="s">
        <v>279</v>
      </c>
      <c r="D758" t="s">
        <v>2019</v>
      </c>
      <c r="E758" t="s">
        <v>42</v>
      </c>
      <c r="F758" t="s">
        <v>2488</v>
      </c>
      <c r="G758" t="s">
        <v>2489</v>
      </c>
      <c r="H758" t="s">
        <v>33</v>
      </c>
      <c r="I758" t="s">
        <v>97</v>
      </c>
      <c r="J758" t="s">
        <v>2490</v>
      </c>
      <c r="K758" t="s">
        <v>126</v>
      </c>
      <c r="L758" t="s">
        <v>45</v>
      </c>
      <c r="M758" t="s">
        <v>2491</v>
      </c>
      <c r="N758" t="s">
        <v>79</v>
      </c>
      <c r="O758" t="s">
        <v>80</v>
      </c>
      <c r="P758">
        <v>191.82</v>
      </c>
    </row>
    <row r="759" spans="1:16">
      <c r="A759" s="4">
        <v>2018</v>
      </c>
      <c r="B759" s="4">
        <v>138548</v>
      </c>
      <c r="C759" t="s">
        <v>857</v>
      </c>
      <c r="D759" t="s">
        <v>2317</v>
      </c>
      <c r="E759" t="s">
        <v>18</v>
      </c>
      <c r="F759" t="s">
        <v>2488</v>
      </c>
      <c r="G759" t="s">
        <v>2489</v>
      </c>
      <c r="H759" t="s">
        <v>33</v>
      </c>
      <c r="I759" t="s">
        <v>97</v>
      </c>
      <c r="J759" t="s">
        <v>2492</v>
      </c>
      <c r="K759" t="s">
        <v>869</v>
      </c>
      <c r="L759" t="s">
        <v>25</v>
      </c>
      <c r="M759" t="s">
        <v>2493</v>
      </c>
      <c r="N759" t="s">
        <v>27</v>
      </c>
      <c r="O759" t="s">
        <v>228</v>
      </c>
      <c r="P759">
        <v>97.84</v>
      </c>
    </row>
    <row r="760" spans="1:16">
      <c r="A760" s="4">
        <v>2017</v>
      </c>
      <c r="B760" s="4">
        <v>140977</v>
      </c>
      <c r="C760" t="s">
        <v>1628</v>
      </c>
      <c r="D760" t="s">
        <v>2494</v>
      </c>
      <c r="E760" t="s">
        <v>144</v>
      </c>
      <c r="F760" t="s">
        <v>2495</v>
      </c>
      <c r="G760" t="s">
        <v>2496</v>
      </c>
      <c r="H760" t="s">
        <v>33</v>
      </c>
      <c r="I760" t="s">
        <v>63</v>
      </c>
      <c r="J760" t="s">
        <v>1285</v>
      </c>
      <c r="K760" t="s">
        <v>206</v>
      </c>
      <c r="L760" t="s">
        <v>45</v>
      </c>
      <c r="M760" t="s">
        <v>2497</v>
      </c>
      <c r="N760" t="s">
        <v>38</v>
      </c>
      <c r="O760" t="s">
        <v>39</v>
      </c>
      <c r="P760">
        <v>91.474999999999994</v>
      </c>
    </row>
    <row r="761" spans="1:16">
      <c r="A761" s="4">
        <v>2018</v>
      </c>
      <c r="B761" s="4">
        <v>128734</v>
      </c>
      <c r="C761" t="s">
        <v>424</v>
      </c>
      <c r="D761" t="s">
        <v>2498</v>
      </c>
      <c r="E761" t="s">
        <v>18</v>
      </c>
      <c r="F761" t="s">
        <v>2495</v>
      </c>
      <c r="G761" t="s">
        <v>2496</v>
      </c>
      <c r="H761" t="s">
        <v>33</v>
      </c>
      <c r="I761" t="s">
        <v>63</v>
      </c>
      <c r="J761" t="s">
        <v>2499</v>
      </c>
      <c r="K761" t="s">
        <v>136</v>
      </c>
      <c r="L761" t="s">
        <v>66</v>
      </c>
      <c r="M761" t="s">
        <v>2500</v>
      </c>
      <c r="N761" t="s">
        <v>79</v>
      </c>
      <c r="O761" t="s">
        <v>80</v>
      </c>
      <c r="P761">
        <v>8.5440000000000005</v>
      </c>
    </row>
    <row r="762" spans="1:16">
      <c r="A762" s="4">
        <v>2018</v>
      </c>
      <c r="B762" s="4">
        <v>156083</v>
      </c>
      <c r="C762" t="s">
        <v>1283</v>
      </c>
      <c r="D762" t="s">
        <v>2021</v>
      </c>
      <c r="E762" t="s">
        <v>18</v>
      </c>
      <c r="F762" t="s">
        <v>2495</v>
      </c>
      <c r="G762" t="s">
        <v>2496</v>
      </c>
      <c r="H762" t="s">
        <v>33</v>
      </c>
      <c r="I762" t="s">
        <v>63</v>
      </c>
      <c r="J762" t="s">
        <v>977</v>
      </c>
      <c r="K762" t="s">
        <v>206</v>
      </c>
      <c r="L762" t="s">
        <v>45</v>
      </c>
      <c r="M762" t="s">
        <v>2501</v>
      </c>
      <c r="N762" t="s">
        <v>27</v>
      </c>
      <c r="O762" t="s">
        <v>52</v>
      </c>
      <c r="P762">
        <v>9.6639999999999997</v>
      </c>
    </row>
    <row r="763" spans="1:16">
      <c r="A763" s="4">
        <v>2018</v>
      </c>
      <c r="B763" s="4">
        <v>123281</v>
      </c>
      <c r="C763" t="s">
        <v>1195</v>
      </c>
      <c r="D763" t="s">
        <v>1336</v>
      </c>
      <c r="E763" t="s">
        <v>18</v>
      </c>
      <c r="F763" t="s">
        <v>2502</v>
      </c>
      <c r="G763" t="s">
        <v>2503</v>
      </c>
      <c r="H763" t="s">
        <v>21</v>
      </c>
      <c r="I763" t="s">
        <v>97</v>
      </c>
      <c r="J763" t="s">
        <v>64</v>
      </c>
      <c r="K763" t="s">
        <v>65</v>
      </c>
      <c r="L763" t="s">
        <v>66</v>
      </c>
      <c r="M763" t="s">
        <v>1761</v>
      </c>
      <c r="N763" t="s">
        <v>79</v>
      </c>
      <c r="O763" t="s">
        <v>80</v>
      </c>
      <c r="P763">
        <v>25.11</v>
      </c>
    </row>
    <row r="764" spans="1:16">
      <c r="A764" s="4">
        <v>2018</v>
      </c>
      <c r="B764" s="4">
        <v>123491</v>
      </c>
      <c r="C764" t="s">
        <v>2504</v>
      </c>
      <c r="D764" t="s">
        <v>198</v>
      </c>
      <c r="E764" t="s">
        <v>18</v>
      </c>
      <c r="F764" t="s">
        <v>2505</v>
      </c>
      <c r="G764" t="s">
        <v>2506</v>
      </c>
      <c r="H764" t="s">
        <v>33</v>
      </c>
      <c r="I764" t="s">
        <v>97</v>
      </c>
      <c r="J764" t="s">
        <v>226</v>
      </c>
      <c r="K764" t="s">
        <v>65</v>
      </c>
      <c r="L764" t="s">
        <v>66</v>
      </c>
      <c r="M764" t="s">
        <v>2507</v>
      </c>
      <c r="N764" t="s">
        <v>27</v>
      </c>
      <c r="O764" t="s">
        <v>111</v>
      </c>
      <c r="P764">
        <v>43.86</v>
      </c>
    </row>
    <row r="765" spans="1:16">
      <c r="A765" s="4">
        <v>2016</v>
      </c>
      <c r="B765" s="4">
        <v>116484</v>
      </c>
      <c r="C765" t="s">
        <v>972</v>
      </c>
      <c r="D765" t="s">
        <v>419</v>
      </c>
      <c r="E765" t="s">
        <v>18</v>
      </c>
      <c r="F765" t="s">
        <v>2505</v>
      </c>
      <c r="G765" t="s">
        <v>2506</v>
      </c>
      <c r="H765" t="s">
        <v>33</v>
      </c>
      <c r="I765" t="s">
        <v>97</v>
      </c>
      <c r="J765" t="s">
        <v>1783</v>
      </c>
      <c r="K765" t="s">
        <v>237</v>
      </c>
      <c r="L765" t="s">
        <v>25</v>
      </c>
      <c r="M765" t="s">
        <v>2508</v>
      </c>
      <c r="N765" t="s">
        <v>79</v>
      </c>
      <c r="O765" t="s">
        <v>80</v>
      </c>
      <c r="P765">
        <v>63.823999999999998</v>
      </c>
    </row>
    <row r="766" spans="1:16">
      <c r="A766" s="4">
        <v>2018</v>
      </c>
      <c r="B766" s="4">
        <v>139661</v>
      </c>
      <c r="C766" t="s">
        <v>2504</v>
      </c>
      <c r="D766" t="s">
        <v>1584</v>
      </c>
      <c r="E766" t="s">
        <v>18</v>
      </c>
      <c r="F766" t="s">
        <v>2509</v>
      </c>
      <c r="G766" t="s">
        <v>2510</v>
      </c>
      <c r="H766" t="s">
        <v>33</v>
      </c>
      <c r="I766" t="s">
        <v>22</v>
      </c>
      <c r="J766" t="s">
        <v>576</v>
      </c>
      <c r="K766" t="s">
        <v>165</v>
      </c>
      <c r="L766" t="s">
        <v>66</v>
      </c>
      <c r="M766" t="s">
        <v>1017</v>
      </c>
      <c r="N766" t="s">
        <v>79</v>
      </c>
      <c r="O766" t="s">
        <v>80</v>
      </c>
      <c r="P766">
        <v>9.64</v>
      </c>
    </row>
    <row r="767" spans="1:16">
      <c r="A767" s="4">
        <v>2018</v>
      </c>
      <c r="B767" s="4">
        <v>116113</v>
      </c>
      <c r="C767" t="s">
        <v>666</v>
      </c>
      <c r="D767" t="s">
        <v>368</v>
      </c>
      <c r="E767" t="s">
        <v>144</v>
      </c>
      <c r="F767" t="s">
        <v>2509</v>
      </c>
      <c r="G767" t="s">
        <v>2510</v>
      </c>
      <c r="H767" t="s">
        <v>33</v>
      </c>
      <c r="I767" t="s">
        <v>22</v>
      </c>
      <c r="J767" t="s">
        <v>2511</v>
      </c>
      <c r="K767" t="s">
        <v>518</v>
      </c>
      <c r="L767" t="s">
        <v>45</v>
      </c>
      <c r="M767" t="s">
        <v>2512</v>
      </c>
      <c r="N767" t="s">
        <v>79</v>
      </c>
      <c r="O767" t="s">
        <v>80</v>
      </c>
      <c r="P767">
        <v>10.16</v>
      </c>
    </row>
    <row r="768" spans="1:16">
      <c r="A768" s="4">
        <v>2018</v>
      </c>
      <c r="B768" s="4">
        <v>135909</v>
      </c>
      <c r="C768" t="s">
        <v>398</v>
      </c>
      <c r="D768" t="s">
        <v>1927</v>
      </c>
      <c r="E768" t="s">
        <v>18</v>
      </c>
      <c r="F768" t="s">
        <v>2509</v>
      </c>
      <c r="G768" t="s">
        <v>2510</v>
      </c>
      <c r="H768" t="s">
        <v>33</v>
      </c>
      <c r="I768" t="s">
        <v>22</v>
      </c>
      <c r="J768" t="s">
        <v>2050</v>
      </c>
      <c r="K768" t="s">
        <v>65</v>
      </c>
      <c r="L768" t="s">
        <v>66</v>
      </c>
      <c r="M768" t="s">
        <v>1661</v>
      </c>
      <c r="N768" t="s">
        <v>38</v>
      </c>
      <c r="O768" t="s">
        <v>68</v>
      </c>
      <c r="P768">
        <v>209.94</v>
      </c>
    </row>
    <row r="769" spans="1:16">
      <c r="A769" s="4">
        <v>2018</v>
      </c>
      <c r="B769" s="4">
        <v>158946</v>
      </c>
      <c r="C769" t="s">
        <v>608</v>
      </c>
      <c r="D769" t="s">
        <v>125</v>
      </c>
      <c r="E769" t="s">
        <v>18</v>
      </c>
      <c r="F769" t="s">
        <v>2509</v>
      </c>
      <c r="G769" t="s">
        <v>2510</v>
      </c>
      <c r="H769" t="s">
        <v>33</v>
      </c>
      <c r="I769" t="s">
        <v>22</v>
      </c>
      <c r="J769" t="s">
        <v>868</v>
      </c>
      <c r="K769" t="s">
        <v>237</v>
      </c>
      <c r="L769" t="s">
        <v>25</v>
      </c>
      <c r="M769" t="s">
        <v>2513</v>
      </c>
      <c r="N769" t="s">
        <v>27</v>
      </c>
      <c r="O769" t="s">
        <v>28</v>
      </c>
      <c r="P769">
        <v>38.863999999999997</v>
      </c>
    </row>
    <row r="770" spans="1:16">
      <c r="A770" s="4">
        <v>2017</v>
      </c>
      <c r="B770" s="4">
        <v>165169</v>
      </c>
      <c r="C770" t="s">
        <v>2514</v>
      </c>
      <c r="D770" t="s">
        <v>2515</v>
      </c>
      <c r="E770" t="s">
        <v>18</v>
      </c>
      <c r="F770" t="s">
        <v>2516</v>
      </c>
      <c r="G770" t="s">
        <v>2517</v>
      </c>
      <c r="H770" t="s">
        <v>33</v>
      </c>
      <c r="I770" t="s">
        <v>97</v>
      </c>
      <c r="J770" t="s">
        <v>987</v>
      </c>
      <c r="K770" t="s">
        <v>1392</v>
      </c>
      <c r="L770" t="s">
        <v>25</v>
      </c>
      <c r="M770" t="s">
        <v>2518</v>
      </c>
      <c r="N770" t="s">
        <v>27</v>
      </c>
      <c r="O770" t="s">
        <v>58</v>
      </c>
      <c r="P770">
        <v>360.38</v>
      </c>
    </row>
    <row r="771" spans="1:16">
      <c r="A771" s="4">
        <v>2015</v>
      </c>
      <c r="B771" s="4">
        <v>130379</v>
      </c>
      <c r="C771" t="s">
        <v>2519</v>
      </c>
      <c r="D771" t="s">
        <v>2520</v>
      </c>
      <c r="E771" t="s">
        <v>18</v>
      </c>
      <c r="F771" t="s">
        <v>2516</v>
      </c>
      <c r="G771" t="s">
        <v>2517</v>
      </c>
      <c r="H771" t="s">
        <v>33</v>
      </c>
      <c r="I771" t="s">
        <v>97</v>
      </c>
      <c r="J771" t="s">
        <v>108</v>
      </c>
      <c r="K771" t="s">
        <v>109</v>
      </c>
      <c r="L771" t="s">
        <v>36</v>
      </c>
      <c r="M771" t="s">
        <v>733</v>
      </c>
      <c r="N771" t="s">
        <v>27</v>
      </c>
      <c r="O771" t="s">
        <v>228</v>
      </c>
      <c r="P771">
        <v>75.599999999999994</v>
      </c>
    </row>
    <row r="772" spans="1:16">
      <c r="A772" s="4">
        <v>2017</v>
      </c>
      <c r="B772" s="4">
        <v>167556</v>
      </c>
      <c r="C772" t="s">
        <v>2521</v>
      </c>
      <c r="D772" t="s">
        <v>2522</v>
      </c>
      <c r="E772" t="s">
        <v>18</v>
      </c>
      <c r="F772" t="s">
        <v>2523</v>
      </c>
      <c r="G772" t="s">
        <v>2524</v>
      </c>
      <c r="H772" t="s">
        <v>33</v>
      </c>
      <c r="I772" t="s">
        <v>97</v>
      </c>
      <c r="J772" t="s">
        <v>49</v>
      </c>
      <c r="K772" t="s">
        <v>50</v>
      </c>
      <c r="L772" t="s">
        <v>25</v>
      </c>
      <c r="M772" t="s">
        <v>2525</v>
      </c>
      <c r="N772" t="s">
        <v>27</v>
      </c>
      <c r="O772" t="s">
        <v>52</v>
      </c>
      <c r="P772">
        <v>13.48</v>
      </c>
    </row>
    <row r="773" spans="1:16">
      <c r="A773" s="4">
        <v>2018</v>
      </c>
      <c r="B773" s="4">
        <v>119004</v>
      </c>
      <c r="C773" t="s">
        <v>125</v>
      </c>
      <c r="D773" t="s">
        <v>1751</v>
      </c>
      <c r="E773" t="s">
        <v>18</v>
      </c>
      <c r="F773" t="s">
        <v>2523</v>
      </c>
      <c r="G773" t="s">
        <v>2524</v>
      </c>
      <c r="H773" t="s">
        <v>33</v>
      </c>
      <c r="I773" t="s">
        <v>97</v>
      </c>
      <c r="J773" t="s">
        <v>1413</v>
      </c>
      <c r="K773" t="s">
        <v>44</v>
      </c>
      <c r="L773" t="s">
        <v>45</v>
      </c>
      <c r="M773" t="s">
        <v>2526</v>
      </c>
      <c r="N773" t="s">
        <v>38</v>
      </c>
      <c r="O773" t="s">
        <v>68</v>
      </c>
      <c r="P773">
        <v>74.111999999999995</v>
      </c>
    </row>
    <row r="774" spans="1:16">
      <c r="A774" s="4">
        <v>2017</v>
      </c>
      <c r="B774" s="4">
        <v>105816</v>
      </c>
      <c r="C774" t="s">
        <v>572</v>
      </c>
      <c r="D774" t="s">
        <v>1494</v>
      </c>
      <c r="E774" t="s">
        <v>18</v>
      </c>
      <c r="F774" t="s">
        <v>2527</v>
      </c>
      <c r="G774" t="s">
        <v>2528</v>
      </c>
      <c r="H774" t="s">
        <v>33</v>
      </c>
      <c r="I774" t="s">
        <v>22</v>
      </c>
      <c r="J774" t="s">
        <v>49</v>
      </c>
      <c r="K774" t="s">
        <v>50</v>
      </c>
      <c r="L774" t="s">
        <v>25</v>
      </c>
      <c r="M774" t="s">
        <v>1490</v>
      </c>
      <c r="N774" t="s">
        <v>27</v>
      </c>
      <c r="O774" t="s">
        <v>452</v>
      </c>
      <c r="P774">
        <v>15.26</v>
      </c>
    </row>
    <row r="775" spans="1:16">
      <c r="A775" s="4">
        <v>2018</v>
      </c>
      <c r="B775" s="4">
        <v>149160</v>
      </c>
      <c r="C775" t="s">
        <v>125</v>
      </c>
      <c r="D775" t="s">
        <v>81</v>
      </c>
      <c r="E775" t="s">
        <v>144</v>
      </c>
      <c r="F775" t="s">
        <v>2527</v>
      </c>
      <c r="G775" t="s">
        <v>2528</v>
      </c>
      <c r="H775" t="s">
        <v>33</v>
      </c>
      <c r="I775" t="s">
        <v>22</v>
      </c>
      <c r="J775" t="s">
        <v>2529</v>
      </c>
      <c r="K775" t="s">
        <v>855</v>
      </c>
      <c r="L775" t="s">
        <v>36</v>
      </c>
      <c r="M775" t="s">
        <v>2530</v>
      </c>
      <c r="N775" t="s">
        <v>79</v>
      </c>
      <c r="O775" t="s">
        <v>80</v>
      </c>
      <c r="P775">
        <v>28.4</v>
      </c>
    </row>
    <row r="776" spans="1:16">
      <c r="A776" s="4">
        <v>2018</v>
      </c>
      <c r="B776" s="4">
        <v>118402</v>
      </c>
      <c r="C776" t="s">
        <v>641</v>
      </c>
      <c r="D776" t="s">
        <v>2531</v>
      </c>
      <c r="E776" t="s">
        <v>18</v>
      </c>
      <c r="F776" t="s">
        <v>2532</v>
      </c>
      <c r="G776" t="s">
        <v>2533</v>
      </c>
      <c r="H776" t="s">
        <v>33</v>
      </c>
      <c r="I776" t="s">
        <v>97</v>
      </c>
      <c r="J776" t="s">
        <v>2534</v>
      </c>
      <c r="K776" t="s">
        <v>206</v>
      </c>
      <c r="L776" t="s">
        <v>45</v>
      </c>
      <c r="M776" t="s">
        <v>2535</v>
      </c>
      <c r="N776" t="s">
        <v>27</v>
      </c>
      <c r="O776" t="s">
        <v>58</v>
      </c>
      <c r="P776">
        <v>243.92</v>
      </c>
    </row>
    <row r="777" spans="1:16">
      <c r="A777" s="4">
        <v>2016</v>
      </c>
      <c r="B777" s="4">
        <v>109197</v>
      </c>
      <c r="C777" t="s">
        <v>623</v>
      </c>
      <c r="D777" t="s">
        <v>2041</v>
      </c>
      <c r="E777" t="s">
        <v>18</v>
      </c>
      <c r="F777" t="s">
        <v>2532</v>
      </c>
      <c r="G777" t="s">
        <v>2533</v>
      </c>
      <c r="H777" t="s">
        <v>33</v>
      </c>
      <c r="I777" t="s">
        <v>97</v>
      </c>
      <c r="J777" t="s">
        <v>2536</v>
      </c>
      <c r="K777" t="s">
        <v>188</v>
      </c>
      <c r="L777" t="s">
        <v>66</v>
      </c>
      <c r="M777" t="s">
        <v>2537</v>
      </c>
      <c r="N777" t="s">
        <v>27</v>
      </c>
      <c r="O777" t="s">
        <v>101</v>
      </c>
      <c r="P777">
        <v>487.98399999999998</v>
      </c>
    </row>
    <row r="778" spans="1:16">
      <c r="A778" s="4">
        <v>2016</v>
      </c>
      <c r="B778" s="4">
        <v>130890</v>
      </c>
      <c r="C778" t="s">
        <v>2012</v>
      </c>
      <c r="D778" t="s">
        <v>2538</v>
      </c>
      <c r="E778" t="s">
        <v>18</v>
      </c>
      <c r="F778" t="s">
        <v>2532</v>
      </c>
      <c r="G778" t="s">
        <v>2533</v>
      </c>
      <c r="H778" t="s">
        <v>33</v>
      </c>
      <c r="I778" t="s">
        <v>97</v>
      </c>
      <c r="J778" t="s">
        <v>64</v>
      </c>
      <c r="K778" t="s">
        <v>65</v>
      </c>
      <c r="L778" t="s">
        <v>66</v>
      </c>
      <c r="M778" t="s">
        <v>2539</v>
      </c>
      <c r="N778" t="s">
        <v>79</v>
      </c>
      <c r="O778" t="s">
        <v>347</v>
      </c>
      <c r="P778">
        <v>1038.8399999999999</v>
      </c>
    </row>
    <row r="779" spans="1:16">
      <c r="A779" s="4">
        <v>2015</v>
      </c>
      <c r="B779" s="4">
        <v>112403</v>
      </c>
      <c r="C779" t="s">
        <v>296</v>
      </c>
      <c r="D779" t="s">
        <v>296</v>
      </c>
      <c r="E779" t="s">
        <v>132</v>
      </c>
      <c r="F779" t="s">
        <v>2532</v>
      </c>
      <c r="G779" t="s">
        <v>2533</v>
      </c>
      <c r="H779" t="s">
        <v>33</v>
      </c>
      <c r="I779" t="s">
        <v>97</v>
      </c>
      <c r="J779" t="s">
        <v>23</v>
      </c>
      <c r="K779" t="s">
        <v>24</v>
      </c>
      <c r="L779" t="s">
        <v>25</v>
      </c>
      <c r="M779" t="s">
        <v>2540</v>
      </c>
      <c r="N779" t="s">
        <v>27</v>
      </c>
      <c r="O779" t="s">
        <v>101</v>
      </c>
      <c r="P779">
        <v>0.85199999999999998</v>
      </c>
    </row>
    <row r="780" spans="1:16">
      <c r="A780" s="4">
        <v>2017</v>
      </c>
      <c r="B780" s="4">
        <v>163594</v>
      </c>
      <c r="C780" t="s">
        <v>822</v>
      </c>
      <c r="D780" t="s">
        <v>2102</v>
      </c>
      <c r="E780" t="s">
        <v>42</v>
      </c>
      <c r="F780" t="s">
        <v>2541</v>
      </c>
      <c r="G780" t="s">
        <v>2542</v>
      </c>
      <c r="H780" t="s">
        <v>21</v>
      </c>
      <c r="I780" t="s">
        <v>97</v>
      </c>
      <c r="J780" t="s">
        <v>64</v>
      </c>
      <c r="K780" t="s">
        <v>65</v>
      </c>
      <c r="L780" t="s">
        <v>66</v>
      </c>
      <c r="M780" t="s">
        <v>2543</v>
      </c>
      <c r="N780" t="s">
        <v>27</v>
      </c>
      <c r="O780" t="s">
        <v>52</v>
      </c>
      <c r="P780">
        <v>19.440000000000001</v>
      </c>
    </row>
    <row r="781" spans="1:16">
      <c r="A781" s="4">
        <v>2018</v>
      </c>
      <c r="B781" s="4">
        <v>119578</v>
      </c>
      <c r="C781" t="s">
        <v>17</v>
      </c>
      <c r="D781" t="s">
        <v>1556</v>
      </c>
      <c r="E781" t="s">
        <v>144</v>
      </c>
      <c r="F781" t="s">
        <v>2544</v>
      </c>
      <c r="G781" t="s">
        <v>2545</v>
      </c>
      <c r="H781" t="s">
        <v>33</v>
      </c>
      <c r="I781" t="s">
        <v>22</v>
      </c>
      <c r="J781" t="s">
        <v>837</v>
      </c>
      <c r="K781" t="s">
        <v>838</v>
      </c>
      <c r="L781" t="s">
        <v>25</v>
      </c>
      <c r="M781" t="s">
        <v>2546</v>
      </c>
      <c r="N781" t="s">
        <v>27</v>
      </c>
      <c r="O781" t="s">
        <v>74</v>
      </c>
      <c r="P781">
        <v>695.16</v>
      </c>
    </row>
    <row r="782" spans="1:16">
      <c r="A782" s="4">
        <v>2017</v>
      </c>
      <c r="B782" s="4">
        <v>141957</v>
      </c>
      <c r="C782" t="s">
        <v>1244</v>
      </c>
      <c r="D782" t="s">
        <v>1244</v>
      </c>
      <c r="E782" t="s">
        <v>132</v>
      </c>
      <c r="F782" t="s">
        <v>2544</v>
      </c>
      <c r="G782" t="s">
        <v>2545</v>
      </c>
      <c r="H782" t="s">
        <v>33</v>
      </c>
      <c r="I782" t="s">
        <v>22</v>
      </c>
      <c r="J782" t="s">
        <v>987</v>
      </c>
      <c r="K782" t="s">
        <v>237</v>
      </c>
      <c r="L782" t="s">
        <v>25</v>
      </c>
      <c r="M782" t="s">
        <v>2547</v>
      </c>
      <c r="N782" t="s">
        <v>27</v>
      </c>
      <c r="O782" t="s">
        <v>28</v>
      </c>
      <c r="P782">
        <v>18.655999999999999</v>
      </c>
    </row>
    <row r="783" spans="1:16">
      <c r="A783" s="4">
        <v>2018</v>
      </c>
      <c r="B783" s="4">
        <v>129441</v>
      </c>
      <c r="C783" t="s">
        <v>475</v>
      </c>
      <c r="D783" t="s">
        <v>476</v>
      </c>
      <c r="E783" t="s">
        <v>18</v>
      </c>
      <c r="F783" t="s">
        <v>2548</v>
      </c>
      <c r="G783" t="s">
        <v>2549</v>
      </c>
      <c r="H783" t="s">
        <v>21</v>
      </c>
      <c r="I783" t="s">
        <v>97</v>
      </c>
      <c r="J783" t="s">
        <v>64</v>
      </c>
      <c r="K783" t="s">
        <v>65</v>
      </c>
      <c r="L783" t="s">
        <v>66</v>
      </c>
      <c r="M783" t="s">
        <v>2550</v>
      </c>
      <c r="N783" t="s">
        <v>79</v>
      </c>
      <c r="O783" t="s">
        <v>80</v>
      </c>
      <c r="P783">
        <v>47.94</v>
      </c>
    </row>
    <row r="784" spans="1:16">
      <c r="A784" s="4">
        <v>2018</v>
      </c>
      <c r="B784" s="4">
        <v>144113</v>
      </c>
      <c r="C784" t="s">
        <v>683</v>
      </c>
      <c r="D784" t="s">
        <v>2551</v>
      </c>
      <c r="E784" t="s">
        <v>18</v>
      </c>
      <c r="F784" t="s">
        <v>2552</v>
      </c>
      <c r="G784" t="s">
        <v>2553</v>
      </c>
      <c r="H784" t="s">
        <v>33</v>
      </c>
      <c r="I784" t="s">
        <v>97</v>
      </c>
      <c r="J784" t="s">
        <v>34</v>
      </c>
      <c r="K784" t="s">
        <v>35</v>
      </c>
      <c r="L784" t="s">
        <v>36</v>
      </c>
      <c r="M784" t="s">
        <v>2554</v>
      </c>
      <c r="N784" t="s">
        <v>27</v>
      </c>
      <c r="O784" t="s">
        <v>501</v>
      </c>
      <c r="P784">
        <v>17.568000000000001</v>
      </c>
    </row>
    <row r="785" spans="1:16">
      <c r="A785" s="4">
        <v>2018</v>
      </c>
      <c r="B785" s="4">
        <v>141103</v>
      </c>
      <c r="C785" t="s">
        <v>2555</v>
      </c>
      <c r="D785" t="s">
        <v>2216</v>
      </c>
      <c r="E785" t="s">
        <v>18</v>
      </c>
      <c r="F785" t="s">
        <v>2552</v>
      </c>
      <c r="G785" t="s">
        <v>2553</v>
      </c>
      <c r="H785" t="s">
        <v>33</v>
      </c>
      <c r="I785" t="s">
        <v>97</v>
      </c>
      <c r="J785" t="s">
        <v>705</v>
      </c>
      <c r="K785" t="s">
        <v>706</v>
      </c>
      <c r="L785" t="s">
        <v>25</v>
      </c>
      <c r="M785" t="s">
        <v>2556</v>
      </c>
      <c r="N785" t="s">
        <v>38</v>
      </c>
      <c r="O785" t="s">
        <v>118</v>
      </c>
      <c r="P785">
        <v>89.95</v>
      </c>
    </row>
    <row r="786" spans="1:16">
      <c r="A786" s="4">
        <v>2017</v>
      </c>
      <c r="B786" s="4">
        <v>152163</v>
      </c>
      <c r="C786" t="s">
        <v>2557</v>
      </c>
      <c r="D786" t="s">
        <v>2557</v>
      </c>
      <c r="E786" t="s">
        <v>132</v>
      </c>
      <c r="F786" t="s">
        <v>2552</v>
      </c>
      <c r="G786" t="s">
        <v>2553</v>
      </c>
      <c r="H786" t="s">
        <v>33</v>
      </c>
      <c r="I786" t="s">
        <v>97</v>
      </c>
      <c r="J786" t="s">
        <v>977</v>
      </c>
      <c r="K786" t="s">
        <v>1402</v>
      </c>
      <c r="L786" t="s">
        <v>45</v>
      </c>
      <c r="M786" t="s">
        <v>2558</v>
      </c>
      <c r="N786" t="s">
        <v>27</v>
      </c>
      <c r="O786" t="s">
        <v>101</v>
      </c>
      <c r="P786">
        <v>14.2</v>
      </c>
    </row>
    <row r="787" spans="1:16">
      <c r="A787" s="4">
        <v>2016</v>
      </c>
      <c r="B787" s="4">
        <v>142027</v>
      </c>
      <c r="C787" t="s">
        <v>2559</v>
      </c>
      <c r="D787" t="s">
        <v>2560</v>
      </c>
      <c r="E787" t="s">
        <v>18</v>
      </c>
      <c r="F787" t="s">
        <v>2561</v>
      </c>
      <c r="G787" t="s">
        <v>2562</v>
      </c>
      <c r="H787" t="s">
        <v>33</v>
      </c>
      <c r="I787" t="s">
        <v>97</v>
      </c>
      <c r="J787" t="s">
        <v>1130</v>
      </c>
      <c r="K787" t="s">
        <v>65</v>
      </c>
      <c r="L787" t="s">
        <v>66</v>
      </c>
      <c r="M787" t="s">
        <v>2563</v>
      </c>
      <c r="N787" t="s">
        <v>79</v>
      </c>
      <c r="O787" t="s">
        <v>347</v>
      </c>
      <c r="P787">
        <v>369.91199999999998</v>
      </c>
    </row>
    <row r="788" spans="1:16">
      <c r="A788" s="4">
        <v>2016</v>
      </c>
      <c r="B788" s="4">
        <v>127453</v>
      </c>
      <c r="C788" t="s">
        <v>2564</v>
      </c>
      <c r="D788" t="s">
        <v>600</v>
      </c>
      <c r="E788" t="s">
        <v>42</v>
      </c>
      <c r="F788" t="s">
        <v>2561</v>
      </c>
      <c r="G788" t="s">
        <v>2562</v>
      </c>
      <c r="H788" t="s">
        <v>33</v>
      </c>
      <c r="I788" t="s">
        <v>97</v>
      </c>
      <c r="J788" t="s">
        <v>23</v>
      </c>
      <c r="K788" t="s">
        <v>24</v>
      </c>
      <c r="L788" t="s">
        <v>25</v>
      </c>
      <c r="M788" t="s">
        <v>2565</v>
      </c>
      <c r="N788" t="s">
        <v>27</v>
      </c>
      <c r="O788" t="s">
        <v>228</v>
      </c>
      <c r="P788">
        <v>434.35199999999998</v>
      </c>
    </row>
    <row r="789" spans="1:16">
      <c r="A789" s="4">
        <v>2015</v>
      </c>
      <c r="B789" s="4">
        <v>102715</v>
      </c>
      <c r="C789" t="s">
        <v>2566</v>
      </c>
      <c r="D789" t="s">
        <v>756</v>
      </c>
      <c r="E789" t="s">
        <v>144</v>
      </c>
      <c r="F789" t="s">
        <v>2561</v>
      </c>
      <c r="G789" t="s">
        <v>2562</v>
      </c>
      <c r="H789" t="s">
        <v>33</v>
      </c>
      <c r="I789" t="s">
        <v>97</v>
      </c>
      <c r="J789" t="s">
        <v>437</v>
      </c>
      <c r="K789" t="s">
        <v>196</v>
      </c>
      <c r="L789" t="s">
        <v>45</v>
      </c>
      <c r="M789" t="s">
        <v>2567</v>
      </c>
      <c r="N789" t="s">
        <v>27</v>
      </c>
      <c r="O789" t="s">
        <v>452</v>
      </c>
      <c r="P789">
        <v>6.9119999999999999</v>
      </c>
    </row>
    <row r="790" spans="1:16">
      <c r="A790" s="4">
        <v>2018</v>
      </c>
      <c r="B790" s="4">
        <v>108560</v>
      </c>
      <c r="C790" t="s">
        <v>2568</v>
      </c>
      <c r="D790" t="s">
        <v>2569</v>
      </c>
      <c r="E790" t="s">
        <v>18</v>
      </c>
      <c r="F790" t="s">
        <v>2570</v>
      </c>
      <c r="G790" t="s">
        <v>2571</v>
      </c>
      <c r="H790" t="s">
        <v>21</v>
      </c>
      <c r="I790" t="s">
        <v>97</v>
      </c>
      <c r="J790" t="s">
        <v>2572</v>
      </c>
      <c r="K790" t="s">
        <v>165</v>
      </c>
      <c r="L790" t="s">
        <v>66</v>
      </c>
      <c r="M790" t="s">
        <v>2573</v>
      </c>
      <c r="N790" t="s">
        <v>79</v>
      </c>
      <c r="O790" t="s">
        <v>80</v>
      </c>
      <c r="P790">
        <v>198.46</v>
      </c>
    </row>
    <row r="791" spans="1:16">
      <c r="A791" s="4">
        <v>2015</v>
      </c>
      <c r="B791" s="4">
        <v>100853</v>
      </c>
      <c r="C791" t="s">
        <v>661</v>
      </c>
      <c r="D791" t="s">
        <v>662</v>
      </c>
      <c r="E791" t="s">
        <v>18</v>
      </c>
      <c r="F791" t="s">
        <v>2574</v>
      </c>
      <c r="G791" t="s">
        <v>2575</v>
      </c>
      <c r="H791" t="s">
        <v>33</v>
      </c>
      <c r="I791" t="s">
        <v>22</v>
      </c>
      <c r="J791" t="s">
        <v>108</v>
      </c>
      <c r="K791" t="s">
        <v>109</v>
      </c>
      <c r="L791" t="s">
        <v>36</v>
      </c>
      <c r="M791" t="s">
        <v>2576</v>
      </c>
      <c r="N791" t="s">
        <v>27</v>
      </c>
      <c r="O791" t="s">
        <v>228</v>
      </c>
      <c r="P791">
        <v>52.448</v>
      </c>
    </row>
    <row r="792" spans="1:16">
      <c r="A792" s="4">
        <v>2016</v>
      </c>
      <c r="B792" s="4">
        <v>104185</v>
      </c>
      <c r="C792" t="s">
        <v>2577</v>
      </c>
      <c r="D792" t="s">
        <v>2578</v>
      </c>
      <c r="E792" t="s">
        <v>144</v>
      </c>
      <c r="F792" t="s">
        <v>2574</v>
      </c>
      <c r="G792" t="s">
        <v>2575</v>
      </c>
      <c r="H792" t="s">
        <v>33</v>
      </c>
      <c r="I792" t="s">
        <v>22</v>
      </c>
      <c r="J792" t="s">
        <v>49</v>
      </c>
      <c r="K792" t="s">
        <v>50</v>
      </c>
      <c r="L792" t="s">
        <v>25</v>
      </c>
      <c r="M792" t="s">
        <v>519</v>
      </c>
      <c r="N792" t="s">
        <v>27</v>
      </c>
      <c r="O792" t="s">
        <v>58</v>
      </c>
      <c r="P792">
        <v>120.33</v>
      </c>
    </row>
    <row r="793" spans="1:16">
      <c r="A793" s="4">
        <v>2016</v>
      </c>
      <c r="B793" s="4">
        <v>145821</v>
      </c>
      <c r="C793" t="s">
        <v>2579</v>
      </c>
      <c r="D793" t="s">
        <v>1259</v>
      </c>
      <c r="E793" t="s">
        <v>18</v>
      </c>
      <c r="F793" t="s">
        <v>2574</v>
      </c>
      <c r="G793" t="s">
        <v>2575</v>
      </c>
      <c r="H793" t="s">
        <v>33</v>
      </c>
      <c r="I793" t="s">
        <v>22</v>
      </c>
      <c r="J793" t="s">
        <v>64</v>
      </c>
      <c r="K793" t="s">
        <v>65</v>
      </c>
      <c r="L793" t="s">
        <v>66</v>
      </c>
      <c r="M793" t="s">
        <v>2580</v>
      </c>
      <c r="N793" t="s">
        <v>38</v>
      </c>
      <c r="O793" t="s">
        <v>118</v>
      </c>
      <c r="P793">
        <v>88.751999999999995</v>
      </c>
    </row>
    <row r="794" spans="1:16">
      <c r="A794" s="4">
        <v>2018</v>
      </c>
      <c r="B794" s="4">
        <v>158246</v>
      </c>
      <c r="C794" t="s">
        <v>975</v>
      </c>
      <c r="D794" t="s">
        <v>2021</v>
      </c>
      <c r="E794" t="s">
        <v>42</v>
      </c>
      <c r="F794" t="s">
        <v>2574</v>
      </c>
      <c r="G794" t="s">
        <v>2575</v>
      </c>
      <c r="H794" t="s">
        <v>33</v>
      </c>
      <c r="I794" t="s">
        <v>22</v>
      </c>
      <c r="J794" t="s">
        <v>2581</v>
      </c>
      <c r="K794" t="s">
        <v>65</v>
      </c>
      <c r="L794" t="s">
        <v>66</v>
      </c>
      <c r="M794" t="s">
        <v>2582</v>
      </c>
      <c r="N794" t="s">
        <v>79</v>
      </c>
      <c r="O794" t="s">
        <v>138</v>
      </c>
      <c r="P794">
        <v>215.976</v>
      </c>
    </row>
    <row r="795" spans="1:16">
      <c r="A795" s="4">
        <v>2017</v>
      </c>
      <c r="B795" s="4">
        <v>165316</v>
      </c>
      <c r="C795" t="s">
        <v>2583</v>
      </c>
      <c r="D795" t="s">
        <v>1132</v>
      </c>
      <c r="E795" t="s">
        <v>18</v>
      </c>
      <c r="F795" t="s">
        <v>2574</v>
      </c>
      <c r="G795" t="s">
        <v>2575</v>
      </c>
      <c r="H795" t="s">
        <v>33</v>
      </c>
      <c r="I795" t="s">
        <v>22</v>
      </c>
      <c r="J795" t="s">
        <v>241</v>
      </c>
      <c r="K795" t="s">
        <v>196</v>
      </c>
      <c r="L795" t="s">
        <v>45</v>
      </c>
      <c r="M795" t="s">
        <v>2584</v>
      </c>
      <c r="N795" t="s">
        <v>27</v>
      </c>
      <c r="O795" t="s">
        <v>28</v>
      </c>
      <c r="P795">
        <v>35.216000000000001</v>
      </c>
    </row>
    <row r="796" spans="1:16">
      <c r="A796" s="4">
        <v>2015</v>
      </c>
      <c r="B796" s="4">
        <v>166828</v>
      </c>
      <c r="C796" t="s">
        <v>2585</v>
      </c>
      <c r="D796" t="s">
        <v>2586</v>
      </c>
      <c r="E796" t="s">
        <v>42</v>
      </c>
      <c r="F796" t="s">
        <v>2587</v>
      </c>
      <c r="G796" t="s">
        <v>2588</v>
      </c>
      <c r="H796" t="s">
        <v>33</v>
      </c>
      <c r="I796" t="s">
        <v>97</v>
      </c>
      <c r="J796" t="s">
        <v>937</v>
      </c>
      <c r="K796" t="s">
        <v>99</v>
      </c>
      <c r="L796" t="s">
        <v>36</v>
      </c>
      <c r="M796" t="s">
        <v>2589</v>
      </c>
      <c r="N796" t="s">
        <v>27</v>
      </c>
      <c r="O796" t="s">
        <v>52</v>
      </c>
      <c r="P796">
        <v>11.56</v>
      </c>
    </row>
    <row r="797" spans="1:16">
      <c r="A797" s="4">
        <v>2016</v>
      </c>
      <c r="B797" s="4">
        <v>105844</v>
      </c>
      <c r="C797" t="s">
        <v>2385</v>
      </c>
      <c r="D797" t="s">
        <v>2590</v>
      </c>
      <c r="E797" t="s">
        <v>144</v>
      </c>
      <c r="F797" t="s">
        <v>2587</v>
      </c>
      <c r="G797" t="s">
        <v>2588</v>
      </c>
      <c r="H797" t="s">
        <v>33</v>
      </c>
      <c r="I797" t="s">
        <v>97</v>
      </c>
      <c r="J797" t="s">
        <v>2591</v>
      </c>
      <c r="K797" t="s">
        <v>91</v>
      </c>
      <c r="L797" t="s">
        <v>66</v>
      </c>
      <c r="M797" t="s">
        <v>2592</v>
      </c>
      <c r="N797" t="s">
        <v>27</v>
      </c>
      <c r="O797" t="s">
        <v>28</v>
      </c>
      <c r="P797">
        <v>79.36</v>
      </c>
    </row>
    <row r="798" spans="1:16">
      <c r="A798" s="4">
        <v>2018</v>
      </c>
      <c r="B798" s="4">
        <v>121818</v>
      </c>
      <c r="C798" t="s">
        <v>984</v>
      </c>
      <c r="D798" t="s">
        <v>143</v>
      </c>
      <c r="E798" t="s">
        <v>42</v>
      </c>
      <c r="F798" t="s">
        <v>2593</v>
      </c>
      <c r="G798" t="s">
        <v>2594</v>
      </c>
      <c r="H798" t="s">
        <v>21</v>
      </c>
      <c r="I798" t="s">
        <v>97</v>
      </c>
      <c r="J798" t="s">
        <v>2285</v>
      </c>
      <c r="K798" t="s">
        <v>44</v>
      </c>
      <c r="L798" t="s">
        <v>45</v>
      </c>
      <c r="M798" t="s">
        <v>2595</v>
      </c>
      <c r="N798" t="s">
        <v>27</v>
      </c>
      <c r="O798" t="s">
        <v>28</v>
      </c>
      <c r="P798">
        <v>23.968</v>
      </c>
    </row>
    <row r="799" spans="1:16">
      <c r="A799" s="4">
        <v>2017</v>
      </c>
      <c r="B799" s="4">
        <v>163986</v>
      </c>
      <c r="C799" t="s">
        <v>70</v>
      </c>
      <c r="D799" t="s">
        <v>486</v>
      </c>
      <c r="E799" t="s">
        <v>18</v>
      </c>
      <c r="F799" t="s">
        <v>2596</v>
      </c>
      <c r="G799" t="s">
        <v>2597</v>
      </c>
      <c r="H799" t="s">
        <v>33</v>
      </c>
      <c r="I799" t="s">
        <v>97</v>
      </c>
      <c r="J799" t="s">
        <v>2598</v>
      </c>
      <c r="K799" t="s">
        <v>478</v>
      </c>
      <c r="L799" t="s">
        <v>36</v>
      </c>
      <c r="M799" t="s">
        <v>2599</v>
      </c>
      <c r="N799" t="s">
        <v>27</v>
      </c>
      <c r="O799" t="s">
        <v>58</v>
      </c>
      <c r="P799">
        <v>54.5</v>
      </c>
    </row>
    <row r="800" spans="1:16">
      <c r="A800" s="4">
        <v>2016</v>
      </c>
      <c r="B800" s="4">
        <v>127418</v>
      </c>
      <c r="C800" t="s">
        <v>1641</v>
      </c>
      <c r="D800" t="s">
        <v>175</v>
      </c>
      <c r="E800" t="s">
        <v>42</v>
      </c>
      <c r="F800" t="s">
        <v>2596</v>
      </c>
      <c r="G800" t="s">
        <v>2597</v>
      </c>
      <c r="H800" t="s">
        <v>33</v>
      </c>
      <c r="I800" t="s">
        <v>97</v>
      </c>
      <c r="J800" t="s">
        <v>64</v>
      </c>
      <c r="K800" t="s">
        <v>65</v>
      </c>
      <c r="L800" t="s">
        <v>66</v>
      </c>
      <c r="M800" t="s">
        <v>2600</v>
      </c>
      <c r="N800" t="s">
        <v>27</v>
      </c>
      <c r="O800" t="s">
        <v>101</v>
      </c>
      <c r="P800">
        <v>36.624000000000002</v>
      </c>
    </row>
    <row r="801" spans="1:16">
      <c r="A801" s="4">
        <v>2017</v>
      </c>
      <c r="B801" s="4">
        <v>161676</v>
      </c>
      <c r="C801" t="s">
        <v>2601</v>
      </c>
      <c r="D801" t="s">
        <v>2583</v>
      </c>
      <c r="E801" t="s">
        <v>18</v>
      </c>
      <c r="F801" t="s">
        <v>2602</v>
      </c>
      <c r="G801" t="s">
        <v>2603</v>
      </c>
      <c r="H801" t="s">
        <v>33</v>
      </c>
      <c r="I801" t="s">
        <v>22</v>
      </c>
      <c r="J801" t="s">
        <v>595</v>
      </c>
      <c r="K801" t="s">
        <v>136</v>
      </c>
      <c r="L801" t="s">
        <v>66</v>
      </c>
      <c r="M801" t="s">
        <v>2604</v>
      </c>
      <c r="N801" t="s">
        <v>27</v>
      </c>
      <c r="O801" t="s">
        <v>74</v>
      </c>
      <c r="P801">
        <v>33.799999999999997</v>
      </c>
    </row>
    <row r="802" spans="1:16">
      <c r="A802" s="4">
        <v>2015</v>
      </c>
      <c r="B802" s="4">
        <v>107916</v>
      </c>
      <c r="C802" t="s">
        <v>1873</v>
      </c>
      <c r="D802" t="s">
        <v>1874</v>
      </c>
      <c r="E802" t="s">
        <v>42</v>
      </c>
      <c r="F802" t="s">
        <v>2602</v>
      </c>
      <c r="G802" t="s">
        <v>2603</v>
      </c>
      <c r="H802" t="s">
        <v>33</v>
      </c>
      <c r="I802" t="s">
        <v>22</v>
      </c>
      <c r="J802" t="s">
        <v>1588</v>
      </c>
      <c r="K802" t="s">
        <v>50</v>
      </c>
      <c r="L802" t="s">
        <v>25</v>
      </c>
      <c r="M802" t="s">
        <v>2605</v>
      </c>
      <c r="N802" t="s">
        <v>79</v>
      </c>
      <c r="O802" t="s">
        <v>80</v>
      </c>
      <c r="P802">
        <v>13.28</v>
      </c>
    </row>
    <row r="803" spans="1:16">
      <c r="A803" s="4">
        <v>2018</v>
      </c>
      <c r="B803" s="4">
        <v>104906</v>
      </c>
      <c r="C803" t="s">
        <v>1064</v>
      </c>
      <c r="D803" t="s">
        <v>1518</v>
      </c>
      <c r="E803" t="s">
        <v>18</v>
      </c>
      <c r="F803" t="s">
        <v>2602</v>
      </c>
      <c r="G803" t="s">
        <v>2603</v>
      </c>
      <c r="H803" t="s">
        <v>33</v>
      </c>
      <c r="I803" t="s">
        <v>22</v>
      </c>
      <c r="J803" t="s">
        <v>49</v>
      </c>
      <c r="K803" t="s">
        <v>50</v>
      </c>
      <c r="L803" t="s">
        <v>25</v>
      </c>
      <c r="M803" t="s">
        <v>2606</v>
      </c>
      <c r="N803" t="s">
        <v>27</v>
      </c>
      <c r="O803" t="s">
        <v>52</v>
      </c>
      <c r="P803">
        <v>17.940000000000001</v>
      </c>
    </row>
    <row r="804" spans="1:16">
      <c r="A804" s="4">
        <v>2016</v>
      </c>
      <c r="B804" s="4">
        <v>112116</v>
      </c>
      <c r="C804" t="s">
        <v>1321</v>
      </c>
      <c r="D804" t="s">
        <v>2607</v>
      </c>
      <c r="E804" t="s">
        <v>144</v>
      </c>
      <c r="F804" t="s">
        <v>2608</v>
      </c>
      <c r="G804" t="s">
        <v>2609</v>
      </c>
      <c r="H804" t="s">
        <v>33</v>
      </c>
      <c r="I804" t="s">
        <v>97</v>
      </c>
      <c r="J804" t="s">
        <v>271</v>
      </c>
      <c r="K804" t="s">
        <v>165</v>
      </c>
      <c r="L804" t="s">
        <v>66</v>
      </c>
      <c r="M804" t="s">
        <v>2610</v>
      </c>
      <c r="N804" t="s">
        <v>79</v>
      </c>
      <c r="O804" t="s">
        <v>347</v>
      </c>
      <c r="P804">
        <v>171.96</v>
      </c>
    </row>
    <row r="805" spans="1:16">
      <c r="A805" s="4">
        <v>2018</v>
      </c>
      <c r="B805" s="4">
        <v>132934</v>
      </c>
      <c r="C805" t="s">
        <v>1380</v>
      </c>
      <c r="D805" t="s">
        <v>1253</v>
      </c>
      <c r="E805" t="s">
        <v>18</v>
      </c>
      <c r="F805" t="s">
        <v>2608</v>
      </c>
      <c r="G805" t="s">
        <v>2609</v>
      </c>
      <c r="H805" t="s">
        <v>33</v>
      </c>
      <c r="I805" t="s">
        <v>97</v>
      </c>
      <c r="J805" t="s">
        <v>2611</v>
      </c>
      <c r="K805" t="s">
        <v>50</v>
      </c>
      <c r="L805" t="s">
        <v>25</v>
      </c>
      <c r="M805" t="s">
        <v>2612</v>
      </c>
      <c r="N805" t="s">
        <v>38</v>
      </c>
      <c r="O805" t="s">
        <v>68</v>
      </c>
      <c r="P805">
        <v>149.94999999999999</v>
      </c>
    </row>
    <row r="806" spans="1:16">
      <c r="A806" s="4">
        <v>2015</v>
      </c>
      <c r="B806" s="4">
        <v>117317</v>
      </c>
      <c r="C806" t="s">
        <v>2613</v>
      </c>
      <c r="D806" t="s">
        <v>2613</v>
      </c>
      <c r="E806" t="s">
        <v>132</v>
      </c>
      <c r="F806" t="s">
        <v>2614</v>
      </c>
      <c r="G806" t="s">
        <v>2615</v>
      </c>
      <c r="H806" t="s">
        <v>33</v>
      </c>
      <c r="I806" t="s">
        <v>97</v>
      </c>
      <c r="J806" t="s">
        <v>64</v>
      </c>
      <c r="K806" t="s">
        <v>65</v>
      </c>
      <c r="L806" t="s">
        <v>66</v>
      </c>
      <c r="M806" t="s">
        <v>2616</v>
      </c>
      <c r="N806" t="s">
        <v>27</v>
      </c>
      <c r="O806" t="s">
        <v>52</v>
      </c>
      <c r="P806">
        <v>13.44</v>
      </c>
    </row>
    <row r="807" spans="1:16">
      <c r="A807" s="4">
        <v>2016</v>
      </c>
      <c r="B807" s="4">
        <v>130736</v>
      </c>
      <c r="C807" t="s">
        <v>872</v>
      </c>
      <c r="D807" t="s">
        <v>2617</v>
      </c>
      <c r="E807" t="s">
        <v>42</v>
      </c>
      <c r="F807" t="s">
        <v>2614</v>
      </c>
      <c r="G807" t="s">
        <v>2615</v>
      </c>
      <c r="H807" t="s">
        <v>33</v>
      </c>
      <c r="I807" t="s">
        <v>97</v>
      </c>
      <c r="J807" t="s">
        <v>271</v>
      </c>
      <c r="K807" t="s">
        <v>165</v>
      </c>
      <c r="L807" t="s">
        <v>66</v>
      </c>
      <c r="M807" t="s">
        <v>2618</v>
      </c>
      <c r="N807" t="s">
        <v>27</v>
      </c>
      <c r="O807" t="s">
        <v>452</v>
      </c>
      <c r="P807">
        <v>3.96</v>
      </c>
    </row>
    <row r="808" spans="1:16">
      <c r="A808" s="4">
        <v>2018</v>
      </c>
      <c r="B808" s="4">
        <v>159884</v>
      </c>
      <c r="C808" t="s">
        <v>2619</v>
      </c>
      <c r="D808" t="s">
        <v>920</v>
      </c>
      <c r="E808" t="s">
        <v>18</v>
      </c>
      <c r="F808" t="s">
        <v>2614</v>
      </c>
      <c r="G808" t="s">
        <v>2615</v>
      </c>
      <c r="H808" t="s">
        <v>33</v>
      </c>
      <c r="I808" t="s">
        <v>97</v>
      </c>
      <c r="J808" t="s">
        <v>2035</v>
      </c>
      <c r="K808" t="s">
        <v>136</v>
      </c>
      <c r="L808" t="s">
        <v>66</v>
      </c>
      <c r="M808" t="s">
        <v>2620</v>
      </c>
      <c r="N808" t="s">
        <v>27</v>
      </c>
      <c r="O808" t="s">
        <v>58</v>
      </c>
      <c r="P808">
        <v>10.744</v>
      </c>
    </row>
    <row r="809" spans="1:16">
      <c r="A809" s="4">
        <v>2016</v>
      </c>
      <c r="B809" s="4">
        <v>133445</v>
      </c>
      <c r="C809" t="s">
        <v>2621</v>
      </c>
      <c r="D809" t="s">
        <v>1650</v>
      </c>
      <c r="E809" t="s">
        <v>18</v>
      </c>
      <c r="F809" t="s">
        <v>2614</v>
      </c>
      <c r="G809" t="s">
        <v>2615</v>
      </c>
      <c r="H809" t="s">
        <v>33</v>
      </c>
      <c r="I809" t="s">
        <v>97</v>
      </c>
      <c r="J809" t="s">
        <v>1734</v>
      </c>
      <c r="K809" t="s">
        <v>323</v>
      </c>
      <c r="L809" t="s">
        <v>66</v>
      </c>
      <c r="M809" t="s">
        <v>2622</v>
      </c>
      <c r="N809" t="s">
        <v>79</v>
      </c>
      <c r="O809" t="s">
        <v>286</v>
      </c>
      <c r="P809">
        <v>66.293999999999997</v>
      </c>
    </row>
    <row r="810" spans="1:16">
      <c r="A810" s="4">
        <v>2015</v>
      </c>
      <c r="B810" s="4">
        <v>162362</v>
      </c>
      <c r="C810" t="s">
        <v>1047</v>
      </c>
      <c r="D810" t="s">
        <v>444</v>
      </c>
      <c r="E810" t="s">
        <v>18</v>
      </c>
      <c r="F810" t="s">
        <v>2623</v>
      </c>
      <c r="G810" t="s">
        <v>2624</v>
      </c>
      <c r="H810" t="s">
        <v>33</v>
      </c>
      <c r="I810" t="s">
        <v>97</v>
      </c>
      <c r="J810" t="s">
        <v>2625</v>
      </c>
      <c r="K810" t="s">
        <v>855</v>
      </c>
      <c r="L810" t="s">
        <v>36</v>
      </c>
      <c r="M810" t="s">
        <v>2626</v>
      </c>
      <c r="N810" t="s">
        <v>27</v>
      </c>
      <c r="O810" t="s">
        <v>101</v>
      </c>
      <c r="P810">
        <v>12.72</v>
      </c>
    </row>
    <row r="811" spans="1:16">
      <c r="A811" s="4">
        <v>2017</v>
      </c>
      <c r="B811" s="4">
        <v>138520</v>
      </c>
      <c r="C811" t="s">
        <v>675</v>
      </c>
      <c r="D811" t="s">
        <v>2627</v>
      </c>
      <c r="E811" t="s">
        <v>18</v>
      </c>
      <c r="F811" t="s">
        <v>2623</v>
      </c>
      <c r="G811" t="s">
        <v>2624</v>
      </c>
      <c r="H811" t="s">
        <v>33</v>
      </c>
      <c r="I811" t="s">
        <v>97</v>
      </c>
      <c r="J811" t="s">
        <v>49</v>
      </c>
      <c r="K811" t="s">
        <v>50</v>
      </c>
      <c r="L811" t="s">
        <v>25</v>
      </c>
      <c r="M811" t="s">
        <v>2628</v>
      </c>
      <c r="N811" t="s">
        <v>79</v>
      </c>
      <c r="O811" t="s">
        <v>286</v>
      </c>
      <c r="P811">
        <v>388.70400000000001</v>
      </c>
    </row>
    <row r="812" spans="1:16">
      <c r="A812" s="4">
        <v>2015</v>
      </c>
      <c r="B812" s="4">
        <v>103590</v>
      </c>
      <c r="C812" t="s">
        <v>2370</v>
      </c>
      <c r="D812" t="s">
        <v>1181</v>
      </c>
      <c r="E812" t="s">
        <v>18</v>
      </c>
      <c r="F812" t="s">
        <v>2623</v>
      </c>
      <c r="G812" t="s">
        <v>2624</v>
      </c>
      <c r="H812" t="s">
        <v>33</v>
      </c>
      <c r="I812" t="s">
        <v>97</v>
      </c>
      <c r="J812" t="s">
        <v>2629</v>
      </c>
      <c r="K812" t="s">
        <v>50</v>
      </c>
      <c r="L812" t="s">
        <v>25</v>
      </c>
      <c r="M812" t="s">
        <v>2630</v>
      </c>
      <c r="N812" t="s">
        <v>27</v>
      </c>
      <c r="O812" t="s">
        <v>501</v>
      </c>
      <c r="P812">
        <v>62.28</v>
      </c>
    </row>
    <row r="813" spans="1:16">
      <c r="A813" s="4">
        <v>2015</v>
      </c>
      <c r="B813" s="4">
        <v>144666</v>
      </c>
      <c r="C813" t="s">
        <v>2631</v>
      </c>
      <c r="D813" t="s">
        <v>2632</v>
      </c>
      <c r="E813" t="s">
        <v>144</v>
      </c>
      <c r="F813" t="s">
        <v>2633</v>
      </c>
      <c r="G813" t="s">
        <v>2634</v>
      </c>
      <c r="H813" t="s">
        <v>33</v>
      </c>
      <c r="I813" t="s">
        <v>97</v>
      </c>
      <c r="J813" t="s">
        <v>226</v>
      </c>
      <c r="K813" t="s">
        <v>65</v>
      </c>
      <c r="L813" t="s">
        <v>66</v>
      </c>
      <c r="M813" t="s">
        <v>2635</v>
      </c>
      <c r="N813" t="s">
        <v>27</v>
      </c>
      <c r="O813" t="s">
        <v>58</v>
      </c>
      <c r="P813">
        <v>340.92</v>
      </c>
    </row>
    <row r="814" spans="1:16">
      <c r="A814" s="4">
        <v>2015</v>
      </c>
      <c r="B814" s="4">
        <v>130918</v>
      </c>
      <c r="C814" t="s">
        <v>2585</v>
      </c>
      <c r="D814" t="s">
        <v>1873</v>
      </c>
      <c r="E814" t="s">
        <v>144</v>
      </c>
      <c r="F814" t="s">
        <v>2633</v>
      </c>
      <c r="G814" t="s">
        <v>2634</v>
      </c>
      <c r="H814" t="s">
        <v>33</v>
      </c>
      <c r="I814" t="s">
        <v>97</v>
      </c>
      <c r="J814" t="s">
        <v>2636</v>
      </c>
      <c r="K814" t="s">
        <v>196</v>
      </c>
      <c r="L814" t="s">
        <v>45</v>
      </c>
      <c r="M814" t="s">
        <v>2637</v>
      </c>
      <c r="N814" t="s">
        <v>27</v>
      </c>
      <c r="O814" t="s">
        <v>74</v>
      </c>
      <c r="P814">
        <v>7.6319999999999997</v>
      </c>
    </row>
    <row r="815" spans="1:16">
      <c r="A815" s="4">
        <v>2016</v>
      </c>
      <c r="B815" s="4">
        <v>145401</v>
      </c>
      <c r="C815" t="s">
        <v>1217</v>
      </c>
      <c r="D815" t="s">
        <v>2638</v>
      </c>
      <c r="E815" t="s">
        <v>18</v>
      </c>
      <c r="F815" t="s">
        <v>2633</v>
      </c>
      <c r="G815" t="s">
        <v>2634</v>
      </c>
      <c r="H815" t="s">
        <v>33</v>
      </c>
      <c r="I815" t="s">
        <v>97</v>
      </c>
      <c r="J815" t="s">
        <v>183</v>
      </c>
      <c r="K815" t="s">
        <v>35</v>
      </c>
      <c r="L815" t="s">
        <v>36</v>
      </c>
      <c r="M815" t="s">
        <v>2639</v>
      </c>
      <c r="N815" t="s">
        <v>27</v>
      </c>
      <c r="O815" t="s">
        <v>52</v>
      </c>
      <c r="P815">
        <v>14.304</v>
      </c>
    </row>
    <row r="816" spans="1:16">
      <c r="A816" s="4">
        <v>2018</v>
      </c>
      <c r="B816" s="4">
        <v>117324</v>
      </c>
      <c r="C816" t="s">
        <v>224</v>
      </c>
      <c r="D816" t="s">
        <v>1294</v>
      </c>
      <c r="E816" t="s">
        <v>18</v>
      </c>
      <c r="F816" t="s">
        <v>2633</v>
      </c>
      <c r="G816" t="s">
        <v>2634</v>
      </c>
      <c r="H816" t="s">
        <v>33</v>
      </c>
      <c r="I816" t="s">
        <v>97</v>
      </c>
      <c r="J816" t="s">
        <v>2640</v>
      </c>
      <c r="K816" t="s">
        <v>478</v>
      </c>
      <c r="L816" t="s">
        <v>36</v>
      </c>
      <c r="M816" t="s">
        <v>2641</v>
      </c>
      <c r="N816" t="s">
        <v>38</v>
      </c>
      <c r="O816" t="s">
        <v>68</v>
      </c>
      <c r="P816">
        <v>178.11</v>
      </c>
    </row>
    <row r="817" spans="1:16">
      <c r="A817" s="4">
        <v>2015</v>
      </c>
      <c r="B817" s="4">
        <v>132962</v>
      </c>
      <c r="C817" t="s">
        <v>1543</v>
      </c>
      <c r="D817" t="s">
        <v>2642</v>
      </c>
      <c r="E817" t="s">
        <v>42</v>
      </c>
      <c r="F817" t="s">
        <v>2643</v>
      </c>
      <c r="G817" t="s">
        <v>2644</v>
      </c>
      <c r="H817" t="s">
        <v>33</v>
      </c>
      <c r="I817" t="s">
        <v>97</v>
      </c>
      <c r="J817" t="s">
        <v>23</v>
      </c>
      <c r="K817" t="s">
        <v>24</v>
      </c>
      <c r="L817" t="s">
        <v>25</v>
      </c>
      <c r="M817" t="s">
        <v>2645</v>
      </c>
      <c r="N817" t="s">
        <v>27</v>
      </c>
      <c r="O817" t="s">
        <v>52</v>
      </c>
      <c r="P817">
        <v>15.552</v>
      </c>
    </row>
    <row r="818" spans="1:16">
      <c r="A818" s="4">
        <v>2016</v>
      </c>
      <c r="B818" s="4">
        <v>138534</v>
      </c>
      <c r="C818" t="s">
        <v>2646</v>
      </c>
      <c r="D818" t="s">
        <v>2647</v>
      </c>
      <c r="E818" t="s">
        <v>144</v>
      </c>
      <c r="F818" t="s">
        <v>2643</v>
      </c>
      <c r="G818" t="s">
        <v>2644</v>
      </c>
      <c r="H818" t="s">
        <v>33</v>
      </c>
      <c r="I818" t="s">
        <v>97</v>
      </c>
      <c r="J818" t="s">
        <v>2242</v>
      </c>
      <c r="K818" t="s">
        <v>65</v>
      </c>
      <c r="L818" t="s">
        <v>66</v>
      </c>
      <c r="M818" t="s">
        <v>2648</v>
      </c>
      <c r="N818" t="s">
        <v>79</v>
      </c>
      <c r="O818" t="s">
        <v>286</v>
      </c>
      <c r="P818">
        <v>195.46600000000001</v>
      </c>
    </row>
    <row r="819" spans="1:16">
      <c r="A819" s="4">
        <v>2018</v>
      </c>
      <c r="B819" s="4">
        <v>148866</v>
      </c>
      <c r="C819" t="s">
        <v>926</v>
      </c>
      <c r="D819" t="s">
        <v>469</v>
      </c>
      <c r="E819" t="s">
        <v>18</v>
      </c>
      <c r="F819" t="s">
        <v>2643</v>
      </c>
      <c r="G819" t="s">
        <v>2644</v>
      </c>
      <c r="H819" t="s">
        <v>33</v>
      </c>
      <c r="I819" t="s">
        <v>97</v>
      </c>
      <c r="J819" t="s">
        <v>49</v>
      </c>
      <c r="K819" t="s">
        <v>50</v>
      </c>
      <c r="L819" t="s">
        <v>25</v>
      </c>
      <c r="M819" t="s">
        <v>2604</v>
      </c>
      <c r="N819" t="s">
        <v>27</v>
      </c>
      <c r="O819" t="s">
        <v>52</v>
      </c>
      <c r="P819">
        <v>32.4</v>
      </c>
    </row>
    <row r="820" spans="1:16">
      <c r="A820" s="4">
        <v>2018</v>
      </c>
      <c r="B820" s="4">
        <v>138086</v>
      </c>
      <c r="C820" t="s">
        <v>1943</v>
      </c>
      <c r="D820" t="s">
        <v>386</v>
      </c>
      <c r="E820" t="s">
        <v>18</v>
      </c>
      <c r="F820" t="s">
        <v>2649</v>
      </c>
      <c r="G820" t="s">
        <v>2650</v>
      </c>
      <c r="H820" t="s">
        <v>21</v>
      </c>
      <c r="I820" t="s">
        <v>63</v>
      </c>
      <c r="J820" t="s">
        <v>226</v>
      </c>
      <c r="K820" t="s">
        <v>65</v>
      </c>
      <c r="L820" t="s">
        <v>66</v>
      </c>
      <c r="M820" t="s">
        <v>2651</v>
      </c>
      <c r="N820" t="s">
        <v>27</v>
      </c>
      <c r="O820" t="s">
        <v>228</v>
      </c>
      <c r="P820">
        <v>40.74</v>
      </c>
    </row>
    <row r="821" spans="1:16">
      <c r="A821" s="4">
        <v>2016</v>
      </c>
      <c r="B821" s="4">
        <v>137750</v>
      </c>
      <c r="C821" t="s">
        <v>167</v>
      </c>
      <c r="D821" t="s">
        <v>2652</v>
      </c>
      <c r="E821" t="s">
        <v>18</v>
      </c>
      <c r="F821" t="s">
        <v>2653</v>
      </c>
      <c r="G821" t="s">
        <v>2654</v>
      </c>
      <c r="H821" t="s">
        <v>33</v>
      </c>
      <c r="I821" t="s">
        <v>97</v>
      </c>
      <c r="J821" t="s">
        <v>226</v>
      </c>
      <c r="K821" t="s">
        <v>65</v>
      </c>
      <c r="L821" t="s">
        <v>66</v>
      </c>
      <c r="M821" t="s">
        <v>2655</v>
      </c>
      <c r="N821" t="s">
        <v>79</v>
      </c>
      <c r="O821" t="s">
        <v>80</v>
      </c>
      <c r="P821">
        <v>204.85</v>
      </c>
    </row>
    <row r="822" spans="1:16">
      <c r="A822" s="4">
        <v>2015</v>
      </c>
      <c r="B822" s="4">
        <v>126571</v>
      </c>
      <c r="C822" t="s">
        <v>2656</v>
      </c>
      <c r="D822" t="s">
        <v>463</v>
      </c>
      <c r="E822" t="s">
        <v>18</v>
      </c>
      <c r="F822" t="s">
        <v>2653</v>
      </c>
      <c r="G822" t="s">
        <v>2654</v>
      </c>
      <c r="H822" t="s">
        <v>33</v>
      </c>
      <c r="I822" t="s">
        <v>97</v>
      </c>
      <c r="J822" t="s">
        <v>23</v>
      </c>
      <c r="K822" t="s">
        <v>24</v>
      </c>
      <c r="L822" t="s">
        <v>25</v>
      </c>
      <c r="M822" t="s">
        <v>2657</v>
      </c>
      <c r="N822" t="s">
        <v>27</v>
      </c>
      <c r="O822" t="s">
        <v>58</v>
      </c>
      <c r="P822">
        <v>281.904</v>
      </c>
    </row>
    <row r="823" spans="1:16">
      <c r="A823" s="4">
        <v>2017</v>
      </c>
      <c r="B823" s="4">
        <v>102162</v>
      </c>
      <c r="C823" t="s">
        <v>106</v>
      </c>
      <c r="D823" t="s">
        <v>107</v>
      </c>
      <c r="E823" t="s">
        <v>18</v>
      </c>
      <c r="F823" t="s">
        <v>2653</v>
      </c>
      <c r="G823" t="s">
        <v>2654</v>
      </c>
      <c r="H823" t="s">
        <v>33</v>
      </c>
      <c r="I823" t="s">
        <v>97</v>
      </c>
      <c r="J823" t="s">
        <v>2106</v>
      </c>
      <c r="K823" t="s">
        <v>56</v>
      </c>
      <c r="L823" t="s">
        <v>45</v>
      </c>
      <c r="M823" t="s">
        <v>2658</v>
      </c>
      <c r="N823" t="s">
        <v>38</v>
      </c>
      <c r="O823" t="s">
        <v>190</v>
      </c>
      <c r="P823">
        <v>1599.92</v>
      </c>
    </row>
    <row r="824" spans="1:16">
      <c r="A824" s="4">
        <v>2017</v>
      </c>
      <c r="B824" s="4">
        <v>136021</v>
      </c>
      <c r="C824" t="s">
        <v>2659</v>
      </c>
      <c r="D824" t="s">
        <v>2407</v>
      </c>
      <c r="E824" t="s">
        <v>18</v>
      </c>
      <c r="F824" t="s">
        <v>2660</v>
      </c>
      <c r="G824" t="s">
        <v>2661</v>
      </c>
      <c r="H824" t="s">
        <v>21</v>
      </c>
      <c r="I824" t="s">
        <v>97</v>
      </c>
      <c r="J824" t="s">
        <v>64</v>
      </c>
      <c r="K824" t="s">
        <v>65</v>
      </c>
      <c r="L824" t="s">
        <v>66</v>
      </c>
      <c r="M824" t="s">
        <v>2662</v>
      </c>
      <c r="N824" t="s">
        <v>27</v>
      </c>
      <c r="O824" t="s">
        <v>52</v>
      </c>
      <c r="P824">
        <v>15.54</v>
      </c>
    </row>
    <row r="825" spans="1:16">
      <c r="A825" s="4">
        <v>2016</v>
      </c>
      <c r="B825" s="4">
        <v>143602</v>
      </c>
      <c r="C825" t="s">
        <v>2663</v>
      </c>
      <c r="D825" t="s">
        <v>2664</v>
      </c>
      <c r="E825" t="s">
        <v>144</v>
      </c>
      <c r="F825" t="s">
        <v>2665</v>
      </c>
      <c r="G825" t="s">
        <v>2666</v>
      </c>
      <c r="H825" t="s">
        <v>21</v>
      </c>
      <c r="I825" t="s">
        <v>22</v>
      </c>
      <c r="J825" t="s">
        <v>64</v>
      </c>
      <c r="K825" t="s">
        <v>65</v>
      </c>
      <c r="L825" t="s">
        <v>66</v>
      </c>
      <c r="M825" t="s">
        <v>2667</v>
      </c>
      <c r="N825" t="s">
        <v>27</v>
      </c>
      <c r="O825" t="s">
        <v>101</v>
      </c>
      <c r="P825">
        <v>13.944000000000001</v>
      </c>
    </row>
    <row r="826" spans="1:16">
      <c r="A826" s="4">
        <v>2015</v>
      </c>
      <c r="B826" s="4">
        <v>146353</v>
      </c>
      <c r="C826" t="s">
        <v>2442</v>
      </c>
      <c r="D826" t="s">
        <v>1913</v>
      </c>
      <c r="E826" t="s">
        <v>144</v>
      </c>
      <c r="F826" t="s">
        <v>2668</v>
      </c>
      <c r="G826" t="s">
        <v>2669</v>
      </c>
      <c r="H826" t="s">
        <v>33</v>
      </c>
      <c r="I826" t="s">
        <v>22</v>
      </c>
      <c r="J826" t="s">
        <v>71</v>
      </c>
      <c r="K826" t="s">
        <v>72</v>
      </c>
      <c r="L826" t="s">
        <v>25</v>
      </c>
      <c r="M826" t="s">
        <v>2670</v>
      </c>
      <c r="N826" t="s">
        <v>27</v>
      </c>
      <c r="O826" t="s">
        <v>101</v>
      </c>
      <c r="P826">
        <v>22.92</v>
      </c>
    </row>
    <row r="827" spans="1:16">
      <c r="A827" s="4">
        <v>2018</v>
      </c>
      <c r="B827" s="4">
        <v>133263</v>
      </c>
      <c r="C827" t="s">
        <v>1194</v>
      </c>
      <c r="D827" t="s">
        <v>1195</v>
      </c>
      <c r="E827" t="s">
        <v>144</v>
      </c>
      <c r="F827" t="s">
        <v>2668</v>
      </c>
      <c r="G827" t="s">
        <v>2669</v>
      </c>
      <c r="H827" t="s">
        <v>33</v>
      </c>
      <c r="I827" t="s">
        <v>22</v>
      </c>
      <c r="J827" t="s">
        <v>85</v>
      </c>
      <c r="K827" t="s">
        <v>86</v>
      </c>
      <c r="L827" t="s">
        <v>45</v>
      </c>
      <c r="M827" t="s">
        <v>2671</v>
      </c>
      <c r="N827" t="s">
        <v>27</v>
      </c>
      <c r="O827" t="s">
        <v>101</v>
      </c>
      <c r="P827">
        <v>34.54</v>
      </c>
    </row>
    <row r="828" spans="1:16">
      <c r="A828" s="4">
        <v>2015</v>
      </c>
      <c r="B828" s="4">
        <v>166051</v>
      </c>
      <c r="C828" t="s">
        <v>2672</v>
      </c>
      <c r="D828" t="s">
        <v>2673</v>
      </c>
      <c r="E828" t="s">
        <v>18</v>
      </c>
      <c r="F828" t="s">
        <v>2674</v>
      </c>
      <c r="G828" t="s">
        <v>2675</v>
      </c>
      <c r="H828" t="s">
        <v>33</v>
      </c>
      <c r="I828" t="s">
        <v>97</v>
      </c>
      <c r="J828" t="s">
        <v>854</v>
      </c>
      <c r="K828" t="s">
        <v>1444</v>
      </c>
      <c r="L828" t="s">
        <v>45</v>
      </c>
      <c r="M828" t="s">
        <v>2676</v>
      </c>
      <c r="N828" t="s">
        <v>38</v>
      </c>
      <c r="O828" t="s">
        <v>118</v>
      </c>
      <c r="P828">
        <v>659.97</v>
      </c>
    </row>
    <row r="829" spans="1:16">
      <c r="A829" s="4">
        <v>2018</v>
      </c>
      <c r="B829" s="4">
        <v>142622</v>
      </c>
      <c r="C829" t="s">
        <v>2504</v>
      </c>
      <c r="D829" t="s">
        <v>578</v>
      </c>
      <c r="E829" t="s">
        <v>42</v>
      </c>
      <c r="F829" t="s">
        <v>2674</v>
      </c>
      <c r="G829" t="s">
        <v>2675</v>
      </c>
      <c r="H829" t="s">
        <v>33</v>
      </c>
      <c r="I829" t="s">
        <v>97</v>
      </c>
      <c r="J829" t="s">
        <v>271</v>
      </c>
      <c r="K829" t="s">
        <v>165</v>
      </c>
      <c r="L829" t="s">
        <v>66</v>
      </c>
      <c r="M829" t="s">
        <v>2677</v>
      </c>
      <c r="N829" t="s">
        <v>79</v>
      </c>
      <c r="O829" t="s">
        <v>138</v>
      </c>
      <c r="P829">
        <v>97.567999999999998</v>
      </c>
    </row>
    <row r="830" spans="1:16">
      <c r="A830" s="4">
        <v>2015</v>
      </c>
      <c r="B830" s="4">
        <v>111773</v>
      </c>
      <c r="C830" t="s">
        <v>1545</v>
      </c>
      <c r="D830" t="s">
        <v>582</v>
      </c>
      <c r="E830" t="s">
        <v>18</v>
      </c>
      <c r="F830" t="s">
        <v>2674</v>
      </c>
      <c r="G830" t="s">
        <v>2675</v>
      </c>
      <c r="H830" t="s">
        <v>33</v>
      </c>
      <c r="I830" t="s">
        <v>97</v>
      </c>
      <c r="J830" t="s">
        <v>49</v>
      </c>
      <c r="K830" t="s">
        <v>50</v>
      </c>
      <c r="L830" t="s">
        <v>25</v>
      </c>
      <c r="M830" t="s">
        <v>2678</v>
      </c>
      <c r="N830" t="s">
        <v>27</v>
      </c>
      <c r="O830" t="s">
        <v>101</v>
      </c>
      <c r="P830">
        <v>13.92</v>
      </c>
    </row>
    <row r="831" spans="1:16">
      <c r="A831" s="4">
        <v>2016</v>
      </c>
      <c r="B831" s="4">
        <v>137225</v>
      </c>
      <c r="C831" t="s">
        <v>1786</v>
      </c>
      <c r="D831" t="s">
        <v>2564</v>
      </c>
      <c r="E831" t="s">
        <v>18</v>
      </c>
      <c r="F831" t="s">
        <v>2679</v>
      </c>
      <c r="G831" t="s">
        <v>2680</v>
      </c>
      <c r="H831" t="s">
        <v>33</v>
      </c>
      <c r="I831" t="s">
        <v>63</v>
      </c>
      <c r="J831" t="s">
        <v>49</v>
      </c>
      <c r="K831" t="s">
        <v>50</v>
      </c>
      <c r="L831" t="s">
        <v>25</v>
      </c>
      <c r="M831" t="s">
        <v>2681</v>
      </c>
      <c r="N831" t="s">
        <v>27</v>
      </c>
      <c r="O831" t="s">
        <v>28</v>
      </c>
      <c r="P831">
        <v>3.28</v>
      </c>
    </row>
    <row r="832" spans="1:16">
      <c r="A832" s="4">
        <v>2015</v>
      </c>
      <c r="B832" s="4">
        <v>147900</v>
      </c>
      <c r="C832" t="s">
        <v>969</v>
      </c>
      <c r="D832" t="s">
        <v>970</v>
      </c>
      <c r="E832" t="s">
        <v>18</v>
      </c>
      <c r="F832" t="s">
        <v>2679</v>
      </c>
      <c r="G832" t="s">
        <v>2680</v>
      </c>
      <c r="H832" t="s">
        <v>33</v>
      </c>
      <c r="I832" t="s">
        <v>63</v>
      </c>
      <c r="J832" t="s">
        <v>868</v>
      </c>
      <c r="K832" t="s">
        <v>237</v>
      </c>
      <c r="L832" t="s">
        <v>25</v>
      </c>
      <c r="M832" t="s">
        <v>1287</v>
      </c>
      <c r="N832" t="s">
        <v>27</v>
      </c>
      <c r="O832" t="s">
        <v>52</v>
      </c>
      <c r="P832">
        <v>28.8</v>
      </c>
    </row>
    <row r="833" spans="1:16">
      <c r="A833" s="4">
        <v>2017</v>
      </c>
      <c r="B833" s="4">
        <v>112389</v>
      </c>
      <c r="C833" t="s">
        <v>274</v>
      </c>
      <c r="D833" t="s">
        <v>2682</v>
      </c>
      <c r="E833" t="s">
        <v>18</v>
      </c>
      <c r="F833" t="s">
        <v>2683</v>
      </c>
      <c r="G833" t="s">
        <v>2684</v>
      </c>
      <c r="H833" t="s">
        <v>33</v>
      </c>
      <c r="I833" t="s">
        <v>22</v>
      </c>
      <c r="J833" t="s">
        <v>2685</v>
      </c>
      <c r="K833" t="s">
        <v>869</v>
      </c>
      <c r="L833" t="s">
        <v>25</v>
      </c>
      <c r="M833" t="s">
        <v>2686</v>
      </c>
      <c r="N833" t="s">
        <v>27</v>
      </c>
      <c r="O833" t="s">
        <v>58</v>
      </c>
      <c r="P833">
        <v>40.74</v>
      </c>
    </row>
    <row r="834" spans="1:16">
      <c r="A834" s="4">
        <v>2015</v>
      </c>
      <c r="B834" s="4">
        <v>100363</v>
      </c>
      <c r="C834" t="s">
        <v>2687</v>
      </c>
      <c r="D834" t="s">
        <v>2688</v>
      </c>
      <c r="E834" t="s">
        <v>18</v>
      </c>
      <c r="F834" t="s">
        <v>2683</v>
      </c>
      <c r="G834" t="s">
        <v>2684</v>
      </c>
      <c r="H834" t="s">
        <v>33</v>
      </c>
      <c r="I834" t="s">
        <v>22</v>
      </c>
      <c r="J834" t="s">
        <v>595</v>
      </c>
      <c r="K834" t="s">
        <v>136</v>
      </c>
      <c r="L834" t="s">
        <v>66</v>
      </c>
      <c r="M834" t="s">
        <v>2689</v>
      </c>
      <c r="N834" t="s">
        <v>27</v>
      </c>
      <c r="O834" t="s">
        <v>452</v>
      </c>
      <c r="P834">
        <v>2.3679999999999999</v>
      </c>
    </row>
    <row r="835" spans="1:16">
      <c r="A835" s="4">
        <v>2017</v>
      </c>
      <c r="B835" s="4">
        <v>122133</v>
      </c>
      <c r="C835" t="s">
        <v>1802</v>
      </c>
      <c r="D835" t="s">
        <v>515</v>
      </c>
      <c r="E835" t="s">
        <v>18</v>
      </c>
      <c r="F835" t="s">
        <v>2690</v>
      </c>
      <c r="G835" t="s">
        <v>2691</v>
      </c>
      <c r="H835" t="s">
        <v>21</v>
      </c>
      <c r="I835" t="s">
        <v>97</v>
      </c>
      <c r="J835" t="s">
        <v>389</v>
      </c>
      <c r="K835" t="s">
        <v>390</v>
      </c>
      <c r="L835" t="s">
        <v>25</v>
      </c>
      <c r="M835" t="s">
        <v>2692</v>
      </c>
      <c r="N835" t="s">
        <v>27</v>
      </c>
      <c r="O835" t="s">
        <v>58</v>
      </c>
      <c r="P835">
        <v>552.55999999999995</v>
      </c>
    </row>
    <row r="836" spans="1:16">
      <c r="A836" s="4">
        <v>2017</v>
      </c>
      <c r="B836" s="4">
        <v>109806</v>
      </c>
      <c r="C836" t="s">
        <v>561</v>
      </c>
      <c r="D836" t="s">
        <v>510</v>
      </c>
      <c r="E836" t="s">
        <v>18</v>
      </c>
      <c r="F836" t="s">
        <v>2693</v>
      </c>
      <c r="G836" t="s">
        <v>2694</v>
      </c>
      <c r="H836" t="s">
        <v>21</v>
      </c>
      <c r="I836" t="s">
        <v>22</v>
      </c>
      <c r="J836" t="s">
        <v>64</v>
      </c>
      <c r="K836" t="s">
        <v>65</v>
      </c>
      <c r="L836" t="s">
        <v>66</v>
      </c>
      <c r="M836" t="s">
        <v>2695</v>
      </c>
      <c r="N836" t="s">
        <v>27</v>
      </c>
      <c r="O836" t="s">
        <v>28</v>
      </c>
      <c r="P836">
        <v>20.100000000000001</v>
      </c>
    </row>
    <row r="837" spans="1:16">
      <c r="A837" s="4">
        <v>2018</v>
      </c>
      <c r="B837" s="4">
        <v>117079</v>
      </c>
      <c r="C837" t="s">
        <v>2696</v>
      </c>
      <c r="D837" t="s">
        <v>2466</v>
      </c>
      <c r="E837" t="s">
        <v>18</v>
      </c>
      <c r="F837" t="s">
        <v>2697</v>
      </c>
      <c r="G837" t="s">
        <v>2698</v>
      </c>
      <c r="H837" t="s">
        <v>21</v>
      </c>
      <c r="I837" t="s">
        <v>97</v>
      </c>
      <c r="J837" t="s">
        <v>43</v>
      </c>
      <c r="K837" t="s">
        <v>196</v>
      </c>
      <c r="L837" t="s">
        <v>45</v>
      </c>
      <c r="M837" t="s">
        <v>2605</v>
      </c>
      <c r="N837" t="s">
        <v>38</v>
      </c>
      <c r="O837" t="s">
        <v>118</v>
      </c>
      <c r="P837">
        <v>863.88</v>
      </c>
    </row>
    <row r="838" spans="1:16">
      <c r="A838" s="4">
        <v>2017</v>
      </c>
      <c r="B838" s="4">
        <v>112109</v>
      </c>
      <c r="C838" t="s">
        <v>1262</v>
      </c>
      <c r="D838" t="s">
        <v>2699</v>
      </c>
      <c r="E838" t="s">
        <v>18</v>
      </c>
      <c r="F838" t="s">
        <v>2700</v>
      </c>
      <c r="G838" t="s">
        <v>2701</v>
      </c>
      <c r="H838" t="s">
        <v>33</v>
      </c>
      <c r="I838" t="s">
        <v>97</v>
      </c>
      <c r="J838" t="s">
        <v>2702</v>
      </c>
      <c r="K838" t="s">
        <v>222</v>
      </c>
      <c r="L838" t="s">
        <v>66</v>
      </c>
      <c r="M838" t="s">
        <v>481</v>
      </c>
      <c r="N838" t="s">
        <v>27</v>
      </c>
      <c r="O838" t="s">
        <v>101</v>
      </c>
      <c r="P838">
        <v>19.968</v>
      </c>
    </row>
    <row r="839" spans="1:16">
      <c r="A839" s="4">
        <v>2018</v>
      </c>
      <c r="B839" s="4">
        <v>105697</v>
      </c>
      <c r="C839" t="s">
        <v>2321</v>
      </c>
      <c r="D839" t="s">
        <v>351</v>
      </c>
      <c r="E839" t="s">
        <v>42</v>
      </c>
      <c r="F839" t="s">
        <v>2700</v>
      </c>
      <c r="G839" t="s">
        <v>2701</v>
      </c>
      <c r="H839" t="s">
        <v>33</v>
      </c>
      <c r="I839" t="s">
        <v>97</v>
      </c>
      <c r="J839" t="s">
        <v>236</v>
      </c>
      <c r="K839" t="s">
        <v>237</v>
      </c>
      <c r="L839" t="s">
        <v>25</v>
      </c>
      <c r="M839" t="s">
        <v>2703</v>
      </c>
      <c r="N839" t="s">
        <v>27</v>
      </c>
      <c r="O839" t="s">
        <v>58</v>
      </c>
      <c r="P839">
        <v>25.696000000000002</v>
      </c>
    </row>
    <row r="840" spans="1:16">
      <c r="A840" s="4">
        <v>2015</v>
      </c>
      <c r="B840" s="4">
        <v>150798</v>
      </c>
      <c r="C840" t="s">
        <v>457</v>
      </c>
      <c r="D840" t="s">
        <v>458</v>
      </c>
      <c r="E840" t="s">
        <v>144</v>
      </c>
      <c r="F840" t="s">
        <v>2704</v>
      </c>
      <c r="G840" t="s">
        <v>2705</v>
      </c>
      <c r="H840" t="s">
        <v>33</v>
      </c>
      <c r="I840" t="s">
        <v>97</v>
      </c>
      <c r="J840" t="s">
        <v>473</v>
      </c>
      <c r="K840" t="s">
        <v>237</v>
      </c>
      <c r="L840" t="s">
        <v>25</v>
      </c>
      <c r="M840" t="s">
        <v>2706</v>
      </c>
      <c r="N840" t="s">
        <v>38</v>
      </c>
      <c r="O840" t="s">
        <v>190</v>
      </c>
      <c r="P840">
        <v>659.98800000000006</v>
      </c>
    </row>
    <row r="841" spans="1:16">
      <c r="A841" s="4">
        <v>2017</v>
      </c>
      <c r="B841" s="4">
        <v>105256</v>
      </c>
      <c r="C841" t="s">
        <v>2707</v>
      </c>
      <c r="D841" t="s">
        <v>2707</v>
      </c>
      <c r="E841" t="s">
        <v>132</v>
      </c>
      <c r="F841" t="s">
        <v>2704</v>
      </c>
      <c r="G841" t="s">
        <v>2705</v>
      </c>
      <c r="H841" t="s">
        <v>33</v>
      </c>
      <c r="I841" t="s">
        <v>97</v>
      </c>
      <c r="J841" t="s">
        <v>2708</v>
      </c>
      <c r="K841" t="s">
        <v>44</v>
      </c>
      <c r="L841" t="s">
        <v>45</v>
      </c>
      <c r="M841" t="s">
        <v>2709</v>
      </c>
      <c r="N841" t="s">
        <v>38</v>
      </c>
      <c r="O841" t="s">
        <v>118</v>
      </c>
      <c r="P841">
        <v>1363.96</v>
      </c>
    </row>
    <row r="842" spans="1:16">
      <c r="A842" s="4">
        <v>2018</v>
      </c>
      <c r="B842" s="4">
        <v>161053</v>
      </c>
      <c r="C842" t="s">
        <v>698</v>
      </c>
      <c r="D842" t="s">
        <v>640</v>
      </c>
      <c r="E842" t="s">
        <v>42</v>
      </c>
      <c r="F842" t="s">
        <v>2710</v>
      </c>
      <c r="G842" t="s">
        <v>2711</v>
      </c>
      <c r="H842" t="s">
        <v>33</v>
      </c>
      <c r="I842" t="s">
        <v>97</v>
      </c>
      <c r="J842" t="s">
        <v>672</v>
      </c>
      <c r="K842" t="s">
        <v>1270</v>
      </c>
      <c r="L842" t="s">
        <v>45</v>
      </c>
      <c r="M842" t="s">
        <v>2712</v>
      </c>
      <c r="N842" t="s">
        <v>27</v>
      </c>
      <c r="O842" t="s">
        <v>101</v>
      </c>
      <c r="P842">
        <v>691.96</v>
      </c>
    </row>
    <row r="843" spans="1:16">
      <c r="A843" s="4">
        <v>2015</v>
      </c>
      <c r="B843" s="4">
        <v>147606</v>
      </c>
      <c r="C843" t="s">
        <v>2047</v>
      </c>
      <c r="D843" t="s">
        <v>457</v>
      </c>
      <c r="E843" t="s">
        <v>144</v>
      </c>
      <c r="F843" t="s">
        <v>2710</v>
      </c>
      <c r="G843" t="s">
        <v>2711</v>
      </c>
      <c r="H843" t="s">
        <v>33</v>
      </c>
      <c r="I843" t="s">
        <v>97</v>
      </c>
      <c r="J843" t="s">
        <v>183</v>
      </c>
      <c r="K843" t="s">
        <v>35</v>
      </c>
      <c r="L843" t="s">
        <v>36</v>
      </c>
      <c r="M843" t="s">
        <v>2713</v>
      </c>
      <c r="N843" t="s">
        <v>79</v>
      </c>
      <c r="O843" t="s">
        <v>80</v>
      </c>
      <c r="P843">
        <v>19.3</v>
      </c>
    </row>
    <row r="844" spans="1:16">
      <c r="A844" s="4">
        <v>2016</v>
      </c>
      <c r="B844" s="4">
        <v>134026</v>
      </c>
      <c r="C844" t="s">
        <v>2714</v>
      </c>
      <c r="D844" t="s">
        <v>2715</v>
      </c>
      <c r="E844" t="s">
        <v>18</v>
      </c>
      <c r="F844" t="s">
        <v>2710</v>
      </c>
      <c r="G844" t="s">
        <v>2711</v>
      </c>
      <c r="H844" t="s">
        <v>33</v>
      </c>
      <c r="I844" t="s">
        <v>97</v>
      </c>
      <c r="J844" t="s">
        <v>2534</v>
      </c>
      <c r="K844" t="s">
        <v>206</v>
      </c>
      <c r="L844" t="s">
        <v>45</v>
      </c>
      <c r="M844" t="s">
        <v>2716</v>
      </c>
      <c r="N844" t="s">
        <v>79</v>
      </c>
      <c r="O844" t="s">
        <v>138</v>
      </c>
      <c r="P844">
        <v>831.93600000000004</v>
      </c>
    </row>
    <row r="845" spans="1:16">
      <c r="A845" s="4">
        <v>2017</v>
      </c>
      <c r="B845" s="4">
        <v>162026</v>
      </c>
      <c r="C845" t="s">
        <v>722</v>
      </c>
      <c r="D845" t="s">
        <v>722</v>
      </c>
      <c r="E845" t="s">
        <v>132</v>
      </c>
      <c r="F845" t="s">
        <v>2710</v>
      </c>
      <c r="G845" t="s">
        <v>2711</v>
      </c>
      <c r="H845" t="s">
        <v>33</v>
      </c>
      <c r="I845" t="s">
        <v>97</v>
      </c>
      <c r="J845" t="s">
        <v>64</v>
      </c>
      <c r="K845" t="s">
        <v>65</v>
      </c>
      <c r="L845" t="s">
        <v>66</v>
      </c>
      <c r="M845" t="s">
        <v>2717</v>
      </c>
      <c r="N845" t="s">
        <v>27</v>
      </c>
      <c r="O845" t="s">
        <v>52</v>
      </c>
      <c r="P845">
        <v>61.96</v>
      </c>
    </row>
    <row r="846" spans="1:16">
      <c r="A846" s="4">
        <v>2016</v>
      </c>
      <c r="B846" s="4">
        <v>101511</v>
      </c>
      <c r="C846" t="s">
        <v>980</v>
      </c>
      <c r="D846" t="s">
        <v>999</v>
      </c>
      <c r="E846" t="s">
        <v>144</v>
      </c>
      <c r="F846" t="s">
        <v>2710</v>
      </c>
      <c r="G846" t="s">
        <v>2711</v>
      </c>
      <c r="H846" t="s">
        <v>33</v>
      </c>
      <c r="I846" t="s">
        <v>97</v>
      </c>
      <c r="J846" t="s">
        <v>987</v>
      </c>
      <c r="K846" t="s">
        <v>237</v>
      </c>
      <c r="L846" t="s">
        <v>25</v>
      </c>
      <c r="M846" t="s">
        <v>2718</v>
      </c>
      <c r="N846" t="s">
        <v>79</v>
      </c>
      <c r="O846" t="s">
        <v>138</v>
      </c>
      <c r="P846">
        <v>396.80200000000002</v>
      </c>
    </row>
    <row r="847" spans="1:16">
      <c r="A847" s="4">
        <v>2015</v>
      </c>
      <c r="B847" s="4">
        <v>142048</v>
      </c>
      <c r="C847" t="s">
        <v>1816</v>
      </c>
      <c r="D847" t="s">
        <v>1635</v>
      </c>
      <c r="E847" t="s">
        <v>42</v>
      </c>
      <c r="F847" t="s">
        <v>2710</v>
      </c>
      <c r="G847" t="s">
        <v>2711</v>
      </c>
      <c r="H847" t="s">
        <v>33</v>
      </c>
      <c r="I847" t="s">
        <v>97</v>
      </c>
      <c r="J847" t="s">
        <v>617</v>
      </c>
      <c r="K847" t="s">
        <v>222</v>
      </c>
      <c r="L847" t="s">
        <v>66</v>
      </c>
      <c r="M847" t="s">
        <v>2719</v>
      </c>
      <c r="N847" t="s">
        <v>38</v>
      </c>
      <c r="O847" t="s">
        <v>68</v>
      </c>
      <c r="P847">
        <v>196.75200000000001</v>
      </c>
    </row>
    <row r="848" spans="1:16">
      <c r="A848" s="4">
        <v>2018</v>
      </c>
      <c r="B848" s="4">
        <v>129462</v>
      </c>
      <c r="C848" t="s">
        <v>251</v>
      </c>
      <c r="D848" t="s">
        <v>232</v>
      </c>
      <c r="E848" t="s">
        <v>144</v>
      </c>
      <c r="F848" t="s">
        <v>2710</v>
      </c>
      <c r="G848" t="s">
        <v>2711</v>
      </c>
      <c r="H848" t="s">
        <v>33</v>
      </c>
      <c r="I848" t="s">
        <v>97</v>
      </c>
      <c r="J848" t="s">
        <v>517</v>
      </c>
      <c r="K848" t="s">
        <v>126</v>
      </c>
      <c r="L848" t="s">
        <v>45</v>
      </c>
      <c r="M848" t="s">
        <v>2720</v>
      </c>
      <c r="N848" t="s">
        <v>79</v>
      </c>
      <c r="O848" t="s">
        <v>138</v>
      </c>
      <c r="P848">
        <v>301.95999999999998</v>
      </c>
    </row>
    <row r="849" spans="1:16">
      <c r="A849" s="4">
        <v>2016</v>
      </c>
      <c r="B849" s="4">
        <v>139731</v>
      </c>
      <c r="C849" t="s">
        <v>2328</v>
      </c>
      <c r="D849" t="s">
        <v>2328</v>
      </c>
      <c r="E849" t="s">
        <v>132</v>
      </c>
      <c r="F849" t="s">
        <v>2710</v>
      </c>
      <c r="G849" t="s">
        <v>2711</v>
      </c>
      <c r="H849" t="s">
        <v>33</v>
      </c>
      <c r="I849" t="s">
        <v>97</v>
      </c>
      <c r="J849" t="s">
        <v>1684</v>
      </c>
      <c r="K849" t="s">
        <v>35</v>
      </c>
      <c r="L849" t="s">
        <v>36</v>
      </c>
      <c r="M849" t="s">
        <v>2721</v>
      </c>
      <c r="N849" t="s">
        <v>38</v>
      </c>
      <c r="O849" t="s">
        <v>68</v>
      </c>
      <c r="P849">
        <v>263.88</v>
      </c>
    </row>
    <row r="850" spans="1:16">
      <c r="A850" s="4">
        <v>2017</v>
      </c>
      <c r="B850" s="4">
        <v>113621</v>
      </c>
      <c r="C850" t="s">
        <v>360</v>
      </c>
      <c r="D850" t="s">
        <v>279</v>
      </c>
      <c r="E850" t="s">
        <v>18</v>
      </c>
      <c r="F850" t="s">
        <v>2710</v>
      </c>
      <c r="G850" t="s">
        <v>2711</v>
      </c>
      <c r="H850" t="s">
        <v>33</v>
      </c>
      <c r="I850" t="s">
        <v>97</v>
      </c>
      <c r="J850" t="s">
        <v>2722</v>
      </c>
      <c r="K850" t="s">
        <v>706</v>
      </c>
      <c r="L850" t="s">
        <v>25</v>
      </c>
      <c r="M850" t="s">
        <v>2723</v>
      </c>
      <c r="N850" t="s">
        <v>79</v>
      </c>
      <c r="O850" t="s">
        <v>138</v>
      </c>
      <c r="P850">
        <v>172.5</v>
      </c>
    </row>
    <row r="851" spans="1:16">
      <c r="A851" s="4">
        <v>2016</v>
      </c>
      <c r="B851" s="4">
        <v>115091</v>
      </c>
      <c r="C851" t="s">
        <v>2621</v>
      </c>
      <c r="D851" t="s">
        <v>1650</v>
      </c>
      <c r="E851" t="s">
        <v>18</v>
      </c>
      <c r="F851" t="s">
        <v>2724</v>
      </c>
      <c r="G851" t="s">
        <v>2725</v>
      </c>
      <c r="H851" t="s">
        <v>21</v>
      </c>
      <c r="I851" t="s">
        <v>63</v>
      </c>
      <c r="J851" t="s">
        <v>98</v>
      </c>
      <c r="K851" t="s">
        <v>56</v>
      </c>
      <c r="L851" t="s">
        <v>45</v>
      </c>
      <c r="M851" t="s">
        <v>2726</v>
      </c>
      <c r="N851" t="s">
        <v>27</v>
      </c>
      <c r="O851" t="s">
        <v>28</v>
      </c>
      <c r="P851">
        <v>46.2</v>
      </c>
    </row>
    <row r="852" spans="1:16">
      <c r="A852" s="4">
        <v>2015</v>
      </c>
      <c r="B852" s="4">
        <v>109127</v>
      </c>
      <c r="C852" t="s">
        <v>710</v>
      </c>
      <c r="D852" t="s">
        <v>2727</v>
      </c>
      <c r="E852" t="s">
        <v>18</v>
      </c>
      <c r="F852" t="s">
        <v>2728</v>
      </c>
      <c r="G852" t="s">
        <v>2729</v>
      </c>
      <c r="H852" t="s">
        <v>33</v>
      </c>
      <c r="I852" t="s">
        <v>97</v>
      </c>
      <c r="J852" t="s">
        <v>987</v>
      </c>
      <c r="K852" t="s">
        <v>1392</v>
      </c>
      <c r="L852" t="s">
        <v>25</v>
      </c>
      <c r="M852" t="s">
        <v>2730</v>
      </c>
      <c r="N852" t="s">
        <v>27</v>
      </c>
      <c r="O852" t="s">
        <v>111</v>
      </c>
      <c r="P852">
        <v>17.28</v>
      </c>
    </row>
    <row r="853" spans="1:16">
      <c r="A853" s="4">
        <v>2017</v>
      </c>
      <c r="B853" s="4">
        <v>118626</v>
      </c>
      <c r="C853" t="s">
        <v>1166</v>
      </c>
      <c r="D853" t="s">
        <v>1471</v>
      </c>
      <c r="E853" t="s">
        <v>18</v>
      </c>
      <c r="F853" t="s">
        <v>2728</v>
      </c>
      <c r="G853" t="s">
        <v>2729</v>
      </c>
      <c r="H853" t="s">
        <v>33</v>
      </c>
      <c r="I853" t="s">
        <v>97</v>
      </c>
      <c r="J853" t="s">
        <v>2731</v>
      </c>
      <c r="K853" t="s">
        <v>196</v>
      </c>
      <c r="L853" t="s">
        <v>45</v>
      </c>
      <c r="M853" t="s">
        <v>2732</v>
      </c>
      <c r="N853" t="s">
        <v>38</v>
      </c>
      <c r="O853" t="s">
        <v>118</v>
      </c>
      <c r="P853">
        <v>705.54399999999998</v>
      </c>
    </row>
    <row r="854" spans="1:16">
      <c r="A854" s="4">
        <v>2015</v>
      </c>
      <c r="B854" s="4">
        <v>159184</v>
      </c>
      <c r="C854" t="s">
        <v>661</v>
      </c>
      <c r="D854" t="s">
        <v>662</v>
      </c>
      <c r="E854" t="s">
        <v>18</v>
      </c>
      <c r="F854" t="s">
        <v>2728</v>
      </c>
      <c r="G854" t="s">
        <v>2729</v>
      </c>
      <c r="H854" t="s">
        <v>33</v>
      </c>
      <c r="I854" t="s">
        <v>97</v>
      </c>
      <c r="J854" t="s">
        <v>2733</v>
      </c>
      <c r="K854" t="s">
        <v>86</v>
      </c>
      <c r="L854" t="s">
        <v>45</v>
      </c>
      <c r="M854" t="s">
        <v>2734</v>
      </c>
      <c r="N854" t="s">
        <v>79</v>
      </c>
      <c r="O854" t="s">
        <v>80</v>
      </c>
      <c r="P854">
        <v>142.4</v>
      </c>
    </row>
    <row r="855" spans="1:16">
      <c r="A855" s="4">
        <v>2016</v>
      </c>
      <c r="B855" s="4">
        <v>159513</v>
      </c>
      <c r="C855" t="s">
        <v>161</v>
      </c>
      <c r="D855" t="s">
        <v>2559</v>
      </c>
      <c r="E855" t="s">
        <v>18</v>
      </c>
      <c r="F855" t="s">
        <v>2735</v>
      </c>
      <c r="G855" t="s">
        <v>2736</v>
      </c>
      <c r="H855" t="s">
        <v>21</v>
      </c>
      <c r="I855" t="s">
        <v>97</v>
      </c>
      <c r="J855" t="s">
        <v>64</v>
      </c>
      <c r="K855" t="s">
        <v>65</v>
      </c>
      <c r="L855" t="s">
        <v>66</v>
      </c>
      <c r="M855" t="s">
        <v>2737</v>
      </c>
      <c r="N855" t="s">
        <v>38</v>
      </c>
      <c r="O855" t="s">
        <v>39</v>
      </c>
      <c r="P855">
        <v>71.975999999999999</v>
      </c>
    </row>
    <row r="856" spans="1:16">
      <c r="A856" s="4">
        <v>2017</v>
      </c>
      <c r="B856" s="4">
        <v>100790</v>
      </c>
      <c r="C856" t="s">
        <v>255</v>
      </c>
      <c r="D856" t="s">
        <v>2247</v>
      </c>
      <c r="E856" t="s">
        <v>18</v>
      </c>
      <c r="F856" t="s">
        <v>2738</v>
      </c>
      <c r="G856" t="s">
        <v>2739</v>
      </c>
      <c r="H856" t="s">
        <v>21</v>
      </c>
      <c r="I856" t="s">
        <v>22</v>
      </c>
      <c r="J856" t="s">
        <v>49</v>
      </c>
      <c r="K856" t="s">
        <v>50</v>
      </c>
      <c r="L856" t="s">
        <v>25</v>
      </c>
      <c r="M856" t="s">
        <v>2740</v>
      </c>
      <c r="N856" t="s">
        <v>27</v>
      </c>
      <c r="O856" t="s">
        <v>28</v>
      </c>
      <c r="P856">
        <v>14.7</v>
      </c>
    </row>
    <row r="857" spans="1:16">
      <c r="A857" s="4">
        <v>2018</v>
      </c>
      <c r="B857" s="4">
        <v>132122</v>
      </c>
      <c r="C857" t="s">
        <v>2160</v>
      </c>
      <c r="D857" t="s">
        <v>751</v>
      </c>
      <c r="E857" t="s">
        <v>18</v>
      </c>
      <c r="F857" t="s">
        <v>2741</v>
      </c>
      <c r="G857" t="s">
        <v>2742</v>
      </c>
      <c r="H857" t="s">
        <v>33</v>
      </c>
      <c r="I857" t="s">
        <v>97</v>
      </c>
      <c r="J857" t="s">
        <v>108</v>
      </c>
      <c r="K857" t="s">
        <v>109</v>
      </c>
      <c r="L857" t="s">
        <v>36</v>
      </c>
      <c r="M857" t="s">
        <v>2743</v>
      </c>
      <c r="N857" t="s">
        <v>27</v>
      </c>
      <c r="O857" t="s">
        <v>58</v>
      </c>
      <c r="P857">
        <v>228.92</v>
      </c>
    </row>
    <row r="858" spans="1:16">
      <c r="A858" s="4">
        <v>2016</v>
      </c>
      <c r="B858" s="4">
        <v>133536</v>
      </c>
      <c r="C858" t="s">
        <v>160</v>
      </c>
      <c r="D858" t="s">
        <v>2744</v>
      </c>
      <c r="E858" t="s">
        <v>144</v>
      </c>
      <c r="F858" t="s">
        <v>2741</v>
      </c>
      <c r="G858" t="s">
        <v>2742</v>
      </c>
      <c r="H858" t="s">
        <v>33</v>
      </c>
      <c r="I858" t="s">
        <v>97</v>
      </c>
      <c r="J858" t="s">
        <v>49</v>
      </c>
      <c r="K858" t="s">
        <v>50</v>
      </c>
      <c r="L858" t="s">
        <v>25</v>
      </c>
      <c r="M858" t="s">
        <v>1834</v>
      </c>
      <c r="N858" t="s">
        <v>27</v>
      </c>
      <c r="O858" t="s">
        <v>501</v>
      </c>
      <c r="P858">
        <v>22.92</v>
      </c>
    </row>
    <row r="859" spans="1:16">
      <c r="A859" s="4">
        <v>2015</v>
      </c>
      <c r="B859" s="4">
        <v>110849</v>
      </c>
      <c r="C859" t="s">
        <v>757</v>
      </c>
      <c r="D859" t="s">
        <v>2745</v>
      </c>
      <c r="E859" t="s">
        <v>18</v>
      </c>
      <c r="F859" t="s">
        <v>2746</v>
      </c>
      <c r="G859" t="s">
        <v>2747</v>
      </c>
      <c r="H859" t="s">
        <v>33</v>
      </c>
      <c r="I859" t="s">
        <v>97</v>
      </c>
      <c r="J859" t="s">
        <v>64</v>
      </c>
      <c r="K859" t="s">
        <v>65</v>
      </c>
      <c r="L859" t="s">
        <v>66</v>
      </c>
      <c r="M859" t="s">
        <v>2748</v>
      </c>
      <c r="N859" t="s">
        <v>38</v>
      </c>
      <c r="O859" t="s">
        <v>39</v>
      </c>
      <c r="P859">
        <v>287.96800000000002</v>
      </c>
    </row>
    <row r="860" spans="1:16">
      <c r="A860" s="4">
        <v>2018</v>
      </c>
      <c r="B860" s="4">
        <v>167913</v>
      </c>
      <c r="C860" t="s">
        <v>2555</v>
      </c>
      <c r="D860" t="s">
        <v>1230</v>
      </c>
      <c r="E860" t="s">
        <v>144</v>
      </c>
      <c r="F860" t="s">
        <v>2746</v>
      </c>
      <c r="G860" t="s">
        <v>2747</v>
      </c>
      <c r="H860" t="s">
        <v>33</v>
      </c>
      <c r="I860" t="s">
        <v>97</v>
      </c>
      <c r="J860" t="s">
        <v>2749</v>
      </c>
      <c r="K860" t="s">
        <v>65</v>
      </c>
      <c r="L860" t="s">
        <v>66</v>
      </c>
      <c r="M860" t="s">
        <v>2750</v>
      </c>
      <c r="N860" t="s">
        <v>27</v>
      </c>
      <c r="O860" t="s">
        <v>58</v>
      </c>
      <c r="P860">
        <v>330.4</v>
      </c>
    </row>
    <row r="861" spans="1:16">
      <c r="A861" s="4">
        <v>2015</v>
      </c>
      <c r="B861" s="4">
        <v>127299</v>
      </c>
      <c r="C861" t="s">
        <v>662</v>
      </c>
      <c r="D861" t="s">
        <v>2138</v>
      </c>
      <c r="E861" t="s">
        <v>18</v>
      </c>
      <c r="F861" t="s">
        <v>2746</v>
      </c>
      <c r="G861" t="s">
        <v>2747</v>
      </c>
      <c r="H861" t="s">
        <v>33</v>
      </c>
      <c r="I861" t="s">
        <v>97</v>
      </c>
      <c r="J861" t="s">
        <v>1413</v>
      </c>
      <c r="K861" t="s">
        <v>44</v>
      </c>
      <c r="L861" t="s">
        <v>45</v>
      </c>
      <c r="M861" t="s">
        <v>2751</v>
      </c>
      <c r="N861" t="s">
        <v>27</v>
      </c>
      <c r="O861" t="s">
        <v>58</v>
      </c>
      <c r="P861">
        <v>67.343999999999994</v>
      </c>
    </row>
    <row r="862" spans="1:16">
      <c r="A862" s="4">
        <v>2016</v>
      </c>
      <c r="B862" s="4">
        <v>142944</v>
      </c>
      <c r="C862" t="s">
        <v>1645</v>
      </c>
      <c r="D862" t="s">
        <v>2752</v>
      </c>
      <c r="E862" t="s">
        <v>18</v>
      </c>
      <c r="F862" t="s">
        <v>2753</v>
      </c>
      <c r="G862" t="s">
        <v>2754</v>
      </c>
      <c r="H862" t="s">
        <v>33</v>
      </c>
      <c r="I862" t="s">
        <v>97</v>
      </c>
      <c r="J862" t="s">
        <v>226</v>
      </c>
      <c r="K862" t="s">
        <v>65</v>
      </c>
      <c r="L862" t="s">
        <v>66</v>
      </c>
      <c r="M862" t="s">
        <v>148</v>
      </c>
      <c r="N862" t="s">
        <v>79</v>
      </c>
      <c r="O862" t="s">
        <v>80</v>
      </c>
      <c r="P862">
        <v>435.26</v>
      </c>
    </row>
    <row r="863" spans="1:16">
      <c r="A863" s="4">
        <v>2017</v>
      </c>
      <c r="B863" s="4">
        <v>150147</v>
      </c>
      <c r="C863" t="s">
        <v>2209</v>
      </c>
      <c r="D863" t="s">
        <v>2755</v>
      </c>
      <c r="E863" t="s">
        <v>144</v>
      </c>
      <c r="F863" t="s">
        <v>2753</v>
      </c>
      <c r="G863" t="s">
        <v>2754</v>
      </c>
      <c r="H863" t="s">
        <v>33</v>
      </c>
      <c r="I863" t="s">
        <v>97</v>
      </c>
      <c r="J863" t="s">
        <v>23</v>
      </c>
      <c r="K863" t="s">
        <v>24</v>
      </c>
      <c r="L863" t="s">
        <v>25</v>
      </c>
      <c r="M863" t="s">
        <v>2756</v>
      </c>
      <c r="N863" t="s">
        <v>38</v>
      </c>
      <c r="O863" t="s">
        <v>118</v>
      </c>
      <c r="P863">
        <v>82.8</v>
      </c>
    </row>
    <row r="864" spans="1:16">
      <c r="A864" s="4">
        <v>2016</v>
      </c>
      <c r="B864" s="4">
        <v>120880</v>
      </c>
      <c r="C864" t="s">
        <v>2757</v>
      </c>
      <c r="D864" t="s">
        <v>2758</v>
      </c>
      <c r="E864" t="s">
        <v>18</v>
      </c>
      <c r="F864" t="s">
        <v>2753</v>
      </c>
      <c r="G864" t="s">
        <v>2754</v>
      </c>
      <c r="H864" t="s">
        <v>33</v>
      </c>
      <c r="I864" t="s">
        <v>97</v>
      </c>
      <c r="J864" t="s">
        <v>271</v>
      </c>
      <c r="K864" t="s">
        <v>165</v>
      </c>
      <c r="L864" t="s">
        <v>66</v>
      </c>
      <c r="M864" t="s">
        <v>2759</v>
      </c>
      <c r="N864" t="s">
        <v>27</v>
      </c>
      <c r="O864" t="s">
        <v>52</v>
      </c>
      <c r="P864">
        <v>32.4</v>
      </c>
    </row>
    <row r="865" spans="1:16">
      <c r="A865" s="4">
        <v>2016</v>
      </c>
      <c r="B865" s="4">
        <v>158148</v>
      </c>
      <c r="C865" t="s">
        <v>600</v>
      </c>
      <c r="D865" t="s">
        <v>948</v>
      </c>
      <c r="E865" t="s">
        <v>18</v>
      </c>
      <c r="F865" t="s">
        <v>2760</v>
      </c>
      <c r="G865" t="s">
        <v>2761</v>
      </c>
      <c r="H865" t="s">
        <v>33</v>
      </c>
      <c r="I865" t="s">
        <v>97</v>
      </c>
      <c r="J865" t="s">
        <v>55</v>
      </c>
      <c r="K865" t="s">
        <v>56</v>
      </c>
      <c r="L865" t="s">
        <v>45</v>
      </c>
      <c r="M865" t="s">
        <v>2762</v>
      </c>
      <c r="N865" t="s">
        <v>27</v>
      </c>
      <c r="O865" t="s">
        <v>228</v>
      </c>
      <c r="P865">
        <v>36.270000000000003</v>
      </c>
    </row>
    <row r="866" spans="1:16">
      <c r="A866" s="4">
        <v>2016</v>
      </c>
      <c r="B866" s="4">
        <v>107685</v>
      </c>
      <c r="C866" t="s">
        <v>585</v>
      </c>
      <c r="D866" t="s">
        <v>1811</v>
      </c>
      <c r="E866" t="s">
        <v>144</v>
      </c>
      <c r="F866" t="s">
        <v>2760</v>
      </c>
      <c r="G866" t="s">
        <v>2761</v>
      </c>
      <c r="H866" t="s">
        <v>33</v>
      </c>
      <c r="I866" t="s">
        <v>97</v>
      </c>
      <c r="J866" t="s">
        <v>2763</v>
      </c>
      <c r="K866" t="s">
        <v>91</v>
      </c>
      <c r="L866" t="s">
        <v>66</v>
      </c>
      <c r="M866" t="s">
        <v>2764</v>
      </c>
      <c r="N866" t="s">
        <v>79</v>
      </c>
      <c r="O866" t="s">
        <v>80</v>
      </c>
      <c r="P866">
        <v>80.959999999999994</v>
      </c>
    </row>
    <row r="867" spans="1:16">
      <c r="A867" s="4">
        <v>2016</v>
      </c>
      <c r="B867" s="4">
        <v>128090</v>
      </c>
      <c r="C867" t="s">
        <v>1687</v>
      </c>
      <c r="D867" t="s">
        <v>1658</v>
      </c>
      <c r="E867" t="s">
        <v>18</v>
      </c>
      <c r="F867" t="s">
        <v>2760</v>
      </c>
      <c r="G867" t="s">
        <v>2761</v>
      </c>
      <c r="H867" t="s">
        <v>33</v>
      </c>
      <c r="I867" t="s">
        <v>97</v>
      </c>
      <c r="J867" t="s">
        <v>1713</v>
      </c>
      <c r="K867" t="s">
        <v>136</v>
      </c>
      <c r="L867" t="s">
        <v>66</v>
      </c>
      <c r="M867" t="s">
        <v>2765</v>
      </c>
      <c r="N867" t="s">
        <v>27</v>
      </c>
      <c r="O867" t="s">
        <v>28</v>
      </c>
      <c r="P867">
        <v>2.3039999999999998</v>
      </c>
    </row>
    <row r="868" spans="1:16">
      <c r="A868" s="4">
        <v>2016</v>
      </c>
      <c r="B868" s="4">
        <v>126214</v>
      </c>
      <c r="C868" t="s">
        <v>1991</v>
      </c>
      <c r="D868" t="s">
        <v>1666</v>
      </c>
      <c r="E868" t="s">
        <v>144</v>
      </c>
      <c r="F868" t="s">
        <v>2766</v>
      </c>
      <c r="G868" t="s">
        <v>2767</v>
      </c>
      <c r="H868" t="s">
        <v>33</v>
      </c>
      <c r="I868" t="s">
        <v>97</v>
      </c>
      <c r="J868" t="s">
        <v>271</v>
      </c>
      <c r="K868" t="s">
        <v>165</v>
      </c>
      <c r="L868" t="s">
        <v>66</v>
      </c>
      <c r="M868" t="s">
        <v>2768</v>
      </c>
      <c r="N868" t="s">
        <v>79</v>
      </c>
      <c r="O868" t="s">
        <v>347</v>
      </c>
      <c r="P868">
        <v>1618.37</v>
      </c>
    </row>
    <row r="869" spans="1:16">
      <c r="A869" s="4">
        <v>2015</v>
      </c>
      <c r="B869" s="4">
        <v>121769</v>
      </c>
      <c r="C869" t="s">
        <v>2687</v>
      </c>
      <c r="D869" t="s">
        <v>428</v>
      </c>
      <c r="E869" t="s">
        <v>18</v>
      </c>
      <c r="F869" t="s">
        <v>2766</v>
      </c>
      <c r="G869" t="s">
        <v>2767</v>
      </c>
      <c r="H869" t="s">
        <v>33</v>
      </c>
      <c r="I869" t="s">
        <v>97</v>
      </c>
      <c r="J869" t="s">
        <v>681</v>
      </c>
      <c r="K869" t="s">
        <v>237</v>
      </c>
      <c r="L869" t="s">
        <v>25</v>
      </c>
      <c r="M869" t="s">
        <v>2769</v>
      </c>
      <c r="N869" t="s">
        <v>79</v>
      </c>
      <c r="O869" t="s">
        <v>347</v>
      </c>
      <c r="P869">
        <v>172.11</v>
      </c>
    </row>
    <row r="870" spans="1:16">
      <c r="A870" s="4">
        <v>2017</v>
      </c>
      <c r="B870" s="4">
        <v>110366</v>
      </c>
      <c r="C870" t="s">
        <v>1845</v>
      </c>
      <c r="D870" t="s">
        <v>1846</v>
      </c>
      <c r="E870" t="s">
        <v>144</v>
      </c>
      <c r="F870" t="s">
        <v>2770</v>
      </c>
      <c r="G870" t="s">
        <v>2771</v>
      </c>
      <c r="H870" t="s">
        <v>33</v>
      </c>
      <c r="I870" t="s">
        <v>22</v>
      </c>
      <c r="J870" t="s">
        <v>23</v>
      </c>
      <c r="K870" t="s">
        <v>24</v>
      </c>
      <c r="L870" t="s">
        <v>25</v>
      </c>
      <c r="M870" t="s">
        <v>2772</v>
      </c>
      <c r="N870" t="s">
        <v>79</v>
      </c>
      <c r="O870" t="s">
        <v>80</v>
      </c>
      <c r="P870">
        <v>82.8</v>
      </c>
    </row>
    <row r="871" spans="1:16">
      <c r="A871" s="4">
        <v>2015</v>
      </c>
      <c r="B871" s="4">
        <v>122336</v>
      </c>
      <c r="C871" t="s">
        <v>756</v>
      </c>
      <c r="D871" t="s">
        <v>2773</v>
      </c>
      <c r="E871" t="s">
        <v>144</v>
      </c>
      <c r="F871" t="s">
        <v>2770</v>
      </c>
      <c r="G871" t="s">
        <v>2771</v>
      </c>
      <c r="H871" t="s">
        <v>33</v>
      </c>
      <c r="I871" t="s">
        <v>22</v>
      </c>
      <c r="J871" t="s">
        <v>23</v>
      </c>
      <c r="K871" t="s">
        <v>24</v>
      </c>
      <c r="L871" t="s">
        <v>25</v>
      </c>
      <c r="M871" t="s">
        <v>2774</v>
      </c>
      <c r="N871" t="s">
        <v>27</v>
      </c>
      <c r="O871" t="s">
        <v>28</v>
      </c>
      <c r="P871">
        <v>17.856000000000002</v>
      </c>
    </row>
    <row r="872" spans="1:16">
      <c r="A872" s="4">
        <v>2017</v>
      </c>
      <c r="B872" s="4">
        <v>142545</v>
      </c>
      <c r="C872" t="s">
        <v>273</v>
      </c>
      <c r="D872" t="s">
        <v>1404</v>
      </c>
      <c r="E872" t="s">
        <v>18</v>
      </c>
      <c r="F872" t="s">
        <v>2770</v>
      </c>
      <c r="G872" t="s">
        <v>2771</v>
      </c>
      <c r="H872" t="s">
        <v>33</v>
      </c>
      <c r="I872" t="s">
        <v>22</v>
      </c>
      <c r="J872" t="s">
        <v>2775</v>
      </c>
      <c r="K872" t="s">
        <v>869</v>
      </c>
      <c r="L872" t="s">
        <v>25</v>
      </c>
      <c r="M872" t="s">
        <v>2776</v>
      </c>
      <c r="N872" t="s">
        <v>27</v>
      </c>
      <c r="O872" t="s">
        <v>52</v>
      </c>
      <c r="P872">
        <v>32.4</v>
      </c>
    </row>
    <row r="873" spans="1:16">
      <c r="A873" s="4">
        <v>2016</v>
      </c>
      <c r="B873" s="4">
        <v>104115</v>
      </c>
      <c r="C873" t="s">
        <v>2262</v>
      </c>
      <c r="D873" t="s">
        <v>2777</v>
      </c>
      <c r="E873" t="s">
        <v>18</v>
      </c>
      <c r="F873" t="s">
        <v>2778</v>
      </c>
      <c r="G873" t="s">
        <v>2779</v>
      </c>
      <c r="H873" t="s">
        <v>33</v>
      </c>
      <c r="I873" t="s">
        <v>97</v>
      </c>
      <c r="J873" t="s">
        <v>2780</v>
      </c>
      <c r="K873" t="s">
        <v>196</v>
      </c>
      <c r="L873" t="s">
        <v>45</v>
      </c>
      <c r="M873" t="s">
        <v>2781</v>
      </c>
      <c r="N873" t="s">
        <v>38</v>
      </c>
      <c r="O873" t="s">
        <v>118</v>
      </c>
      <c r="P873">
        <v>55.984000000000002</v>
      </c>
    </row>
    <row r="874" spans="1:16">
      <c r="A874" s="4">
        <v>2018</v>
      </c>
      <c r="B874" s="4">
        <v>152380</v>
      </c>
      <c r="C874" t="s">
        <v>124</v>
      </c>
      <c r="D874" t="s">
        <v>125</v>
      </c>
      <c r="E874" t="s">
        <v>18</v>
      </c>
      <c r="F874" t="s">
        <v>2778</v>
      </c>
      <c r="G874" t="s">
        <v>2779</v>
      </c>
      <c r="H874" t="s">
        <v>33</v>
      </c>
      <c r="I874" t="s">
        <v>97</v>
      </c>
      <c r="J874" t="s">
        <v>108</v>
      </c>
      <c r="K874" t="s">
        <v>109</v>
      </c>
      <c r="L874" t="s">
        <v>36</v>
      </c>
      <c r="M874" t="s">
        <v>2782</v>
      </c>
      <c r="N874" t="s">
        <v>79</v>
      </c>
      <c r="O874" t="s">
        <v>347</v>
      </c>
      <c r="P874">
        <v>219.07499999999999</v>
      </c>
    </row>
    <row r="875" spans="1:16">
      <c r="A875" s="4">
        <v>2016</v>
      </c>
      <c r="B875" s="4">
        <v>169397</v>
      </c>
      <c r="C875" t="s">
        <v>1666</v>
      </c>
      <c r="D875" t="s">
        <v>622</v>
      </c>
      <c r="E875" t="s">
        <v>42</v>
      </c>
      <c r="F875" t="s">
        <v>2783</v>
      </c>
      <c r="G875" t="s">
        <v>2784</v>
      </c>
      <c r="H875" t="s">
        <v>33</v>
      </c>
      <c r="I875" t="s">
        <v>97</v>
      </c>
      <c r="J875" t="s">
        <v>1859</v>
      </c>
      <c r="K875" t="s">
        <v>237</v>
      </c>
      <c r="L875" t="s">
        <v>25</v>
      </c>
      <c r="M875" t="s">
        <v>2750</v>
      </c>
      <c r="N875" t="s">
        <v>27</v>
      </c>
      <c r="O875" t="s">
        <v>452</v>
      </c>
      <c r="P875">
        <v>5.5839999999999996</v>
      </c>
    </row>
    <row r="876" spans="1:16">
      <c r="A876" s="4">
        <v>2016</v>
      </c>
      <c r="B876" s="4">
        <v>167220</v>
      </c>
      <c r="C876" t="s">
        <v>1785</v>
      </c>
      <c r="D876" t="s">
        <v>1890</v>
      </c>
      <c r="E876" t="s">
        <v>18</v>
      </c>
      <c r="F876" t="s">
        <v>2783</v>
      </c>
      <c r="G876" t="s">
        <v>2784</v>
      </c>
      <c r="H876" t="s">
        <v>33</v>
      </c>
      <c r="I876" t="s">
        <v>97</v>
      </c>
      <c r="J876" t="s">
        <v>34</v>
      </c>
      <c r="K876" t="s">
        <v>35</v>
      </c>
      <c r="L876" t="s">
        <v>36</v>
      </c>
      <c r="M876" t="s">
        <v>2785</v>
      </c>
      <c r="N876" t="s">
        <v>38</v>
      </c>
      <c r="O876" t="s">
        <v>68</v>
      </c>
      <c r="P876">
        <v>22.367999999999999</v>
      </c>
    </row>
    <row r="877" spans="1:16">
      <c r="A877" s="4">
        <v>2015</v>
      </c>
      <c r="B877" s="4">
        <v>150203</v>
      </c>
      <c r="C877" t="s">
        <v>943</v>
      </c>
      <c r="D877" t="s">
        <v>2786</v>
      </c>
      <c r="E877" t="s">
        <v>42</v>
      </c>
      <c r="F877" t="s">
        <v>2783</v>
      </c>
      <c r="G877" t="s">
        <v>2784</v>
      </c>
      <c r="H877" t="s">
        <v>33</v>
      </c>
      <c r="I877" t="s">
        <v>97</v>
      </c>
      <c r="J877" t="s">
        <v>64</v>
      </c>
      <c r="K877" t="s">
        <v>65</v>
      </c>
      <c r="L877" t="s">
        <v>66</v>
      </c>
      <c r="M877" t="s">
        <v>2787</v>
      </c>
      <c r="N877" t="s">
        <v>27</v>
      </c>
      <c r="O877" t="s">
        <v>228</v>
      </c>
      <c r="P877">
        <v>250.26</v>
      </c>
    </row>
    <row r="878" spans="1:16">
      <c r="A878" s="4">
        <v>2016</v>
      </c>
      <c r="B878" s="4">
        <v>101399</v>
      </c>
      <c r="C878" t="s">
        <v>2788</v>
      </c>
      <c r="D878" t="s">
        <v>2789</v>
      </c>
      <c r="E878" t="s">
        <v>18</v>
      </c>
      <c r="F878" t="s">
        <v>2790</v>
      </c>
      <c r="G878" t="s">
        <v>2791</v>
      </c>
      <c r="H878" t="s">
        <v>33</v>
      </c>
      <c r="I878" t="s">
        <v>63</v>
      </c>
      <c r="J878" t="s">
        <v>2792</v>
      </c>
      <c r="K878" t="s">
        <v>109</v>
      </c>
      <c r="L878" t="s">
        <v>36</v>
      </c>
      <c r="M878" t="s">
        <v>2793</v>
      </c>
      <c r="N878" t="s">
        <v>79</v>
      </c>
      <c r="O878" t="s">
        <v>80</v>
      </c>
      <c r="P878">
        <v>254.744</v>
      </c>
    </row>
    <row r="879" spans="1:16">
      <c r="A879" s="4">
        <v>2015</v>
      </c>
      <c r="B879" s="4">
        <v>130274</v>
      </c>
      <c r="C879" t="s">
        <v>2794</v>
      </c>
      <c r="D879" t="s">
        <v>2795</v>
      </c>
      <c r="E879" t="s">
        <v>42</v>
      </c>
      <c r="F879" t="s">
        <v>2790</v>
      </c>
      <c r="G879" t="s">
        <v>2791</v>
      </c>
      <c r="H879" t="s">
        <v>33</v>
      </c>
      <c r="I879" t="s">
        <v>63</v>
      </c>
      <c r="J879" t="s">
        <v>2796</v>
      </c>
      <c r="K879" t="s">
        <v>478</v>
      </c>
      <c r="L879" t="s">
        <v>36</v>
      </c>
      <c r="M879" t="s">
        <v>2797</v>
      </c>
      <c r="N879" t="s">
        <v>27</v>
      </c>
      <c r="O879" t="s">
        <v>111</v>
      </c>
      <c r="P879">
        <v>21.56</v>
      </c>
    </row>
    <row r="880" spans="1:16">
      <c r="A880" s="4">
        <v>2018</v>
      </c>
      <c r="B880" s="4">
        <v>166198</v>
      </c>
      <c r="C880" t="s">
        <v>2798</v>
      </c>
      <c r="D880" t="s">
        <v>1529</v>
      </c>
      <c r="E880" t="s">
        <v>42</v>
      </c>
      <c r="F880" t="s">
        <v>2799</v>
      </c>
      <c r="G880" t="s">
        <v>2800</v>
      </c>
      <c r="H880" t="s">
        <v>21</v>
      </c>
      <c r="I880" t="s">
        <v>97</v>
      </c>
      <c r="J880" t="s">
        <v>271</v>
      </c>
      <c r="K880" t="s">
        <v>165</v>
      </c>
      <c r="L880" t="s">
        <v>66</v>
      </c>
      <c r="M880" t="s">
        <v>2801</v>
      </c>
      <c r="N880" t="s">
        <v>38</v>
      </c>
      <c r="O880" t="s">
        <v>68</v>
      </c>
      <c r="P880">
        <v>11.54</v>
      </c>
    </row>
    <row r="881" spans="1:16">
      <c r="A881" s="4">
        <v>2018</v>
      </c>
      <c r="B881" s="4">
        <v>102414</v>
      </c>
      <c r="C881" t="s">
        <v>2309</v>
      </c>
      <c r="D881" t="s">
        <v>1611</v>
      </c>
      <c r="E881" t="s">
        <v>144</v>
      </c>
      <c r="F881" t="s">
        <v>2802</v>
      </c>
      <c r="G881" t="s">
        <v>2803</v>
      </c>
      <c r="H881" t="s">
        <v>21</v>
      </c>
      <c r="I881" t="s">
        <v>97</v>
      </c>
      <c r="J881" t="s">
        <v>1713</v>
      </c>
      <c r="K881" t="s">
        <v>136</v>
      </c>
      <c r="L881" t="s">
        <v>66</v>
      </c>
      <c r="M881" t="s">
        <v>2804</v>
      </c>
      <c r="N881" t="s">
        <v>38</v>
      </c>
      <c r="O881" t="s">
        <v>118</v>
      </c>
      <c r="P881">
        <v>29.591999999999999</v>
      </c>
    </row>
    <row r="882" spans="1:16">
      <c r="A882" s="4">
        <v>2018</v>
      </c>
      <c r="B882" s="4">
        <v>135860</v>
      </c>
      <c r="C882" t="s">
        <v>1397</v>
      </c>
      <c r="D882" t="s">
        <v>1746</v>
      </c>
      <c r="E882" t="s">
        <v>18</v>
      </c>
      <c r="F882" t="s">
        <v>2805</v>
      </c>
      <c r="G882" t="s">
        <v>2806</v>
      </c>
      <c r="H882" t="s">
        <v>33</v>
      </c>
      <c r="I882" t="s">
        <v>97</v>
      </c>
      <c r="J882" t="s">
        <v>2807</v>
      </c>
      <c r="K882" t="s">
        <v>855</v>
      </c>
      <c r="L882" t="s">
        <v>36</v>
      </c>
      <c r="M882" t="s">
        <v>2808</v>
      </c>
      <c r="N882" t="s">
        <v>27</v>
      </c>
      <c r="O882" t="s">
        <v>58</v>
      </c>
      <c r="P882">
        <v>83.92</v>
      </c>
    </row>
    <row r="883" spans="1:16">
      <c r="A883" s="4">
        <v>2016</v>
      </c>
      <c r="B883" s="4">
        <v>109638</v>
      </c>
      <c r="C883" t="s">
        <v>1786</v>
      </c>
      <c r="D883" t="s">
        <v>2809</v>
      </c>
      <c r="E883" t="s">
        <v>18</v>
      </c>
      <c r="F883" t="s">
        <v>2805</v>
      </c>
      <c r="G883" t="s">
        <v>2806</v>
      </c>
      <c r="H883" t="s">
        <v>33</v>
      </c>
      <c r="I883" t="s">
        <v>97</v>
      </c>
      <c r="J883" t="s">
        <v>271</v>
      </c>
      <c r="K883" t="s">
        <v>165</v>
      </c>
      <c r="L883" t="s">
        <v>66</v>
      </c>
      <c r="M883" t="s">
        <v>2810</v>
      </c>
      <c r="N883" t="s">
        <v>27</v>
      </c>
      <c r="O883" t="s">
        <v>228</v>
      </c>
      <c r="P883">
        <v>103.92</v>
      </c>
    </row>
    <row r="884" spans="1:16">
      <c r="A884" s="4">
        <v>2015</v>
      </c>
      <c r="B884" s="4">
        <v>148950</v>
      </c>
      <c r="C884" t="s">
        <v>2811</v>
      </c>
      <c r="D884" t="s">
        <v>709</v>
      </c>
      <c r="E884" t="s">
        <v>18</v>
      </c>
      <c r="F884" t="s">
        <v>2812</v>
      </c>
      <c r="G884" t="s">
        <v>2813</v>
      </c>
      <c r="H884" t="s">
        <v>21</v>
      </c>
      <c r="I884" t="s">
        <v>97</v>
      </c>
      <c r="J884" t="s">
        <v>108</v>
      </c>
      <c r="K884" t="s">
        <v>109</v>
      </c>
      <c r="L884" t="s">
        <v>36</v>
      </c>
      <c r="M884" t="s">
        <v>2814</v>
      </c>
      <c r="N884" t="s">
        <v>27</v>
      </c>
      <c r="O884" t="s">
        <v>101</v>
      </c>
      <c r="P884">
        <v>5.1040000000000001</v>
      </c>
    </row>
    <row r="885" spans="1:16">
      <c r="A885" s="4">
        <v>2017</v>
      </c>
      <c r="B885" s="4">
        <v>163776</v>
      </c>
      <c r="C885" t="s">
        <v>2815</v>
      </c>
      <c r="D885" t="s">
        <v>1338</v>
      </c>
      <c r="E885" t="s">
        <v>18</v>
      </c>
      <c r="F885" t="s">
        <v>2816</v>
      </c>
      <c r="G885" t="s">
        <v>2817</v>
      </c>
      <c r="H885" t="s">
        <v>33</v>
      </c>
      <c r="I885" t="s">
        <v>97</v>
      </c>
      <c r="J885" t="s">
        <v>2818</v>
      </c>
      <c r="K885" t="s">
        <v>1444</v>
      </c>
      <c r="L885" t="s">
        <v>45</v>
      </c>
      <c r="M885" t="s">
        <v>2819</v>
      </c>
      <c r="N885" t="s">
        <v>79</v>
      </c>
      <c r="O885" t="s">
        <v>80</v>
      </c>
      <c r="P885">
        <v>185.58</v>
      </c>
    </row>
    <row r="886" spans="1:16">
      <c r="A886" s="4">
        <v>2018</v>
      </c>
      <c r="B886" s="4">
        <v>125990</v>
      </c>
      <c r="C886" t="s">
        <v>659</v>
      </c>
      <c r="D886" t="s">
        <v>2696</v>
      </c>
      <c r="E886" t="s">
        <v>18</v>
      </c>
      <c r="F886" t="s">
        <v>2816</v>
      </c>
      <c r="G886" t="s">
        <v>2817</v>
      </c>
      <c r="H886" t="s">
        <v>33</v>
      </c>
      <c r="I886" t="s">
        <v>97</v>
      </c>
      <c r="J886" t="s">
        <v>226</v>
      </c>
      <c r="K886" t="s">
        <v>65</v>
      </c>
      <c r="L886" t="s">
        <v>66</v>
      </c>
      <c r="M886" t="s">
        <v>2820</v>
      </c>
      <c r="N886" t="s">
        <v>27</v>
      </c>
      <c r="O886" t="s">
        <v>101</v>
      </c>
      <c r="P886">
        <v>39.624000000000002</v>
      </c>
    </row>
    <row r="887" spans="1:16">
      <c r="A887" s="4">
        <v>2018</v>
      </c>
      <c r="B887" s="4">
        <v>147221</v>
      </c>
      <c r="C887" t="s">
        <v>102</v>
      </c>
      <c r="D887" t="s">
        <v>1624</v>
      </c>
      <c r="E887" t="s">
        <v>144</v>
      </c>
      <c r="F887" t="s">
        <v>2816</v>
      </c>
      <c r="G887" t="s">
        <v>2817</v>
      </c>
      <c r="H887" t="s">
        <v>33</v>
      </c>
      <c r="I887" t="s">
        <v>97</v>
      </c>
      <c r="J887" t="s">
        <v>183</v>
      </c>
      <c r="K887" t="s">
        <v>35</v>
      </c>
      <c r="L887" t="s">
        <v>36</v>
      </c>
      <c r="M887" t="s">
        <v>2821</v>
      </c>
      <c r="N887" t="s">
        <v>27</v>
      </c>
      <c r="O887" t="s">
        <v>228</v>
      </c>
      <c r="P887">
        <v>294.62</v>
      </c>
    </row>
    <row r="888" spans="1:16">
      <c r="A888" s="4">
        <v>2017</v>
      </c>
      <c r="B888" s="4">
        <v>139269</v>
      </c>
      <c r="C888" t="s">
        <v>2822</v>
      </c>
      <c r="D888" t="s">
        <v>994</v>
      </c>
      <c r="E888" t="s">
        <v>18</v>
      </c>
      <c r="F888" t="s">
        <v>2823</v>
      </c>
      <c r="G888" t="s">
        <v>2824</v>
      </c>
      <c r="H888" t="s">
        <v>21</v>
      </c>
      <c r="I888" t="s">
        <v>63</v>
      </c>
      <c r="J888" t="s">
        <v>473</v>
      </c>
      <c r="K888" t="s">
        <v>86</v>
      </c>
      <c r="L888" t="s">
        <v>45</v>
      </c>
      <c r="M888" t="s">
        <v>2825</v>
      </c>
      <c r="N888" t="s">
        <v>79</v>
      </c>
      <c r="O888" t="s">
        <v>80</v>
      </c>
      <c r="P888">
        <v>24.96</v>
      </c>
    </row>
    <row r="889" spans="1:16">
      <c r="A889" s="4">
        <v>2016</v>
      </c>
      <c r="B889" s="4">
        <v>120621</v>
      </c>
      <c r="C889" t="s">
        <v>2826</v>
      </c>
      <c r="D889" t="s">
        <v>789</v>
      </c>
      <c r="E889" t="s">
        <v>18</v>
      </c>
      <c r="F889" t="s">
        <v>2827</v>
      </c>
      <c r="G889" t="s">
        <v>2828</v>
      </c>
      <c r="H889" t="s">
        <v>33</v>
      </c>
      <c r="I889" t="s">
        <v>97</v>
      </c>
      <c r="J889" t="s">
        <v>43</v>
      </c>
      <c r="K889" t="s">
        <v>44</v>
      </c>
      <c r="L889" t="s">
        <v>45</v>
      </c>
      <c r="M889" t="s">
        <v>1190</v>
      </c>
      <c r="N889" t="s">
        <v>27</v>
      </c>
      <c r="O889" t="s">
        <v>228</v>
      </c>
      <c r="P889">
        <v>962.08</v>
      </c>
    </row>
    <row r="890" spans="1:16">
      <c r="A890" s="4">
        <v>2017</v>
      </c>
      <c r="B890" s="4">
        <v>109176</v>
      </c>
      <c r="C890" t="s">
        <v>687</v>
      </c>
      <c r="D890" t="s">
        <v>2239</v>
      </c>
      <c r="E890" t="s">
        <v>18</v>
      </c>
      <c r="F890" t="s">
        <v>2827</v>
      </c>
      <c r="G890" t="s">
        <v>2828</v>
      </c>
      <c r="H890" t="s">
        <v>33</v>
      </c>
      <c r="I890" t="s">
        <v>97</v>
      </c>
      <c r="J890" t="s">
        <v>23</v>
      </c>
      <c r="K890" t="s">
        <v>24</v>
      </c>
      <c r="L890" t="s">
        <v>25</v>
      </c>
      <c r="M890" t="s">
        <v>894</v>
      </c>
      <c r="N890" t="s">
        <v>27</v>
      </c>
      <c r="O890" t="s">
        <v>501</v>
      </c>
      <c r="P890">
        <v>9.3439999999999994</v>
      </c>
    </row>
    <row r="891" spans="1:16">
      <c r="A891" s="4">
        <v>2016</v>
      </c>
      <c r="B891" s="4">
        <v>107678</v>
      </c>
      <c r="C891" t="s">
        <v>2829</v>
      </c>
      <c r="D891" t="s">
        <v>2664</v>
      </c>
      <c r="E891" t="s">
        <v>18</v>
      </c>
      <c r="F891" t="s">
        <v>2830</v>
      </c>
      <c r="G891" t="s">
        <v>2831</v>
      </c>
      <c r="H891" t="s">
        <v>21</v>
      </c>
      <c r="I891" t="s">
        <v>97</v>
      </c>
      <c r="J891" t="s">
        <v>617</v>
      </c>
      <c r="K891" t="s">
        <v>126</v>
      </c>
      <c r="L891" t="s">
        <v>45</v>
      </c>
      <c r="M891" t="s">
        <v>2832</v>
      </c>
      <c r="N891" t="s">
        <v>79</v>
      </c>
      <c r="O891" t="s">
        <v>138</v>
      </c>
      <c r="P891">
        <v>191.96</v>
      </c>
    </row>
    <row r="892" spans="1:16">
      <c r="A892" s="4">
        <v>2018</v>
      </c>
      <c r="B892" s="4">
        <v>126046</v>
      </c>
      <c r="C892" t="s">
        <v>1584</v>
      </c>
      <c r="D892" t="s">
        <v>199</v>
      </c>
      <c r="E892" t="s">
        <v>18</v>
      </c>
      <c r="F892" t="s">
        <v>2833</v>
      </c>
      <c r="G892" t="s">
        <v>2834</v>
      </c>
      <c r="H892" t="s">
        <v>33</v>
      </c>
      <c r="I892" t="s">
        <v>22</v>
      </c>
      <c r="J892" t="s">
        <v>85</v>
      </c>
      <c r="K892" t="s">
        <v>86</v>
      </c>
      <c r="L892" t="s">
        <v>45</v>
      </c>
      <c r="M892" t="s">
        <v>2835</v>
      </c>
      <c r="N892" t="s">
        <v>27</v>
      </c>
      <c r="O892" t="s">
        <v>111</v>
      </c>
      <c r="P892">
        <v>12.39</v>
      </c>
    </row>
    <row r="893" spans="1:16">
      <c r="A893" s="4">
        <v>2018</v>
      </c>
      <c r="B893" s="4">
        <v>139913</v>
      </c>
      <c r="C893" t="s">
        <v>2696</v>
      </c>
      <c r="D893" t="s">
        <v>2253</v>
      </c>
      <c r="E893" t="s">
        <v>18</v>
      </c>
      <c r="F893" t="s">
        <v>2833</v>
      </c>
      <c r="G893" t="s">
        <v>2834</v>
      </c>
      <c r="H893" t="s">
        <v>33</v>
      </c>
      <c r="I893" t="s">
        <v>22</v>
      </c>
      <c r="J893" t="s">
        <v>663</v>
      </c>
      <c r="K893" t="s">
        <v>50</v>
      </c>
      <c r="L893" t="s">
        <v>25</v>
      </c>
      <c r="M893" t="s">
        <v>2836</v>
      </c>
      <c r="N893" t="s">
        <v>27</v>
      </c>
      <c r="O893" t="s">
        <v>52</v>
      </c>
      <c r="P893">
        <v>11.56</v>
      </c>
    </row>
    <row r="894" spans="1:16">
      <c r="A894" s="4">
        <v>2016</v>
      </c>
      <c r="B894" s="4">
        <v>149734</v>
      </c>
      <c r="C894" t="s">
        <v>2577</v>
      </c>
      <c r="D894" t="s">
        <v>2578</v>
      </c>
      <c r="E894" t="s">
        <v>18</v>
      </c>
      <c r="F894" t="s">
        <v>2833</v>
      </c>
      <c r="G894" t="s">
        <v>2834</v>
      </c>
      <c r="H894" t="s">
        <v>33</v>
      </c>
      <c r="I894" t="s">
        <v>22</v>
      </c>
      <c r="J894" t="s">
        <v>2837</v>
      </c>
      <c r="K894" t="s">
        <v>44</v>
      </c>
      <c r="L894" t="s">
        <v>45</v>
      </c>
      <c r="M894" t="s">
        <v>2612</v>
      </c>
      <c r="N894" t="s">
        <v>27</v>
      </c>
      <c r="O894" t="s">
        <v>501</v>
      </c>
      <c r="P894">
        <v>200.98400000000001</v>
      </c>
    </row>
    <row r="895" spans="1:16">
      <c r="A895" s="4">
        <v>2017</v>
      </c>
      <c r="B895" s="4">
        <v>150945</v>
      </c>
      <c r="C895" t="s">
        <v>191</v>
      </c>
      <c r="D895" t="s">
        <v>192</v>
      </c>
      <c r="E895" t="s">
        <v>144</v>
      </c>
      <c r="F895" t="s">
        <v>2838</v>
      </c>
      <c r="G895" t="s">
        <v>2839</v>
      </c>
      <c r="H895" t="s">
        <v>33</v>
      </c>
      <c r="I895" t="s">
        <v>63</v>
      </c>
      <c r="J895" t="s">
        <v>49</v>
      </c>
      <c r="K895" t="s">
        <v>50</v>
      </c>
      <c r="L895" t="s">
        <v>25</v>
      </c>
      <c r="M895" t="s">
        <v>2840</v>
      </c>
      <c r="N895" t="s">
        <v>27</v>
      </c>
      <c r="O895" t="s">
        <v>58</v>
      </c>
      <c r="P895">
        <v>900.08</v>
      </c>
    </row>
    <row r="896" spans="1:16">
      <c r="A896" s="4">
        <v>2017</v>
      </c>
      <c r="B896" s="4">
        <v>117849</v>
      </c>
      <c r="C896" t="s">
        <v>842</v>
      </c>
      <c r="D896" t="s">
        <v>843</v>
      </c>
      <c r="E896" t="s">
        <v>144</v>
      </c>
      <c r="F896" t="s">
        <v>2838</v>
      </c>
      <c r="G896" t="s">
        <v>2839</v>
      </c>
      <c r="H896" t="s">
        <v>33</v>
      </c>
      <c r="I896" t="s">
        <v>63</v>
      </c>
      <c r="J896" t="s">
        <v>630</v>
      </c>
      <c r="K896" t="s">
        <v>65</v>
      </c>
      <c r="L896" t="s">
        <v>66</v>
      </c>
      <c r="M896" t="s">
        <v>2841</v>
      </c>
      <c r="N896" t="s">
        <v>27</v>
      </c>
      <c r="O896" t="s">
        <v>52</v>
      </c>
      <c r="P896">
        <v>143.69999999999999</v>
      </c>
    </row>
    <row r="897" spans="1:16">
      <c r="A897" s="4">
        <v>2016</v>
      </c>
      <c r="B897" s="4">
        <v>130022</v>
      </c>
      <c r="C897" t="s">
        <v>2842</v>
      </c>
      <c r="D897" t="s">
        <v>1687</v>
      </c>
      <c r="E897" t="s">
        <v>18</v>
      </c>
      <c r="F897" t="s">
        <v>2838</v>
      </c>
      <c r="G897" t="s">
        <v>2839</v>
      </c>
      <c r="H897" t="s">
        <v>33</v>
      </c>
      <c r="I897" t="s">
        <v>63</v>
      </c>
      <c r="J897" t="s">
        <v>1585</v>
      </c>
      <c r="K897" t="s">
        <v>372</v>
      </c>
      <c r="L897" t="s">
        <v>36</v>
      </c>
      <c r="M897" t="s">
        <v>1709</v>
      </c>
      <c r="N897" t="s">
        <v>27</v>
      </c>
      <c r="O897" t="s">
        <v>111</v>
      </c>
      <c r="P897">
        <v>3.75</v>
      </c>
    </row>
    <row r="898" spans="1:16">
      <c r="A898" s="4">
        <v>2016</v>
      </c>
      <c r="B898" s="4">
        <v>134859</v>
      </c>
      <c r="C898" t="s">
        <v>293</v>
      </c>
      <c r="D898" t="s">
        <v>1650</v>
      </c>
      <c r="E898" t="s">
        <v>18</v>
      </c>
      <c r="F898" t="s">
        <v>2838</v>
      </c>
      <c r="G898" t="s">
        <v>2839</v>
      </c>
      <c r="H898" t="s">
        <v>33</v>
      </c>
      <c r="I898" t="s">
        <v>63</v>
      </c>
      <c r="J898" t="s">
        <v>23</v>
      </c>
      <c r="K898" t="s">
        <v>24</v>
      </c>
      <c r="L898" t="s">
        <v>25</v>
      </c>
      <c r="M898" t="s">
        <v>2843</v>
      </c>
      <c r="N898" t="s">
        <v>79</v>
      </c>
      <c r="O898" t="s">
        <v>80</v>
      </c>
      <c r="P898">
        <v>64.944000000000003</v>
      </c>
    </row>
    <row r="899" spans="1:16">
      <c r="A899" s="4">
        <v>2017</v>
      </c>
      <c r="B899" s="4">
        <v>124562</v>
      </c>
      <c r="C899" t="s">
        <v>220</v>
      </c>
      <c r="D899" t="s">
        <v>2315</v>
      </c>
      <c r="E899" t="s">
        <v>18</v>
      </c>
      <c r="F899" t="s">
        <v>2844</v>
      </c>
      <c r="G899" t="s">
        <v>2845</v>
      </c>
      <c r="H899" t="s">
        <v>21</v>
      </c>
      <c r="I899" t="s">
        <v>63</v>
      </c>
      <c r="J899" t="s">
        <v>473</v>
      </c>
      <c r="K899" t="s">
        <v>237</v>
      </c>
      <c r="L899" t="s">
        <v>25</v>
      </c>
      <c r="M899" t="s">
        <v>2846</v>
      </c>
      <c r="N899" t="s">
        <v>27</v>
      </c>
      <c r="O899" t="s">
        <v>101</v>
      </c>
      <c r="P899">
        <v>12.957000000000001</v>
      </c>
    </row>
    <row r="900" spans="1:16">
      <c r="A900" s="4">
        <v>2017</v>
      </c>
      <c r="B900" s="4">
        <v>147067</v>
      </c>
      <c r="C900" t="s">
        <v>191</v>
      </c>
      <c r="D900" t="s">
        <v>2847</v>
      </c>
      <c r="E900" t="s">
        <v>18</v>
      </c>
      <c r="F900" t="s">
        <v>2848</v>
      </c>
      <c r="G900" t="s">
        <v>2849</v>
      </c>
      <c r="H900" t="s">
        <v>33</v>
      </c>
      <c r="I900" t="s">
        <v>22</v>
      </c>
      <c r="J900" t="s">
        <v>371</v>
      </c>
      <c r="K900" t="s">
        <v>372</v>
      </c>
      <c r="L900" t="s">
        <v>36</v>
      </c>
      <c r="M900" t="s">
        <v>2850</v>
      </c>
      <c r="N900" t="s">
        <v>79</v>
      </c>
      <c r="O900" t="s">
        <v>80</v>
      </c>
      <c r="P900">
        <v>18.84</v>
      </c>
    </row>
    <row r="901" spans="1:16">
      <c r="A901" s="4">
        <v>2015</v>
      </c>
      <c r="B901" s="4">
        <v>119144</v>
      </c>
      <c r="C901" t="s">
        <v>154</v>
      </c>
      <c r="D901" t="s">
        <v>444</v>
      </c>
      <c r="E901" t="s">
        <v>42</v>
      </c>
      <c r="F901" t="s">
        <v>2848</v>
      </c>
      <c r="G901" t="s">
        <v>2849</v>
      </c>
      <c r="H901" t="s">
        <v>33</v>
      </c>
      <c r="I901" t="s">
        <v>22</v>
      </c>
      <c r="J901" t="s">
        <v>64</v>
      </c>
      <c r="K901" t="s">
        <v>65</v>
      </c>
      <c r="L901" t="s">
        <v>66</v>
      </c>
      <c r="M901" t="s">
        <v>1589</v>
      </c>
      <c r="N901" t="s">
        <v>38</v>
      </c>
      <c r="O901" t="s">
        <v>118</v>
      </c>
      <c r="P901">
        <v>79.968000000000004</v>
      </c>
    </row>
    <row r="902" spans="1:16">
      <c r="A902" s="4">
        <v>2018</v>
      </c>
      <c r="B902" s="4">
        <v>155880</v>
      </c>
      <c r="C902" t="s">
        <v>849</v>
      </c>
      <c r="D902" t="s">
        <v>1194</v>
      </c>
      <c r="E902" t="s">
        <v>18</v>
      </c>
      <c r="F902" t="s">
        <v>2848</v>
      </c>
      <c r="G902" t="s">
        <v>2849</v>
      </c>
      <c r="H902" t="s">
        <v>33</v>
      </c>
      <c r="I902" t="s">
        <v>22</v>
      </c>
      <c r="J902" t="s">
        <v>477</v>
      </c>
      <c r="K902" t="s">
        <v>478</v>
      </c>
      <c r="L902" t="s">
        <v>36</v>
      </c>
      <c r="M902" t="s">
        <v>2851</v>
      </c>
      <c r="N902" t="s">
        <v>79</v>
      </c>
      <c r="O902" t="s">
        <v>138</v>
      </c>
      <c r="P902">
        <v>90.99</v>
      </c>
    </row>
    <row r="903" spans="1:16">
      <c r="A903" s="4">
        <v>2016</v>
      </c>
      <c r="B903" s="4">
        <v>147739</v>
      </c>
      <c r="C903" t="s">
        <v>601</v>
      </c>
      <c r="D903" t="s">
        <v>2852</v>
      </c>
      <c r="E903" t="s">
        <v>18</v>
      </c>
      <c r="F903" t="s">
        <v>2848</v>
      </c>
      <c r="G903" t="s">
        <v>2849</v>
      </c>
      <c r="H903" t="s">
        <v>33</v>
      </c>
      <c r="I903" t="s">
        <v>22</v>
      </c>
      <c r="J903" t="s">
        <v>23</v>
      </c>
      <c r="K903" t="s">
        <v>24</v>
      </c>
      <c r="L903" t="s">
        <v>25</v>
      </c>
      <c r="M903" t="s">
        <v>2853</v>
      </c>
      <c r="N903" t="s">
        <v>79</v>
      </c>
      <c r="O903" t="s">
        <v>80</v>
      </c>
      <c r="P903">
        <v>547.13599999999997</v>
      </c>
    </row>
    <row r="904" spans="1:16">
      <c r="A904" s="4">
        <v>2016</v>
      </c>
      <c r="B904" s="4">
        <v>145184</v>
      </c>
      <c r="C904" t="s">
        <v>1096</v>
      </c>
      <c r="D904" t="s">
        <v>584</v>
      </c>
      <c r="E904" t="s">
        <v>42</v>
      </c>
      <c r="F904" t="s">
        <v>2848</v>
      </c>
      <c r="G904" t="s">
        <v>2849</v>
      </c>
      <c r="H904" t="s">
        <v>33</v>
      </c>
      <c r="I904" t="s">
        <v>22</v>
      </c>
      <c r="J904" t="s">
        <v>987</v>
      </c>
      <c r="K904" t="s">
        <v>1392</v>
      </c>
      <c r="L904" t="s">
        <v>25</v>
      </c>
      <c r="M904" t="s">
        <v>2854</v>
      </c>
      <c r="N904" t="s">
        <v>38</v>
      </c>
      <c r="O904" t="s">
        <v>118</v>
      </c>
      <c r="P904">
        <v>83.97</v>
      </c>
    </row>
    <row r="905" spans="1:16">
      <c r="A905" s="4">
        <v>2017</v>
      </c>
      <c r="B905" s="4">
        <v>114489</v>
      </c>
      <c r="C905" t="s">
        <v>279</v>
      </c>
      <c r="D905" t="s">
        <v>1532</v>
      </c>
      <c r="E905" t="s">
        <v>18</v>
      </c>
      <c r="F905" t="s">
        <v>2855</v>
      </c>
      <c r="G905" t="s">
        <v>2856</v>
      </c>
      <c r="H905" t="s">
        <v>21</v>
      </c>
      <c r="I905" t="s">
        <v>22</v>
      </c>
      <c r="J905" t="s">
        <v>283</v>
      </c>
      <c r="K905" t="s">
        <v>478</v>
      </c>
      <c r="L905" t="s">
        <v>36</v>
      </c>
      <c r="M905" t="s">
        <v>2857</v>
      </c>
      <c r="N905" t="s">
        <v>38</v>
      </c>
      <c r="O905" t="s">
        <v>118</v>
      </c>
      <c r="P905">
        <v>384.45</v>
      </c>
    </row>
    <row r="906" spans="1:16">
      <c r="A906" s="4">
        <v>2016</v>
      </c>
      <c r="B906" s="4">
        <v>138898</v>
      </c>
      <c r="C906" t="s">
        <v>2858</v>
      </c>
      <c r="D906" t="s">
        <v>2757</v>
      </c>
      <c r="E906" t="s">
        <v>18</v>
      </c>
      <c r="F906" t="s">
        <v>2859</v>
      </c>
      <c r="G906" t="s">
        <v>2860</v>
      </c>
      <c r="H906" t="s">
        <v>33</v>
      </c>
      <c r="I906" t="s">
        <v>97</v>
      </c>
      <c r="J906" t="s">
        <v>2861</v>
      </c>
      <c r="K906" t="s">
        <v>222</v>
      </c>
      <c r="L906" t="s">
        <v>66</v>
      </c>
      <c r="M906" t="s">
        <v>2862</v>
      </c>
      <c r="N906" t="s">
        <v>27</v>
      </c>
      <c r="O906" t="s">
        <v>228</v>
      </c>
      <c r="P906">
        <v>845.72799999999995</v>
      </c>
    </row>
    <row r="907" spans="1:16">
      <c r="A907" s="4">
        <v>2017</v>
      </c>
      <c r="B907" s="4">
        <v>161907</v>
      </c>
      <c r="C907" t="s">
        <v>1571</v>
      </c>
      <c r="D907" t="s">
        <v>2863</v>
      </c>
      <c r="E907" t="s">
        <v>18</v>
      </c>
      <c r="F907" t="s">
        <v>2859</v>
      </c>
      <c r="G907" t="s">
        <v>2860</v>
      </c>
      <c r="H907" t="s">
        <v>33</v>
      </c>
      <c r="I907" t="s">
        <v>97</v>
      </c>
      <c r="J907" t="s">
        <v>23</v>
      </c>
      <c r="K907" t="s">
        <v>24</v>
      </c>
      <c r="L907" t="s">
        <v>25</v>
      </c>
      <c r="M907" t="s">
        <v>524</v>
      </c>
      <c r="N907" t="s">
        <v>38</v>
      </c>
      <c r="O907" t="s">
        <v>118</v>
      </c>
      <c r="P907">
        <v>118.782</v>
      </c>
    </row>
    <row r="908" spans="1:16">
      <c r="A908" s="4">
        <v>2015</v>
      </c>
      <c r="B908" s="4">
        <v>157721</v>
      </c>
      <c r="C908" t="s">
        <v>415</v>
      </c>
      <c r="D908" t="s">
        <v>2864</v>
      </c>
      <c r="E908" t="s">
        <v>42</v>
      </c>
      <c r="F908" t="s">
        <v>2865</v>
      </c>
      <c r="G908" t="s">
        <v>2866</v>
      </c>
      <c r="H908" t="s">
        <v>33</v>
      </c>
      <c r="I908" t="s">
        <v>97</v>
      </c>
      <c r="J908" t="s">
        <v>1953</v>
      </c>
      <c r="K908" t="s">
        <v>50</v>
      </c>
      <c r="L908" t="s">
        <v>25</v>
      </c>
      <c r="M908" t="s">
        <v>2867</v>
      </c>
      <c r="N908" t="s">
        <v>27</v>
      </c>
      <c r="O908" t="s">
        <v>228</v>
      </c>
      <c r="P908">
        <v>19.899999999999999</v>
      </c>
    </row>
    <row r="909" spans="1:16">
      <c r="A909" s="4">
        <v>2018</v>
      </c>
      <c r="B909" s="4">
        <v>151008</v>
      </c>
      <c r="C909" t="s">
        <v>475</v>
      </c>
      <c r="D909" t="s">
        <v>626</v>
      </c>
      <c r="E909" t="s">
        <v>42</v>
      </c>
      <c r="F909" t="s">
        <v>2865</v>
      </c>
      <c r="G909" t="s">
        <v>2866</v>
      </c>
      <c r="H909" t="s">
        <v>33</v>
      </c>
      <c r="I909" t="s">
        <v>97</v>
      </c>
      <c r="J909" t="s">
        <v>2868</v>
      </c>
      <c r="K909" t="s">
        <v>217</v>
      </c>
      <c r="L909" t="s">
        <v>66</v>
      </c>
      <c r="M909" t="s">
        <v>2869</v>
      </c>
      <c r="N909" t="s">
        <v>79</v>
      </c>
      <c r="O909" t="s">
        <v>80</v>
      </c>
      <c r="P909">
        <v>25.16</v>
      </c>
    </row>
    <row r="910" spans="1:16">
      <c r="A910" s="4">
        <v>2016</v>
      </c>
      <c r="B910" s="4">
        <v>116092</v>
      </c>
      <c r="C910" t="s">
        <v>2870</v>
      </c>
      <c r="D910" t="s">
        <v>439</v>
      </c>
      <c r="E910" t="s">
        <v>144</v>
      </c>
      <c r="F910" t="s">
        <v>2865</v>
      </c>
      <c r="G910" t="s">
        <v>2866</v>
      </c>
      <c r="H910" t="s">
        <v>33</v>
      </c>
      <c r="I910" t="s">
        <v>97</v>
      </c>
      <c r="J910" t="s">
        <v>64</v>
      </c>
      <c r="K910" t="s">
        <v>65</v>
      </c>
      <c r="L910" t="s">
        <v>66</v>
      </c>
      <c r="M910" t="s">
        <v>2871</v>
      </c>
      <c r="N910" t="s">
        <v>27</v>
      </c>
      <c r="O910" t="s">
        <v>52</v>
      </c>
      <c r="P910">
        <v>13.36</v>
      </c>
    </row>
    <row r="911" spans="1:16">
      <c r="A911" s="4">
        <v>2017</v>
      </c>
      <c r="B911" s="4">
        <v>114622</v>
      </c>
      <c r="C911" t="s">
        <v>989</v>
      </c>
      <c r="D911" t="s">
        <v>822</v>
      </c>
      <c r="E911" t="s">
        <v>42</v>
      </c>
      <c r="F911" t="s">
        <v>2872</v>
      </c>
      <c r="G911" t="s">
        <v>2873</v>
      </c>
      <c r="H911" t="s">
        <v>33</v>
      </c>
      <c r="I911" t="s">
        <v>22</v>
      </c>
      <c r="J911" t="s">
        <v>98</v>
      </c>
      <c r="K911" t="s">
        <v>237</v>
      </c>
      <c r="L911" t="s">
        <v>25</v>
      </c>
      <c r="M911" t="s">
        <v>2874</v>
      </c>
      <c r="N911" t="s">
        <v>27</v>
      </c>
      <c r="O911" t="s">
        <v>101</v>
      </c>
      <c r="P911">
        <v>8.9039999999999999</v>
      </c>
    </row>
    <row r="912" spans="1:16">
      <c r="A912" s="4">
        <v>2016</v>
      </c>
      <c r="B912" s="4">
        <v>142202</v>
      </c>
      <c r="C912" t="s">
        <v>2875</v>
      </c>
      <c r="D912" t="s">
        <v>1502</v>
      </c>
      <c r="E912" t="s">
        <v>144</v>
      </c>
      <c r="F912" t="s">
        <v>2872</v>
      </c>
      <c r="G912" t="s">
        <v>2873</v>
      </c>
      <c r="H912" t="s">
        <v>33</v>
      </c>
      <c r="I912" t="s">
        <v>22</v>
      </c>
      <c r="J912" t="s">
        <v>43</v>
      </c>
      <c r="K912" t="s">
        <v>196</v>
      </c>
      <c r="L912" t="s">
        <v>45</v>
      </c>
      <c r="M912" t="s">
        <v>2876</v>
      </c>
      <c r="N912" t="s">
        <v>38</v>
      </c>
      <c r="O912" t="s">
        <v>68</v>
      </c>
      <c r="P912">
        <v>717.12</v>
      </c>
    </row>
    <row r="913" spans="1:16">
      <c r="A913" s="4">
        <v>2017</v>
      </c>
      <c r="B913" s="4">
        <v>119935</v>
      </c>
      <c r="C913" t="s">
        <v>277</v>
      </c>
      <c r="D913" t="s">
        <v>315</v>
      </c>
      <c r="E913" t="s">
        <v>18</v>
      </c>
      <c r="F913" t="s">
        <v>2877</v>
      </c>
      <c r="G913" t="s">
        <v>2878</v>
      </c>
      <c r="H913" t="s">
        <v>33</v>
      </c>
      <c r="I913" t="s">
        <v>22</v>
      </c>
      <c r="J913" t="s">
        <v>98</v>
      </c>
      <c r="K913" t="s">
        <v>99</v>
      </c>
      <c r="L913" t="s">
        <v>36</v>
      </c>
      <c r="M913" t="s">
        <v>2879</v>
      </c>
      <c r="N913" t="s">
        <v>79</v>
      </c>
      <c r="O913" t="s">
        <v>80</v>
      </c>
      <c r="P913">
        <v>37.299999999999997</v>
      </c>
    </row>
    <row r="914" spans="1:16">
      <c r="A914" s="4">
        <v>2016</v>
      </c>
      <c r="B914" s="4">
        <v>108665</v>
      </c>
      <c r="C914" t="s">
        <v>2880</v>
      </c>
      <c r="D914" t="s">
        <v>671</v>
      </c>
      <c r="E914" t="s">
        <v>18</v>
      </c>
      <c r="F914" t="s">
        <v>2877</v>
      </c>
      <c r="G914" t="s">
        <v>2878</v>
      </c>
      <c r="H914" t="s">
        <v>33</v>
      </c>
      <c r="I914" t="s">
        <v>22</v>
      </c>
      <c r="J914" t="s">
        <v>49</v>
      </c>
      <c r="K914" t="s">
        <v>50</v>
      </c>
      <c r="L914" t="s">
        <v>25</v>
      </c>
      <c r="M914" t="s">
        <v>1855</v>
      </c>
      <c r="N914" t="s">
        <v>79</v>
      </c>
      <c r="O914" t="s">
        <v>80</v>
      </c>
      <c r="P914">
        <v>13.96</v>
      </c>
    </row>
    <row r="915" spans="1:16">
      <c r="A915" s="4">
        <v>2016</v>
      </c>
      <c r="B915" s="4">
        <v>138093</v>
      </c>
      <c r="C915" t="s">
        <v>2472</v>
      </c>
      <c r="D915" t="s">
        <v>1890</v>
      </c>
      <c r="E915" t="s">
        <v>18</v>
      </c>
      <c r="F915" t="s">
        <v>2877</v>
      </c>
      <c r="G915" t="s">
        <v>2878</v>
      </c>
      <c r="H915" t="s">
        <v>33</v>
      </c>
      <c r="I915" t="s">
        <v>22</v>
      </c>
      <c r="J915" t="s">
        <v>705</v>
      </c>
      <c r="K915" t="s">
        <v>706</v>
      </c>
      <c r="L915" t="s">
        <v>25</v>
      </c>
      <c r="M915" t="s">
        <v>2881</v>
      </c>
      <c r="N915" t="s">
        <v>27</v>
      </c>
      <c r="O915" t="s">
        <v>28</v>
      </c>
      <c r="P915">
        <v>27.36</v>
      </c>
    </row>
    <row r="916" spans="1:16">
      <c r="A916" s="4">
        <v>2016</v>
      </c>
      <c r="B916" s="4">
        <v>102848</v>
      </c>
      <c r="C916" t="s">
        <v>1441</v>
      </c>
      <c r="D916" t="s">
        <v>93</v>
      </c>
      <c r="E916" t="s">
        <v>144</v>
      </c>
      <c r="F916" t="s">
        <v>2882</v>
      </c>
      <c r="G916" t="s">
        <v>2883</v>
      </c>
      <c r="H916" t="s">
        <v>33</v>
      </c>
      <c r="I916" t="s">
        <v>22</v>
      </c>
      <c r="J916" t="s">
        <v>64</v>
      </c>
      <c r="K916" t="s">
        <v>65</v>
      </c>
      <c r="L916" t="s">
        <v>66</v>
      </c>
      <c r="M916" t="s">
        <v>1844</v>
      </c>
      <c r="N916" t="s">
        <v>79</v>
      </c>
      <c r="O916" t="s">
        <v>138</v>
      </c>
      <c r="P916">
        <v>190.72</v>
      </c>
    </row>
    <row r="917" spans="1:16">
      <c r="A917" s="4">
        <v>2018</v>
      </c>
      <c r="B917" s="4">
        <v>142034</v>
      </c>
      <c r="C917" t="s">
        <v>469</v>
      </c>
      <c r="D917" t="s">
        <v>1220</v>
      </c>
      <c r="E917" t="s">
        <v>18</v>
      </c>
      <c r="F917" t="s">
        <v>2882</v>
      </c>
      <c r="G917" t="s">
        <v>2883</v>
      </c>
      <c r="H917" t="s">
        <v>33</v>
      </c>
      <c r="I917" t="s">
        <v>22</v>
      </c>
      <c r="J917" t="s">
        <v>2884</v>
      </c>
      <c r="K917" t="s">
        <v>372</v>
      </c>
      <c r="L917" t="s">
        <v>36</v>
      </c>
      <c r="M917" t="s">
        <v>2885</v>
      </c>
      <c r="N917" t="s">
        <v>38</v>
      </c>
      <c r="O917" t="s">
        <v>68</v>
      </c>
      <c r="P917">
        <v>72</v>
      </c>
    </row>
    <row r="918" spans="1:16">
      <c r="A918" s="4">
        <v>2016</v>
      </c>
      <c r="B918" s="4">
        <v>134922</v>
      </c>
      <c r="C918" t="s">
        <v>1441</v>
      </c>
      <c r="D918" t="s">
        <v>2886</v>
      </c>
      <c r="E918" t="s">
        <v>18</v>
      </c>
      <c r="F918" t="s">
        <v>2882</v>
      </c>
      <c r="G918" t="s">
        <v>2883</v>
      </c>
      <c r="H918" t="s">
        <v>33</v>
      </c>
      <c r="I918" t="s">
        <v>22</v>
      </c>
      <c r="J918" t="s">
        <v>23</v>
      </c>
      <c r="K918" t="s">
        <v>24</v>
      </c>
      <c r="L918" t="s">
        <v>25</v>
      </c>
      <c r="M918" t="s">
        <v>2887</v>
      </c>
      <c r="N918" t="s">
        <v>27</v>
      </c>
      <c r="O918" t="s">
        <v>501</v>
      </c>
      <c r="P918">
        <v>24.4</v>
      </c>
    </row>
    <row r="919" spans="1:16">
      <c r="A919" s="4">
        <v>2017</v>
      </c>
      <c r="B919" s="4">
        <v>125017</v>
      </c>
      <c r="C919" t="s">
        <v>2888</v>
      </c>
      <c r="D919" t="s">
        <v>1173</v>
      </c>
      <c r="E919" t="s">
        <v>18</v>
      </c>
      <c r="F919" t="s">
        <v>2882</v>
      </c>
      <c r="G919" t="s">
        <v>2883</v>
      </c>
      <c r="H919" t="s">
        <v>33</v>
      </c>
      <c r="I919" t="s">
        <v>22</v>
      </c>
      <c r="J919" t="s">
        <v>1285</v>
      </c>
      <c r="K919" t="s">
        <v>206</v>
      </c>
      <c r="L919" t="s">
        <v>45</v>
      </c>
      <c r="M919" t="s">
        <v>2889</v>
      </c>
      <c r="N919" t="s">
        <v>79</v>
      </c>
      <c r="O919" t="s">
        <v>80</v>
      </c>
      <c r="P919">
        <v>132.22399999999999</v>
      </c>
    </row>
    <row r="920" spans="1:16">
      <c r="A920" s="4">
        <v>2017</v>
      </c>
      <c r="B920" s="4">
        <v>105760</v>
      </c>
      <c r="C920" t="s">
        <v>2494</v>
      </c>
      <c r="D920" t="s">
        <v>1159</v>
      </c>
      <c r="E920" t="s">
        <v>42</v>
      </c>
      <c r="F920" t="s">
        <v>2890</v>
      </c>
      <c r="G920" t="s">
        <v>2891</v>
      </c>
      <c r="H920" t="s">
        <v>33</v>
      </c>
      <c r="I920" t="s">
        <v>22</v>
      </c>
      <c r="J920" t="s">
        <v>226</v>
      </c>
      <c r="K920" t="s">
        <v>65</v>
      </c>
      <c r="L920" t="s">
        <v>66</v>
      </c>
      <c r="M920" t="s">
        <v>2892</v>
      </c>
      <c r="N920" t="s">
        <v>27</v>
      </c>
      <c r="O920" t="s">
        <v>52</v>
      </c>
      <c r="P920">
        <v>17.12</v>
      </c>
    </row>
    <row r="921" spans="1:16">
      <c r="A921" s="4">
        <v>2015</v>
      </c>
      <c r="B921" s="4">
        <v>163293</v>
      </c>
      <c r="C921" t="s">
        <v>734</v>
      </c>
      <c r="D921" t="s">
        <v>2893</v>
      </c>
      <c r="E921" t="s">
        <v>42</v>
      </c>
      <c r="F921" t="s">
        <v>2890</v>
      </c>
      <c r="G921" t="s">
        <v>2891</v>
      </c>
      <c r="H921" t="s">
        <v>33</v>
      </c>
      <c r="I921" t="s">
        <v>22</v>
      </c>
      <c r="J921" t="s">
        <v>2733</v>
      </c>
      <c r="K921" t="s">
        <v>86</v>
      </c>
      <c r="L921" t="s">
        <v>45</v>
      </c>
      <c r="M921" t="s">
        <v>2375</v>
      </c>
      <c r="N921" t="s">
        <v>38</v>
      </c>
      <c r="O921" t="s">
        <v>68</v>
      </c>
      <c r="P921">
        <v>32.97</v>
      </c>
    </row>
    <row r="922" spans="1:16">
      <c r="A922" s="4">
        <v>2017</v>
      </c>
      <c r="B922" s="4">
        <v>119823</v>
      </c>
      <c r="C922" t="s">
        <v>816</v>
      </c>
      <c r="D922" t="s">
        <v>1629</v>
      </c>
      <c r="E922" t="s">
        <v>42</v>
      </c>
      <c r="F922" t="s">
        <v>2894</v>
      </c>
      <c r="G922" t="s">
        <v>2895</v>
      </c>
      <c r="H922" t="s">
        <v>33</v>
      </c>
      <c r="I922" t="s">
        <v>97</v>
      </c>
      <c r="J922" t="s">
        <v>98</v>
      </c>
      <c r="K922" t="s">
        <v>56</v>
      </c>
      <c r="L922" t="s">
        <v>45</v>
      </c>
      <c r="M922" t="s">
        <v>2896</v>
      </c>
      <c r="N922" t="s">
        <v>27</v>
      </c>
      <c r="O922" t="s">
        <v>52</v>
      </c>
      <c r="P922">
        <v>75.88</v>
      </c>
    </row>
    <row r="923" spans="1:16">
      <c r="A923" s="4">
        <v>2017</v>
      </c>
      <c r="B923" s="4">
        <v>130407</v>
      </c>
      <c r="C923" t="s">
        <v>1200</v>
      </c>
      <c r="D923" t="s">
        <v>1986</v>
      </c>
      <c r="E923" t="s">
        <v>18</v>
      </c>
      <c r="F923" t="s">
        <v>2894</v>
      </c>
      <c r="G923" t="s">
        <v>2895</v>
      </c>
      <c r="H923" t="s">
        <v>33</v>
      </c>
      <c r="I923" t="s">
        <v>97</v>
      </c>
      <c r="J923" t="s">
        <v>49</v>
      </c>
      <c r="K923" t="s">
        <v>50</v>
      </c>
      <c r="L923" t="s">
        <v>25</v>
      </c>
      <c r="M923" t="s">
        <v>2897</v>
      </c>
      <c r="N923" t="s">
        <v>27</v>
      </c>
      <c r="O923" t="s">
        <v>28</v>
      </c>
      <c r="P923">
        <v>75.48</v>
      </c>
    </row>
    <row r="924" spans="1:16">
      <c r="A924" s="4">
        <v>2016</v>
      </c>
      <c r="B924" s="4">
        <v>110870</v>
      </c>
      <c r="C924" t="s">
        <v>1785</v>
      </c>
      <c r="D924" t="s">
        <v>1786</v>
      </c>
      <c r="E924" t="s">
        <v>42</v>
      </c>
      <c r="F924" t="s">
        <v>2894</v>
      </c>
      <c r="G924" t="s">
        <v>2895</v>
      </c>
      <c r="H924" t="s">
        <v>33</v>
      </c>
      <c r="I924" t="s">
        <v>97</v>
      </c>
      <c r="J924" t="s">
        <v>64</v>
      </c>
      <c r="K924" t="s">
        <v>65</v>
      </c>
      <c r="L924" t="s">
        <v>66</v>
      </c>
      <c r="M924" t="s">
        <v>2898</v>
      </c>
      <c r="N924" t="s">
        <v>38</v>
      </c>
      <c r="O924" t="s">
        <v>68</v>
      </c>
      <c r="P924">
        <v>299.94</v>
      </c>
    </row>
    <row r="925" spans="1:16">
      <c r="A925" s="4">
        <v>2018</v>
      </c>
      <c r="B925" s="4">
        <v>149559</v>
      </c>
      <c r="C925" t="s">
        <v>476</v>
      </c>
      <c r="D925" t="s">
        <v>701</v>
      </c>
      <c r="E925" t="s">
        <v>132</v>
      </c>
      <c r="F925" t="s">
        <v>2899</v>
      </c>
      <c r="G925" t="s">
        <v>2900</v>
      </c>
      <c r="H925" t="s">
        <v>33</v>
      </c>
      <c r="I925" t="s">
        <v>63</v>
      </c>
      <c r="J925" t="s">
        <v>1130</v>
      </c>
      <c r="K925" t="s">
        <v>65</v>
      </c>
      <c r="L925" t="s">
        <v>66</v>
      </c>
      <c r="M925" t="s">
        <v>2901</v>
      </c>
      <c r="N925" t="s">
        <v>27</v>
      </c>
      <c r="O925" t="s">
        <v>52</v>
      </c>
      <c r="P925">
        <v>12.96</v>
      </c>
    </row>
    <row r="926" spans="1:16">
      <c r="A926" s="4">
        <v>2018</v>
      </c>
      <c r="B926" s="4">
        <v>166296</v>
      </c>
      <c r="C926" t="s">
        <v>778</v>
      </c>
      <c r="D926" t="s">
        <v>1156</v>
      </c>
      <c r="E926" t="s">
        <v>18</v>
      </c>
      <c r="F926" t="s">
        <v>2899</v>
      </c>
      <c r="G926" t="s">
        <v>2900</v>
      </c>
      <c r="H926" t="s">
        <v>33</v>
      </c>
      <c r="I926" t="s">
        <v>63</v>
      </c>
      <c r="J926" t="s">
        <v>2902</v>
      </c>
      <c r="K926" t="s">
        <v>65</v>
      </c>
      <c r="L926" t="s">
        <v>66</v>
      </c>
      <c r="M926" t="s">
        <v>2903</v>
      </c>
      <c r="N926" t="s">
        <v>27</v>
      </c>
      <c r="O926" t="s">
        <v>52</v>
      </c>
      <c r="P926">
        <v>314.55</v>
      </c>
    </row>
    <row r="927" spans="1:16">
      <c r="A927" s="4">
        <v>2018</v>
      </c>
      <c r="B927" s="4">
        <v>155824</v>
      </c>
      <c r="C927" t="s">
        <v>1056</v>
      </c>
      <c r="D927" t="s">
        <v>1057</v>
      </c>
      <c r="E927" t="s">
        <v>18</v>
      </c>
      <c r="F927" t="s">
        <v>2904</v>
      </c>
      <c r="G927" t="s">
        <v>2905</v>
      </c>
      <c r="H927" t="s">
        <v>33</v>
      </c>
      <c r="I927" t="s">
        <v>22</v>
      </c>
      <c r="J927" t="s">
        <v>1174</v>
      </c>
      <c r="K927" t="s">
        <v>44</v>
      </c>
      <c r="L927" t="s">
        <v>45</v>
      </c>
      <c r="M927" t="s">
        <v>2906</v>
      </c>
      <c r="N927" t="s">
        <v>27</v>
      </c>
      <c r="O927" t="s">
        <v>228</v>
      </c>
      <c r="P927">
        <v>48.783999999999999</v>
      </c>
    </row>
    <row r="928" spans="1:16">
      <c r="A928" s="4">
        <v>2016</v>
      </c>
      <c r="B928" s="4">
        <v>155124</v>
      </c>
      <c r="C928" t="s">
        <v>2907</v>
      </c>
      <c r="D928" t="s">
        <v>2826</v>
      </c>
      <c r="E928" t="s">
        <v>18</v>
      </c>
      <c r="F928" t="s">
        <v>2904</v>
      </c>
      <c r="G928" t="s">
        <v>2905</v>
      </c>
      <c r="H928" t="s">
        <v>33</v>
      </c>
      <c r="I928" t="s">
        <v>22</v>
      </c>
      <c r="J928" t="s">
        <v>2908</v>
      </c>
      <c r="K928" t="s">
        <v>217</v>
      </c>
      <c r="L928" t="s">
        <v>66</v>
      </c>
      <c r="M928" t="s">
        <v>2909</v>
      </c>
      <c r="N928" t="s">
        <v>38</v>
      </c>
      <c r="O928" t="s">
        <v>118</v>
      </c>
      <c r="P928">
        <v>16.776</v>
      </c>
    </row>
    <row r="929" spans="1:16">
      <c r="A929" s="4">
        <v>2016</v>
      </c>
      <c r="B929" s="4">
        <v>149587</v>
      </c>
      <c r="C929" t="s">
        <v>2910</v>
      </c>
      <c r="D929" t="s">
        <v>2911</v>
      </c>
      <c r="E929" t="s">
        <v>144</v>
      </c>
      <c r="F929" t="s">
        <v>2912</v>
      </c>
      <c r="G929" t="s">
        <v>2913</v>
      </c>
      <c r="H929" t="s">
        <v>33</v>
      </c>
      <c r="I929" t="s">
        <v>97</v>
      </c>
      <c r="J929" t="s">
        <v>371</v>
      </c>
      <c r="K929" t="s">
        <v>372</v>
      </c>
      <c r="L929" t="s">
        <v>36</v>
      </c>
      <c r="M929" t="s">
        <v>2914</v>
      </c>
      <c r="N929" t="s">
        <v>27</v>
      </c>
      <c r="O929" t="s">
        <v>52</v>
      </c>
      <c r="P929">
        <v>12.96</v>
      </c>
    </row>
    <row r="930" spans="1:16">
      <c r="A930" s="4">
        <v>2017</v>
      </c>
      <c r="B930" s="4">
        <v>133123</v>
      </c>
      <c r="C930" t="s">
        <v>1986</v>
      </c>
      <c r="D930" t="s">
        <v>106</v>
      </c>
      <c r="E930" t="s">
        <v>18</v>
      </c>
      <c r="F930" t="s">
        <v>2912</v>
      </c>
      <c r="G930" t="s">
        <v>2913</v>
      </c>
      <c r="H930" t="s">
        <v>33</v>
      </c>
      <c r="I930" t="s">
        <v>97</v>
      </c>
      <c r="J930" t="s">
        <v>2915</v>
      </c>
      <c r="K930" t="s">
        <v>44</v>
      </c>
      <c r="L930" t="s">
        <v>45</v>
      </c>
      <c r="M930" t="s">
        <v>2916</v>
      </c>
      <c r="N930" t="s">
        <v>27</v>
      </c>
      <c r="O930" t="s">
        <v>501</v>
      </c>
      <c r="P930">
        <v>95.951999999999998</v>
      </c>
    </row>
    <row r="931" spans="1:16">
      <c r="A931" s="4">
        <v>2016</v>
      </c>
      <c r="B931" s="4">
        <v>131758</v>
      </c>
      <c r="C931" t="s">
        <v>2067</v>
      </c>
      <c r="D931" t="s">
        <v>1956</v>
      </c>
      <c r="E931" t="s">
        <v>18</v>
      </c>
      <c r="F931" t="s">
        <v>2912</v>
      </c>
      <c r="G931" t="s">
        <v>2913</v>
      </c>
      <c r="H931" t="s">
        <v>33</v>
      </c>
      <c r="I931" t="s">
        <v>97</v>
      </c>
      <c r="J931" t="s">
        <v>2917</v>
      </c>
      <c r="K931" t="s">
        <v>50</v>
      </c>
      <c r="L931" t="s">
        <v>25</v>
      </c>
      <c r="M931" t="s">
        <v>2918</v>
      </c>
      <c r="N931" t="s">
        <v>27</v>
      </c>
      <c r="O931" t="s">
        <v>28</v>
      </c>
      <c r="P931">
        <v>47.82</v>
      </c>
    </row>
    <row r="932" spans="1:16">
      <c r="A932" s="4">
        <v>2017</v>
      </c>
      <c r="B932" s="4">
        <v>157763</v>
      </c>
      <c r="C932" t="s">
        <v>2601</v>
      </c>
      <c r="D932" t="s">
        <v>2583</v>
      </c>
      <c r="E932" t="s">
        <v>18</v>
      </c>
      <c r="F932" t="s">
        <v>2919</v>
      </c>
      <c r="G932" t="s">
        <v>2920</v>
      </c>
      <c r="H932" t="s">
        <v>33</v>
      </c>
      <c r="I932" t="s">
        <v>22</v>
      </c>
      <c r="J932" t="s">
        <v>2921</v>
      </c>
      <c r="K932" t="s">
        <v>126</v>
      </c>
      <c r="L932" t="s">
        <v>45</v>
      </c>
      <c r="M932" t="s">
        <v>2922</v>
      </c>
      <c r="N932" t="s">
        <v>79</v>
      </c>
      <c r="O932" t="s">
        <v>138</v>
      </c>
      <c r="P932">
        <v>140.81</v>
      </c>
    </row>
    <row r="933" spans="1:16">
      <c r="A933" s="4">
        <v>2018</v>
      </c>
      <c r="B933" s="4">
        <v>120404</v>
      </c>
      <c r="C933" t="s">
        <v>984</v>
      </c>
      <c r="D933" t="s">
        <v>2320</v>
      </c>
      <c r="E933" t="s">
        <v>144</v>
      </c>
      <c r="F933" t="s">
        <v>2919</v>
      </c>
      <c r="G933" t="s">
        <v>2920</v>
      </c>
      <c r="H933" t="s">
        <v>33</v>
      </c>
      <c r="I933" t="s">
        <v>22</v>
      </c>
      <c r="J933" t="s">
        <v>49</v>
      </c>
      <c r="K933" t="s">
        <v>50</v>
      </c>
      <c r="L933" t="s">
        <v>25</v>
      </c>
      <c r="M933" t="s">
        <v>2923</v>
      </c>
      <c r="N933" t="s">
        <v>38</v>
      </c>
      <c r="O933" t="s">
        <v>68</v>
      </c>
      <c r="P933">
        <v>2.97</v>
      </c>
    </row>
    <row r="934" spans="1:16">
      <c r="A934" s="4">
        <v>2018</v>
      </c>
      <c r="B934" s="4">
        <v>157833</v>
      </c>
      <c r="C934" t="s">
        <v>2924</v>
      </c>
      <c r="D934" t="s">
        <v>1380</v>
      </c>
      <c r="E934" t="s">
        <v>42</v>
      </c>
      <c r="F934" t="s">
        <v>2925</v>
      </c>
      <c r="G934" t="s">
        <v>2926</v>
      </c>
      <c r="H934" t="s">
        <v>21</v>
      </c>
      <c r="I934" t="s">
        <v>97</v>
      </c>
      <c r="J934" t="s">
        <v>226</v>
      </c>
      <c r="K934" t="s">
        <v>65</v>
      </c>
      <c r="L934" t="s">
        <v>66</v>
      </c>
      <c r="M934" t="s">
        <v>2927</v>
      </c>
      <c r="N934" t="s">
        <v>27</v>
      </c>
      <c r="O934" t="s">
        <v>101</v>
      </c>
      <c r="P934">
        <v>51.311999999999998</v>
      </c>
    </row>
    <row r="935" spans="1:16">
      <c r="A935" s="4">
        <v>2017</v>
      </c>
      <c r="B935" s="4">
        <v>101469</v>
      </c>
      <c r="C935" t="s">
        <v>2247</v>
      </c>
      <c r="D935" t="s">
        <v>1262</v>
      </c>
      <c r="E935" t="s">
        <v>18</v>
      </c>
      <c r="F935" t="s">
        <v>2928</v>
      </c>
      <c r="G935" t="s">
        <v>2929</v>
      </c>
      <c r="H935" t="s">
        <v>33</v>
      </c>
      <c r="I935" t="s">
        <v>97</v>
      </c>
      <c r="J935" t="s">
        <v>55</v>
      </c>
      <c r="K935" t="s">
        <v>56</v>
      </c>
      <c r="L935" t="s">
        <v>45</v>
      </c>
      <c r="M935" t="s">
        <v>2930</v>
      </c>
      <c r="N935" t="s">
        <v>27</v>
      </c>
      <c r="O935" t="s">
        <v>28</v>
      </c>
      <c r="P935">
        <v>7.7</v>
      </c>
    </row>
    <row r="936" spans="1:16">
      <c r="A936" s="4">
        <v>2018</v>
      </c>
      <c r="B936" s="4">
        <v>131156</v>
      </c>
      <c r="C936" t="s">
        <v>2931</v>
      </c>
      <c r="D936" t="s">
        <v>1336</v>
      </c>
      <c r="E936" t="s">
        <v>18</v>
      </c>
      <c r="F936" t="s">
        <v>2928</v>
      </c>
      <c r="G936" t="s">
        <v>2929</v>
      </c>
      <c r="H936" t="s">
        <v>33</v>
      </c>
      <c r="I936" t="s">
        <v>97</v>
      </c>
      <c r="J936" t="s">
        <v>23</v>
      </c>
      <c r="K936" t="s">
        <v>24</v>
      </c>
      <c r="L936" t="s">
        <v>25</v>
      </c>
      <c r="M936" t="s">
        <v>2681</v>
      </c>
      <c r="N936" t="s">
        <v>79</v>
      </c>
      <c r="O936" t="s">
        <v>80</v>
      </c>
      <c r="P936">
        <v>25.472000000000001</v>
      </c>
    </row>
    <row r="937" spans="1:16">
      <c r="A937" s="4">
        <v>2017</v>
      </c>
      <c r="B937" s="4">
        <v>159212</v>
      </c>
      <c r="C937" t="s">
        <v>1368</v>
      </c>
      <c r="D937" t="s">
        <v>276</v>
      </c>
      <c r="E937" t="s">
        <v>18</v>
      </c>
      <c r="F937" t="s">
        <v>2932</v>
      </c>
      <c r="G937" t="s">
        <v>2933</v>
      </c>
      <c r="H937" t="s">
        <v>21</v>
      </c>
      <c r="I937" t="s">
        <v>63</v>
      </c>
      <c r="J937" t="s">
        <v>322</v>
      </c>
      <c r="K937" t="s">
        <v>56</v>
      </c>
      <c r="L937" t="s">
        <v>45</v>
      </c>
      <c r="M937" t="s">
        <v>2934</v>
      </c>
      <c r="N937" t="s">
        <v>38</v>
      </c>
      <c r="O937" t="s">
        <v>118</v>
      </c>
      <c r="P937">
        <v>21.8</v>
      </c>
    </row>
    <row r="938" spans="1:16">
      <c r="A938" s="4">
        <v>2015</v>
      </c>
      <c r="B938" s="4">
        <v>132864</v>
      </c>
      <c r="C938" t="s">
        <v>992</v>
      </c>
      <c r="D938" t="s">
        <v>2786</v>
      </c>
      <c r="E938" t="s">
        <v>18</v>
      </c>
      <c r="F938" t="s">
        <v>2935</v>
      </c>
      <c r="G938" t="s">
        <v>2936</v>
      </c>
      <c r="H938" t="s">
        <v>33</v>
      </c>
      <c r="I938" t="s">
        <v>22</v>
      </c>
      <c r="J938" t="s">
        <v>473</v>
      </c>
      <c r="K938" t="s">
        <v>237</v>
      </c>
      <c r="L938" t="s">
        <v>25</v>
      </c>
      <c r="M938" t="s">
        <v>2846</v>
      </c>
      <c r="N938" t="s">
        <v>38</v>
      </c>
      <c r="O938" t="s">
        <v>68</v>
      </c>
      <c r="P938">
        <v>119.8</v>
      </c>
    </row>
    <row r="939" spans="1:16">
      <c r="A939" s="4">
        <v>2016</v>
      </c>
      <c r="B939" s="4">
        <v>109001</v>
      </c>
      <c r="C939" t="s">
        <v>2937</v>
      </c>
      <c r="D939" t="s">
        <v>2938</v>
      </c>
      <c r="E939" t="s">
        <v>18</v>
      </c>
      <c r="F939" t="s">
        <v>2935</v>
      </c>
      <c r="G939" t="s">
        <v>2936</v>
      </c>
      <c r="H939" t="s">
        <v>33</v>
      </c>
      <c r="I939" t="s">
        <v>22</v>
      </c>
      <c r="J939" t="s">
        <v>23</v>
      </c>
      <c r="K939" t="s">
        <v>24</v>
      </c>
      <c r="L939" t="s">
        <v>25</v>
      </c>
      <c r="M939" t="s">
        <v>2939</v>
      </c>
      <c r="N939" t="s">
        <v>38</v>
      </c>
      <c r="O939" t="s">
        <v>118</v>
      </c>
      <c r="P939">
        <v>466.15800000000002</v>
      </c>
    </row>
    <row r="940" spans="1:16">
      <c r="A940" s="4">
        <v>2018</v>
      </c>
      <c r="B940" s="4">
        <v>161067</v>
      </c>
      <c r="C940" t="s">
        <v>625</v>
      </c>
      <c r="D940" t="s">
        <v>2415</v>
      </c>
      <c r="E940" t="s">
        <v>144</v>
      </c>
      <c r="F940" t="s">
        <v>2940</v>
      </c>
      <c r="G940" t="s">
        <v>2941</v>
      </c>
      <c r="H940" t="s">
        <v>21</v>
      </c>
      <c r="I940" t="s">
        <v>63</v>
      </c>
      <c r="J940" t="s">
        <v>49</v>
      </c>
      <c r="K940" t="s">
        <v>50</v>
      </c>
      <c r="L940" t="s">
        <v>25</v>
      </c>
      <c r="M940" t="s">
        <v>2942</v>
      </c>
      <c r="N940" t="s">
        <v>27</v>
      </c>
      <c r="O940" t="s">
        <v>52</v>
      </c>
      <c r="P940">
        <v>419.4</v>
      </c>
    </row>
    <row r="941" spans="1:16">
      <c r="A941" s="4">
        <v>2018</v>
      </c>
      <c r="B941" s="4">
        <v>144904</v>
      </c>
      <c r="C941" t="s">
        <v>1854</v>
      </c>
      <c r="D941" t="s">
        <v>1437</v>
      </c>
      <c r="E941" t="s">
        <v>18</v>
      </c>
      <c r="F941" t="s">
        <v>2943</v>
      </c>
      <c r="G941" t="s">
        <v>2944</v>
      </c>
      <c r="H941" t="s">
        <v>33</v>
      </c>
      <c r="I941" t="s">
        <v>97</v>
      </c>
      <c r="J941" t="s">
        <v>49</v>
      </c>
      <c r="K941" t="s">
        <v>50</v>
      </c>
      <c r="L941" t="s">
        <v>25</v>
      </c>
      <c r="M941" t="s">
        <v>2945</v>
      </c>
      <c r="N941" t="s">
        <v>27</v>
      </c>
      <c r="O941" t="s">
        <v>111</v>
      </c>
      <c r="P941">
        <v>20.7</v>
      </c>
    </row>
    <row r="942" spans="1:16">
      <c r="A942" s="4">
        <v>2016</v>
      </c>
      <c r="B942" s="4">
        <v>102491</v>
      </c>
      <c r="C942" t="s">
        <v>2946</v>
      </c>
      <c r="D942" t="s">
        <v>2947</v>
      </c>
      <c r="E942" t="s">
        <v>18</v>
      </c>
      <c r="F942" t="s">
        <v>2943</v>
      </c>
      <c r="G942" t="s">
        <v>2944</v>
      </c>
      <c r="H942" t="s">
        <v>33</v>
      </c>
      <c r="I942" t="s">
        <v>97</v>
      </c>
      <c r="J942" t="s">
        <v>517</v>
      </c>
      <c r="K942" t="s">
        <v>126</v>
      </c>
      <c r="L942" t="s">
        <v>45</v>
      </c>
      <c r="M942" t="s">
        <v>2948</v>
      </c>
      <c r="N942" t="s">
        <v>38</v>
      </c>
      <c r="O942" t="s">
        <v>39</v>
      </c>
      <c r="P942">
        <v>3080</v>
      </c>
    </row>
    <row r="943" spans="1:16">
      <c r="A943" s="4">
        <v>2016</v>
      </c>
      <c r="B943" s="4">
        <v>149692</v>
      </c>
      <c r="C943" t="s">
        <v>603</v>
      </c>
      <c r="D943" t="s">
        <v>1785</v>
      </c>
      <c r="E943" t="s">
        <v>18</v>
      </c>
      <c r="F943" t="s">
        <v>2943</v>
      </c>
      <c r="G943" t="s">
        <v>2944</v>
      </c>
      <c r="H943" t="s">
        <v>33</v>
      </c>
      <c r="I943" t="s">
        <v>97</v>
      </c>
      <c r="J943" t="s">
        <v>34</v>
      </c>
      <c r="K943" t="s">
        <v>35</v>
      </c>
      <c r="L943" t="s">
        <v>36</v>
      </c>
      <c r="M943" t="s">
        <v>2764</v>
      </c>
      <c r="N943" t="s">
        <v>27</v>
      </c>
      <c r="O943" t="s">
        <v>101</v>
      </c>
      <c r="P943">
        <v>2.7719999999999998</v>
      </c>
    </row>
    <row r="944" spans="1:16">
      <c r="A944" s="4">
        <v>2015</v>
      </c>
      <c r="B944" s="4">
        <v>112718</v>
      </c>
      <c r="C944" t="s">
        <v>2949</v>
      </c>
      <c r="D944" t="s">
        <v>710</v>
      </c>
      <c r="E944" t="s">
        <v>18</v>
      </c>
      <c r="F944" t="s">
        <v>2950</v>
      </c>
      <c r="G944" t="s">
        <v>2951</v>
      </c>
      <c r="H944" t="s">
        <v>21</v>
      </c>
      <c r="I944" t="s">
        <v>22</v>
      </c>
      <c r="J944" t="s">
        <v>43</v>
      </c>
      <c r="K944" t="s">
        <v>196</v>
      </c>
      <c r="L944" t="s">
        <v>45</v>
      </c>
      <c r="M944" t="s">
        <v>2952</v>
      </c>
      <c r="N944" t="s">
        <v>27</v>
      </c>
      <c r="O944" t="s">
        <v>101</v>
      </c>
      <c r="P944">
        <v>1.167</v>
      </c>
    </row>
    <row r="945" spans="1:16">
      <c r="A945" s="4">
        <v>2017</v>
      </c>
      <c r="B945" s="4">
        <v>133879</v>
      </c>
      <c r="C945" t="s">
        <v>896</v>
      </c>
      <c r="D945" t="s">
        <v>53</v>
      </c>
      <c r="E945" t="s">
        <v>18</v>
      </c>
      <c r="F945" t="s">
        <v>2953</v>
      </c>
      <c r="G945" t="s">
        <v>2954</v>
      </c>
      <c r="H945" t="s">
        <v>33</v>
      </c>
      <c r="I945" t="s">
        <v>97</v>
      </c>
      <c r="J945" t="s">
        <v>108</v>
      </c>
      <c r="K945" t="s">
        <v>109</v>
      </c>
      <c r="L945" t="s">
        <v>36</v>
      </c>
      <c r="M945" t="s">
        <v>2955</v>
      </c>
      <c r="N945" t="s">
        <v>27</v>
      </c>
      <c r="O945" t="s">
        <v>101</v>
      </c>
      <c r="P945">
        <v>3.1680000000000001</v>
      </c>
    </row>
    <row r="946" spans="1:16">
      <c r="A946" s="4">
        <v>2015</v>
      </c>
      <c r="B946" s="4">
        <v>151925</v>
      </c>
      <c r="C946" t="s">
        <v>1335</v>
      </c>
      <c r="D946" t="s">
        <v>2956</v>
      </c>
      <c r="E946" t="s">
        <v>144</v>
      </c>
      <c r="F946" t="s">
        <v>2953</v>
      </c>
      <c r="G946" t="s">
        <v>2954</v>
      </c>
      <c r="H946" t="s">
        <v>33</v>
      </c>
      <c r="I946" t="s">
        <v>97</v>
      </c>
      <c r="J946" t="s">
        <v>64</v>
      </c>
      <c r="K946" t="s">
        <v>65</v>
      </c>
      <c r="L946" t="s">
        <v>66</v>
      </c>
      <c r="M946" t="s">
        <v>2957</v>
      </c>
      <c r="N946" t="s">
        <v>79</v>
      </c>
      <c r="O946" t="s">
        <v>138</v>
      </c>
      <c r="P946">
        <v>145.56800000000001</v>
      </c>
    </row>
    <row r="947" spans="1:16">
      <c r="A947" s="4">
        <v>2015</v>
      </c>
      <c r="B947" s="4">
        <v>155887</v>
      </c>
      <c r="C947" t="s">
        <v>2958</v>
      </c>
      <c r="D947" t="s">
        <v>2959</v>
      </c>
      <c r="E947" t="s">
        <v>18</v>
      </c>
      <c r="F947" t="s">
        <v>2960</v>
      </c>
      <c r="G947" t="s">
        <v>2961</v>
      </c>
      <c r="H947" t="s">
        <v>33</v>
      </c>
      <c r="I947" t="s">
        <v>97</v>
      </c>
      <c r="J947" t="s">
        <v>283</v>
      </c>
      <c r="K947" t="s">
        <v>284</v>
      </c>
      <c r="L947" t="s">
        <v>25</v>
      </c>
      <c r="M947" t="s">
        <v>2962</v>
      </c>
      <c r="N947" t="s">
        <v>79</v>
      </c>
      <c r="O947" t="s">
        <v>347</v>
      </c>
      <c r="P947">
        <v>700.05600000000004</v>
      </c>
    </row>
    <row r="948" spans="1:16">
      <c r="A948" s="4">
        <v>2015</v>
      </c>
      <c r="B948" s="4">
        <v>140116</v>
      </c>
      <c r="C948" t="s">
        <v>2963</v>
      </c>
      <c r="D948" t="s">
        <v>1308</v>
      </c>
      <c r="E948" t="s">
        <v>18</v>
      </c>
      <c r="F948" t="s">
        <v>2960</v>
      </c>
      <c r="G948" t="s">
        <v>2961</v>
      </c>
      <c r="H948" t="s">
        <v>33</v>
      </c>
      <c r="I948" t="s">
        <v>97</v>
      </c>
      <c r="J948" t="s">
        <v>636</v>
      </c>
      <c r="K948" t="s">
        <v>222</v>
      </c>
      <c r="L948" t="s">
        <v>66</v>
      </c>
      <c r="M948" t="s">
        <v>2964</v>
      </c>
      <c r="N948" t="s">
        <v>27</v>
      </c>
      <c r="O948" t="s">
        <v>58</v>
      </c>
      <c r="P948">
        <v>636.40800000000002</v>
      </c>
    </row>
    <row r="949" spans="1:16">
      <c r="A949" s="4">
        <v>2015</v>
      </c>
      <c r="B949" s="4">
        <v>125136</v>
      </c>
      <c r="C949" t="s">
        <v>970</v>
      </c>
      <c r="D949" t="s">
        <v>343</v>
      </c>
      <c r="E949" t="s">
        <v>18</v>
      </c>
      <c r="F949" t="s">
        <v>2965</v>
      </c>
      <c r="G949" t="s">
        <v>2966</v>
      </c>
      <c r="H949" t="s">
        <v>33</v>
      </c>
      <c r="I949" t="s">
        <v>22</v>
      </c>
      <c r="J949" t="s">
        <v>672</v>
      </c>
      <c r="K949" t="s">
        <v>44</v>
      </c>
      <c r="L949" t="s">
        <v>45</v>
      </c>
      <c r="M949" t="s">
        <v>2967</v>
      </c>
      <c r="N949" t="s">
        <v>27</v>
      </c>
      <c r="O949" t="s">
        <v>52</v>
      </c>
      <c r="P949">
        <v>96.256</v>
      </c>
    </row>
    <row r="950" spans="1:16">
      <c r="A950" s="4">
        <v>2016</v>
      </c>
      <c r="B950" s="4">
        <v>121650</v>
      </c>
      <c r="C950" t="s">
        <v>2472</v>
      </c>
      <c r="D950" t="s">
        <v>1890</v>
      </c>
      <c r="E950" t="s">
        <v>18</v>
      </c>
      <c r="F950" t="s">
        <v>2965</v>
      </c>
      <c r="G950" t="s">
        <v>2966</v>
      </c>
      <c r="H950" t="s">
        <v>33</v>
      </c>
      <c r="I950" t="s">
        <v>22</v>
      </c>
      <c r="J950" t="s">
        <v>854</v>
      </c>
      <c r="K950" t="s">
        <v>855</v>
      </c>
      <c r="L950" t="s">
        <v>36</v>
      </c>
      <c r="M950" t="s">
        <v>2968</v>
      </c>
      <c r="N950" t="s">
        <v>27</v>
      </c>
      <c r="O950" t="s">
        <v>28</v>
      </c>
      <c r="P950">
        <v>3.9</v>
      </c>
    </row>
    <row r="951" spans="1:16">
      <c r="A951" s="4">
        <v>2018</v>
      </c>
      <c r="B951" s="4">
        <v>117457</v>
      </c>
      <c r="C951" t="s">
        <v>224</v>
      </c>
      <c r="D951" t="s">
        <v>225</v>
      </c>
      <c r="E951" t="s">
        <v>18</v>
      </c>
      <c r="F951" t="s">
        <v>2969</v>
      </c>
      <c r="G951" t="s">
        <v>2970</v>
      </c>
      <c r="H951" t="s">
        <v>33</v>
      </c>
      <c r="I951" t="s">
        <v>97</v>
      </c>
      <c r="J951" t="s">
        <v>226</v>
      </c>
      <c r="K951" t="s">
        <v>65</v>
      </c>
      <c r="L951" t="s">
        <v>66</v>
      </c>
      <c r="M951" t="s">
        <v>2971</v>
      </c>
      <c r="N951" t="s">
        <v>38</v>
      </c>
      <c r="O951" t="s">
        <v>68</v>
      </c>
      <c r="P951">
        <v>179.95</v>
      </c>
    </row>
    <row r="952" spans="1:16">
      <c r="A952" s="4">
        <v>2016</v>
      </c>
      <c r="B952" s="4">
        <v>133242</v>
      </c>
      <c r="C952" t="s">
        <v>176</v>
      </c>
      <c r="D952" t="s">
        <v>2972</v>
      </c>
      <c r="E952" t="s">
        <v>18</v>
      </c>
      <c r="F952" t="s">
        <v>2969</v>
      </c>
      <c r="G952" t="s">
        <v>2970</v>
      </c>
      <c r="H952" t="s">
        <v>33</v>
      </c>
      <c r="I952" t="s">
        <v>97</v>
      </c>
      <c r="J952" t="s">
        <v>55</v>
      </c>
      <c r="K952" t="s">
        <v>56</v>
      </c>
      <c r="L952" t="s">
        <v>45</v>
      </c>
      <c r="M952" t="s">
        <v>2973</v>
      </c>
      <c r="N952" t="s">
        <v>79</v>
      </c>
      <c r="O952" t="s">
        <v>80</v>
      </c>
      <c r="P952">
        <v>60.84</v>
      </c>
    </row>
    <row r="953" spans="1:16">
      <c r="A953" s="4">
        <v>2015</v>
      </c>
      <c r="B953" s="4">
        <v>109036</v>
      </c>
      <c r="C953" t="s">
        <v>119</v>
      </c>
      <c r="D953" t="s">
        <v>2727</v>
      </c>
      <c r="E953" t="s">
        <v>18</v>
      </c>
      <c r="F953" t="s">
        <v>2969</v>
      </c>
      <c r="G953" t="s">
        <v>2970</v>
      </c>
      <c r="H953" t="s">
        <v>33</v>
      </c>
      <c r="I953" t="s">
        <v>97</v>
      </c>
      <c r="J953" t="s">
        <v>271</v>
      </c>
      <c r="K953" t="s">
        <v>165</v>
      </c>
      <c r="L953" t="s">
        <v>66</v>
      </c>
      <c r="M953" t="s">
        <v>2974</v>
      </c>
      <c r="N953" t="s">
        <v>27</v>
      </c>
      <c r="O953" t="s">
        <v>111</v>
      </c>
      <c r="P953">
        <v>31.05</v>
      </c>
    </row>
    <row r="954" spans="1:16">
      <c r="A954" s="4">
        <v>2015</v>
      </c>
      <c r="B954" s="4">
        <v>158337</v>
      </c>
      <c r="C954" t="s">
        <v>1246</v>
      </c>
      <c r="D954" t="s">
        <v>2975</v>
      </c>
      <c r="E954" t="s">
        <v>144</v>
      </c>
      <c r="F954" t="s">
        <v>2976</v>
      </c>
      <c r="G954" t="s">
        <v>2977</v>
      </c>
      <c r="H954" t="s">
        <v>33</v>
      </c>
      <c r="I954" t="s">
        <v>97</v>
      </c>
      <c r="J954" t="s">
        <v>49</v>
      </c>
      <c r="K954" t="s">
        <v>50</v>
      </c>
      <c r="L954" t="s">
        <v>25</v>
      </c>
      <c r="M954" t="s">
        <v>2978</v>
      </c>
      <c r="N954" t="s">
        <v>27</v>
      </c>
      <c r="O954" t="s">
        <v>52</v>
      </c>
      <c r="P954">
        <v>108.92</v>
      </c>
    </row>
    <row r="955" spans="1:16">
      <c r="A955" s="4">
        <v>2016</v>
      </c>
      <c r="B955" s="4">
        <v>152611</v>
      </c>
      <c r="C955" t="s">
        <v>2979</v>
      </c>
      <c r="D955" t="s">
        <v>2980</v>
      </c>
      <c r="E955" t="s">
        <v>144</v>
      </c>
      <c r="F955" t="s">
        <v>2976</v>
      </c>
      <c r="G955" t="s">
        <v>2977</v>
      </c>
      <c r="H955" t="s">
        <v>33</v>
      </c>
      <c r="I955" t="s">
        <v>97</v>
      </c>
      <c r="J955" t="s">
        <v>2981</v>
      </c>
      <c r="K955" t="s">
        <v>869</v>
      </c>
      <c r="L955" t="s">
        <v>25</v>
      </c>
      <c r="M955" t="s">
        <v>2982</v>
      </c>
      <c r="N955" t="s">
        <v>27</v>
      </c>
      <c r="O955" t="s">
        <v>28</v>
      </c>
      <c r="P955">
        <v>286.79000000000002</v>
      </c>
    </row>
    <row r="956" spans="1:16">
      <c r="A956" s="4">
        <v>2017</v>
      </c>
      <c r="B956" s="4">
        <v>145625</v>
      </c>
      <c r="C956" t="s">
        <v>106</v>
      </c>
      <c r="D956" t="s">
        <v>561</v>
      </c>
      <c r="E956" t="s">
        <v>18</v>
      </c>
      <c r="F956" t="s">
        <v>2983</v>
      </c>
      <c r="G956" t="s">
        <v>2984</v>
      </c>
      <c r="H956" t="s">
        <v>33</v>
      </c>
      <c r="I956" t="s">
        <v>97</v>
      </c>
      <c r="J956" t="s">
        <v>630</v>
      </c>
      <c r="K956" t="s">
        <v>65</v>
      </c>
      <c r="L956" t="s">
        <v>66</v>
      </c>
      <c r="M956" t="s">
        <v>2985</v>
      </c>
      <c r="N956" t="s">
        <v>27</v>
      </c>
      <c r="O956" t="s">
        <v>52</v>
      </c>
      <c r="P956">
        <v>7.61</v>
      </c>
    </row>
    <row r="957" spans="1:16">
      <c r="A957" s="4">
        <v>2018</v>
      </c>
      <c r="B957" s="4">
        <v>108910</v>
      </c>
      <c r="C957" t="s">
        <v>469</v>
      </c>
      <c r="D957" t="s">
        <v>641</v>
      </c>
      <c r="E957" t="s">
        <v>18</v>
      </c>
      <c r="F957" t="s">
        <v>2983</v>
      </c>
      <c r="G957" t="s">
        <v>2984</v>
      </c>
      <c r="H957" t="s">
        <v>33</v>
      </c>
      <c r="I957" t="s">
        <v>97</v>
      </c>
      <c r="J957" t="s">
        <v>987</v>
      </c>
      <c r="K957" t="s">
        <v>237</v>
      </c>
      <c r="L957" t="s">
        <v>25</v>
      </c>
      <c r="M957" t="s">
        <v>162</v>
      </c>
      <c r="N957" t="s">
        <v>79</v>
      </c>
      <c r="O957" t="s">
        <v>80</v>
      </c>
      <c r="P957">
        <v>103.056</v>
      </c>
    </row>
    <row r="958" spans="1:16">
      <c r="A958" s="4">
        <v>2015</v>
      </c>
      <c r="B958" s="4">
        <v>111451</v>
      </c>
      <c r="C958" t="s">
        <v>181</v>
      </c>
      <c r="D958" t="s">
        <v>182</v>
      </c>
      <c r="E958" t="s">
        <v>42</v>
      </c>
      <c r="F958" t="s">
        <v>2986</v>
      </c>
      <c r="G958" t="s">
        <v>2987</v>
      </c>
      <c r="H958" t="s">
        <v>33</v>
      </c>
      <c r="I958" t="s">
        <v>22</v>
      </c>
      <c r="J958" t="s">
        <v>1992</v>
      </c>
      <c r="K958" t="s">
        <v>222</v>
      </c>
      <c r="L958" t="s">
        <v>66</v>
      </c>
      <c r="M958" t="s">
        <v>2988</v>
      </c>
      <c r="N958" t="s">
        <v>79</v>
      </c>
      <c r="O958" t="s">
        <v>80</v>
      </c>
      <c r="P958">
        <v>300.416</v>
      </c>
    </row>
    <row r="959" spans="1:16">
      <c r="A959" s="4">
        <v>2017</v>
      </c>
      <c r="B959" s="4">
        <v>160395</v>
      </c>
      <c r="C959" t="s">
        <v>753</v>
      </c>
      <c r="D959" t="s">
        <v>754</v>
      </c>
      <c r="E959" t="s">
        <v>18</v>
      </c>
      <c r="F959" t="s">
        <v>2986</v>
      </c>
      <c r="G959" t="s">
        <v>2987</v>
      </c>
      <c r="H959" t="s">
        <v>33</v>
      </c>
      <c r="I959" t="s">
        <v>22</v>
      </c>
      <c r="J959" t="s">
        <v>2989</v>
      </c>
      <c r="K959" t="s">
        <v>91</v>
      </c>
      <c r="L959" t="s">
        <v>66</v>
      </c>
      <c r="M959" t="s">
        <v>2990</v>
      </c>
      <c r="N959" t="s">
        <v>27</v>
      </c>
      <c r="O959" t="s">
        <v>28</v>
      </c>
      <c r="P959">
        <v>3.64</v>
      </c>
    </row>
    <row r="960" spans="1:16">
      <c r="A960" s="4">
        <v>2015</v>
      </c>
      <c r="B960" s="4">
        <v>141215</v>
      </c>
      <c r="C960" t="s">
        <v>2991</v>
      </c>
      <c r="D960" t="s">
        <v>1250</v>
      </c>
      <c r="E960" t="s">
        <v>18</v>
      </c>
      <c r="F960" t="s">
        <v>2986</v>
      </c>
      <c r="G960" t="s">
        <v>2987</v>
      </c>
      <c r="H960" t="s">
        <v>33</v>
      </c>
      <c r="I960" t="s">
        <v>22</v>
      </c>
      <c r="J960" t="s">
        <v>738</v>
      </c>
      <c r="K960" t="s">
        <v>35</v>
      </c>
      <c r="L960" t="s">
        <v>36</v>
      </c>
      <c r="M960" t="s">
        <v>2992</v>
      </c>
      <c r="N960" t="s">
        <v>79</v>
      </c>
      <c r="O960" t="s">
        <v>347</v>
      </c>
      <c r="P960">
        <v>99.918000000000006</v>
      </c>
    </row>
    <row r="961" spans="1:16">
      <c r="A961" s="4">
        <v>2017</v>
      </c>
      <c r="B961" s="4">
        <v>129469</v>
      </c>
      <c r="C961" t="s">
        <v>1053</v>
      </c>
      <c r="D961" t="s">
        <v>2381</v>
      </c>
      <c r="E961" t="s">
        <v>18</v>
      </c>
      <c r="F961" t="s">
        <v>2986</v>
      </c>
      <c r="G961" t="s">
        <v>2987</v>
      </c>
      <c r="H961" t="s">
        <v>33</v>
      </c>
      <c r="I961" t="s">
        <v>22</v>
      </c>
      <c r="J961" t="s">
        <v>1263</v>
      </c>
      <c r="K961" t="s">
        <v>237</v>
      </c>
      <c r="L961" t="s">
        <v>25</v>
      </c>
      <c r="M961" t="s">
        <v>2993</v>
      </c>
      <c r="N961" t="s">
        <v>79</v>
      </c>
      <c r="O961" t="s">
        <v>80</v>
      </c>
      <c r="P961">
        <v>532.70399999999995</v>
      </c>
    </row>
    <row r="962" spans="1:16">
      <c r="A962" s="4">
        <v>2018</v>
      </c>
      <c r="B962" s="4">
        <v>129357</v>
      </c>
      <c r="C962" t="s">
        <v>1610</v>
      </c>
      <c r="D962" t="s">
        <v>528</v>
      </c>
      <c r="E962" t="s">
        <v>18</v>
      </c>
      <c r="F962" t="s">
        <v>2994</v>
      </c>
      <c r="G962" t="s">
        <v>2995</v>
      </c>
      <c r="H962" t="s">
        <v>33</v>
      </c>
      <c r="I962" t="s">
        <v>22</v>
      </c>
      <c r="J962" t="s">
        <v>271</v>
      </c>
      <c r="K962" t="s">
        <v>165</v>
      </c>
      <c r="L962" t="s">
        <v>66</v>
      </c>
      <c r="M962" t="s">
        <v>2996</v>
      </c>
      <c r="N962" t="s">
        <v>27</v>
      </c>
      <c r="O962" t="s">
        <v>52</v>
      </c>
      <c r="P962">
        <v>440.19</v>
      </c>
    </row>
    <row r="963" spans="1:16">
      <c r="A963" s="4">
        <v>2017</v>
      </c>
      <c r="B963" s="4">
        <v>137330</v>
      </c>
      <c r="C963" t="s">
        <v>1532</v>
      </c>
      <c r="D963" t="s">
        <v>1733</v>
      </c>
      <c r="E963" t="s">
        <v>18</v>
      </c>
      <c r="F963" t="s">
        <v>2994</v>
      </c>
      <c r="G963" t="s">
        <v>2995</v>
      </c>
      <c r="H963" t="s">
        <v>33</v>
      </c>
      <c r="I963" t="s">
        <v>22</v>
      </c>
      <c r="J963" t="s">
        <v>2997</v>
      </c>
      <c r="K963" t="s">
        <v>313</v>
      </c>
      <c r="L963" t="s">
        <v>36</v>
      </c>
      <c r="M963" t="s">
        <v>1951</v>
      </c>
      <c r="N963" t="s">
        <v>27</v>
      </c>
      <c r="O963" t="s">
        <v>28</v>
      </c>
      <c r="P963">
        <v>19.46</v>
      </c>
    </row>
    <row r="964" spans="1:16">
      <c r="A964" s="4">
        <v>2015</v>
      </c>
      <c r="B964" s="4">
        <v>130960</v>
      </c>
      <c r="C964" t="s">
        <v>365</v>
      </c>
      <c r="D964" t="s">
        <v>655</v>
      </c>
      <c r="E964" t="s">
        <v>18</v>
      </c>
      <c r="F964" t="s">
        <v>2998</v>
      </c>
      <c r="G964" t="s">
        <v>2999</v>
      </c>
      <c r="H964" t="s">
        <v>33</v>
      </c>
      <c r="I964" t="s">
        <v>22</v>
      </c>
      <c r="J964" t="s">
        <v>3000</v>
      </c>
      <c r="K964" t="s">
        <v>855</v>
      </c>
      <c r="L964" t="s">
        <v>36</v>
      </c>
      <c r="M964" t="s">
        <v>1698</v>
      </c>
      <c r="N964" t="s">
        <v>27</v>
      </c>
      <c r="O964" t="s">
        <v>28</v>
      </c>
      <c r="P964">
        <v>9.84</v>
      </c>
    </row>
    <row r="965" spans="1:16">
      <c r="A965" s="4">
        <v>2018</v>
      </c>
      <c r="B965" s="4">
        <v>118038</v>
      </c>
      <c r="C965" t="s">
        <v>163</v>
      </c>
      <c r="D965" t="s">
        <v>1702</v>
      </c>
      <c r="E965" t="s">
        <v>42</v>
      </c>
      <c r="F965" t="s">
        <v>2998</v>
      </c>
      <c r="G965" t="s">
        <v>2999</v>
      </c>
      <c r="H965" t="s">
        <v>33</v>
      </c>
      <c r="I965" t="s">
        <v>22</v>
      </c>
      <c r="J965" t="s">
        <v>183</v>
      </c>
      <c r="K965" t="s">
        <v>35</v>
      </c>
      <c r="L965" t="s">
        <v>36</v>
      </c>
      <c r="M965" t="s">
        <v>3001</v>
      </c>
      <c r="N965" t="s">
        <v>27</v>
      </c>
      <c r="O965" t="s">
        <v>101</v>
      </c>
      <c r="P965">
        <v>1.248</v>
      </c>
    </row>
    <row r="966" spans="1:16">
      <c r="A966" s="4">
        <v>2016</v>
      </c>
      <c r="B966" s="4">
        <v>157035</v>
      </c>
      <c r="C966" t="s">
        <v>2617</v>
      </c>
      <c r="D966" t="s">
        <v>1785</v>
      </c>
      <c r="E966" t="s">
        <v>42</v>
      </c>
      <c r="F966" t="s">
        <v>2998</v>
      </c>
      <c r="G966" t="s">
        <v>2999</v>
      </c>
      <c r="H966" t="s">
        <v>33</v>
      </c>
      <c r="I966" t="s">
        <v>22</v>
      </c>
      <c r="J966" t="s">
        <v>473</v>
      </c>
      <c r="K966" t="s">
        <v>122</v>
      </c>
      <c r="L966" t="s">
        <v>36</v>
      </c>
      <c r="M966" t="s">
        <v>3002</v>
      </c>
      <c r="N966" t="s">
        <v>27</v>
      </c>
      <c r="O966" t="s">
        <v>52</v>
      </c>
      <c r="P966">
        <v>34.020000000000003</v>
      </c>
    </row>
    <row r="967" spans="1:16">
      <c r="A967" s="4">
        <v>2018</v>
      </c>
      <c r="B967" s="4">
        <v>159156</v>
      </c>
      <c r="C967" t="s">
        <v>1331</v>
      </c>
      <c r="D967" t="s">
        <v>1235</v>
      </c>
      <c r="E967" t="s">
        <v>42</v>
      </c>
      <c r="F967" t="s">
        <v>2998</v>
      </c>
      <c r="G967" t="s">
        <v>2999</v>
      </c>
      <c r="H967" t="s">
        <v>33</v>
      </c>
      <c r="I967" t="s">
        <v>22</v>
      </c>
      <c r="J967" t="s">
        <v>49</v>
      </c>
      <c r="K967" t="s">
        <v>50</v>
      </c>
      <c r="L967" t="s">
        <v>25</v>
      </c>
      <c r="M967" t="s">
        <v>3003</v>
      </c>
      <c r="N967" t="s">
        <v>38</v>
      </c>
      <c r="O967" t="s">
        <v>118</v>
      </c>
      <c r="P967">
        <v>629.95000000000005</v>
      </c>
    </row>
    <row r="968" spans="1:16">
      <c r="A968" s="4">
        <v>2018</v>
      </c>
      <c r="B968" s="4">
        <v>164049</v>
      </c>
      <c r="C968" t="s">
        <v>578</v>
      </c>
      <c r="D968" t="s">
        <v>579</v>
      </c>
      <c r="E968" t="s">
        <v>18</v>
      </c>
      <c r="F968" t="s">
        <v>3004</v>
      </c>
      <c r="G968" t="s">
        <v>3005</v>
      </c>
      <c r="H968" t="s">
        <v>33</v>
      </c>
      <c r="I968" t="s">
        <v>22</v>
      </c>
      <c r="J968" t="s">
        <v>271</v>
      </c>
      <c r="K968" t="s">
        <v>165</v>
      </c>
      <c r="L968" t="s">
        <v>66</v>
      </c>
      <c r="M968" t="s">
        <v>3006</v>
      </c>
      <c r="N968" t="s">
        <v>27</v>
      </c>
      <c r="O968" t="s">
        <v>52</v>
      </c>
      <c r="P968">
        <v>23.85</v>
      </c>
    </row>
    <row r="969" spans="1:16">
      <c r="A969" s="4">
        <v>2018</v>
      </c>
      <c r="B969" s="4">
        <v>152275</v>
      </c>
      <c r="C969" t="s">
        <v>1437</v>
      </c>
      <c r="D969" t="s">
        <v>1977</v>
      </c>
      <c r="E969" t="s">
        <v>18</v>
      </c>
      <c r="F969" t="s">
        <v>3004</v>
      </c>
      <c r="G969" t="s">
        <v>3005</v>
      </c>
      <c r="H969" t="s">
        <v>33</v>
      </c>
      <c r="I969" t="s">
        <v>22</v>
      </c>
      <c r="J969" t="s">
        <v>738</v>
      </c>
      <c r="K969" t="s">
        <v>35</v>
      </c>
      <c r="L969" t="s">
        <v>36</v>
      </c>
      <c r="M969" t="s">
        <v>2732</v>
      </c>
      <c r="N969" t="s">
        <v>27</v>
      </c>
      <c r="O969" t="s">
        <v>28</v>
      </c>
      <c r="P969">
        <v>6.6719999999999997</v>
      </c>
    </row>
    <row r="970" spans="1:16">
      <c r="A970" s="4">
        <v>2017</v>
      </c>
      <c r="B970" s="4">
        <v>100153</v>
      </c>
      <c r="C970" t="s">
        <v>1733</v>
      </c>
      <c r="D970" t="s">
        <v>1494</v>
      </c>
      <c r="E970" t="s">
        <v>18</v>
      </c>
      <c r="F970" t="s">
        <v>3004</v>
      </c>
      <c r="G970" t="s">
        <v>3005</v>
      </c>
      <c r="H970" t="s">
        <v>33</v>
      </c>
      <c r="I970" t="s">
        <v>22</v>
      </c>
      <c r="J970" t="s">
        <v>3007</v>
      </c>
      <c r="K970" t="s">
        <v>152</v>
      </c>
      <c r="L970" t="s">
        <v>36</v>
      </c>
      <c r="M970" t="s">
        <v>3008</v>
      </c>
      <c r="N970" t="s">
        <v>38</v>
      </c>
      <c r="O970" t="s">
        <v>68</v>
      </c>
      <c r="P970">
        <v>63.88</v>
      </c>
    </row>
    <row r="971" spans="1:16">
      <c r="A971" s="4">
        <v>2017</v>
      </c>
      <c r="B971" s="4">
        <v>103037</v>
      </c>
      <c r="C971" t="s">
        <v>1338</v>
      </c>
      <c r="D971" t="s">
        <v>3009</v>
      </c>
      <c r="E971" t="s">
        <v>18</v>
      </c>
      <c r="F971" t="s">
        <v>3004</v>
      </c>
      <c r="G971" t="s">
        <v>3005</v>
      </c>
      <c r="H971" t="s">
        <v>33</v>
      </c>
      <c r="I971" t="s">
        <v>22</v>
      </c>
      <c r="J971" t="s">
        <v>183</v>
      </c>
      <c r="K971" t="s">
        <v>35</v>
      </c>
      <c r="L971" t="s">
        <v>36</v>
      </c>
      <c r="M971" t="s">
        <v>3010</v>
      </c>
      <c r="N971" t="s">
        <v>27</v>
      </c>
      <c r="O971" t="s">
        <v>111</v>
      </c>
      <c r="P971">
        <v>15.712</v>
      </c>
    </row>
    <row r="972" spans="1:16">
      <c r="A972" s="4">
        <v>2018</v>
      </c>
      <c r="B972" s="4">
        <v>147403</v>
      </c>
      <c r="C972" t="s">
        <v>3011</v>
      </c>
      <c r="D972" t="s">
        <v>592</v>
      </c>
      <c r="E972" t="s">
        <v>42</v>
      </c>
      <c r="F972" t="s">
        <v>3004</v>
      </c>
      <c r="G972" t="s">
        <v>3005</v>
      </c>
      <c r="H972" t="s">
        <v>33</v>
      </c>
      <c r="I972" t="s">
        <v>22</v>
      </c>
      <c r="J972" t="s">
        <v>1929</v>
      </c>
      <c r="K972" t="s">
        <v>237</v>
      </c>
      <c r="L972" t="s">
        <v>25</v>
      </c>
      <c r="M972" t="s">
        <v>3012</v>
      </c>
      <c r="N972" t="s">
        <v>27</v>
      </c>
      <c r="O972" t="s">
        <v>52</v>
      </c>
      <c r="P972">
        <v>85.055999999999997</v>
      </c>
    </row>
    <row r="973" spans="1:16">
      <c r="A973" s="4">
        <v>2016</v>
      </c>
      <c r="B973" s="4">
        <v>115798</v>
      </c>
      <c r="C973" t="s">
        <v>94</v>
      </c>
      <c r="D973" t="s">
        <v>489</v>
      </c>
      <c r="E973" t="s">
        <v>18</v>
      </c>
      <c r="F973" t="s">
        <v>3013</v>
      </c>
      <c r="G973" t="s">
        <v>3014</v>
      </c>
      <c r="H973" t="s">
        <v>33</v>
      </c>
      <c r="I973" t="s">
        <v>97</v>
      </c>
      <c r="J973" t="s">
        <v>987</v>
      </c>
      <c r="K973" t="s">
        <v>1392</v>
      </c>
      <c r="L973" t="s">
        <v>25</v>
      </c>
      <c r="M973" t="s">
        <v>2301</v>
      </c>
      <c r="N973" t="s">
        <v>38</v>
      </c>
      <c r="O973" t="s">
        <v>118</v>
      </c>
      <c r="P973">
        <v>377.97</v>
      </c>
    </row>
    <row r="974" spans="1:16">
      <c r="A974" s="4">
        <v>2017</v>
      </c>
      <c r="B974" s="4">
        <v>157749</v>
      </c>
      <c r="C974" t="s">
        <v>816</v>
      </c>
      <c r="D974" t="s">
        <v>2302</v>
      </c>
      <c r="E974" t="s">
        <v>144</v>
      </c>
      <c r="F974" t="s">
        <v>3013</v>
      </c>
      <c r="G974" t="s">
        <v>3014</v>
      </c>
      <c r="H974" t="s">
        <v>33</v>
      </c>
      <c r="I974" t="s">
        <v>97</v>
      </c>
      <c r="J974" t="s">
        <v>108</v>
      </c>
      <c r="K974" t="s">
        <v>109</v>
      </c>
      <c r="L974" t="s">
        <v>36</v>
      </c>
      <c r="M974" t="s">
        <v>3015</v>
      </c>
      <c r="N974" t="s">
        <v>27</v>
      </c>
      <c r="O974" t="s">
        <v>52</v>
      </c>
      <c r="P974">
        <v>25.92</v>
      </c>
    </row>
    <row r="975" spans="1:16">
      <c r="A975" s="4">
        <v>2017</v>
      </c>
      <c r="B975" s="4">
        <v>133550</v>
      </c>
      <c r="C975" t="s">
        <v>3016</v>
      </c>
      <c r="D975" t="s">
        <v>3017</v>
      </c>
      <c r="E975" t="s">
        <v>18</v>
      </c>
      <c r="F975" t="s">
        <v>3013</v>
      </c>
      <c r="G975" t="s">
        <v>3014</v>
      </c>
      <c r="H975" t="s">
        <v>33</v>
      </c>
      <c r="I975" t="s">
        <v>97</v>
      </c>
      <c r="J975" t="s">
        <v>879</v>
      </c>
      <c r="K975" t="s">
        <v>855</v>
      </c>
      <c r="L975" t="s">
        <v>36</v>
      </c>
      <c r="M975" t="s">
        <v>3018</v>
      </c>
      <c r="N975" t="s">
        <v>27</v>
      </c>
      <c r="O975" t="s">
        <v>228</v>
      </c>
      <c r="P975">
        <v>283.14</v>
      </c>
    </row>
    <row r="976" spans="1:16">
      <c r="A976" s="4">
        <v>2017</v>
      </c>
      <c r="B976" s="4">
        <v>157742</v>
      </c>
      <c r="C976" t="s">
        <v>1092</v>
      </c>
      <c r="D976" t="s">
        <v>753</v>
      </c>
      <c r="E976" t="s">
        <v>144</v>
      </c>
      <c r="F976" t="s">
        <v>3013</v>
      </c>
      <c r="G976" t="s">
        <v>3014</v>
      </c>
      <c r="H976" t="s">
        <v>33</v>
      </c>
      <c r="I976" t="s">
        <v>97</v>
      </c>
      <c r="J976" t="s">
        <v>98</v>
      </c>
      <c r="K976" t="s">
        <v>323</v>
      </c>
      <c r="L976" t="s">
        <v>66</v>
      </c>
      <c r="M976" t="s">
        <v>3019</v>
      </c>
      <c r="N976" t="s">
        <v>27</v>
      </c>
      <c r="O976" t="s">
        <v>501</v>
      </c>
      <c r="P976">
        <v>27.792000000000002</v>
      </c>
    </row>
    <row r="977" spans="1:16">
      <c r="A977" s="4">
        <v>2018</v>
      </c>
      <c r="B977" s="4">
        <v>164042</v>
      </c>
      <c r="C977" t="s">
        <v>529</v>
      </c>
      <c r="D977" t="s">
        <v>725</v>
      </c>
      <c r="E977" t="s">
        <v>18</v>
      </c>
      <c r="F977" t="s">
        <v>3013</v>
      </c>
      <c r="G977" t="s">
        <v>3014</v>
      </c>
      <c r="H977" t="s">
        <v>33</v>
      </c>
      <c r="I977" t="s">
        <v>97</v>
      </c>
      <c r="J977" t="s">
        <v>183</v>
      </c>
      <c r="K977" t="s">
        <v>35</v>
      </c>
      <c r="L977" t="s">
        <v>36</v>
      </c>
      <c r="M977" t="s">
        <v>3020</v>
      </c>
      <c r="N977" t="s">
        <v>27</v>
      </c>
      <c r="O977" t="s">
        <v>452</v>
      </c>
      <c r="P977">
        <v>1.8240000000000001</v>
      </c>
    </row>
    <row r="978" spans="1:16">
      <c r="A978" s="4">
        <v>2016</v>
      </c>
      <c r="B978" s="4">
        <v>128167</v>
      </c>
      <c r="C978" t="s">
        <v>3021</v>
      </c>
      <c r="D978" t="s">
        <v>3022</v>
      </c>
      <c r="E978" t="s">
        <v>144</v>
      </c>
      <c r="F978" t="s">
        <v>3013</v>
      </c>
      <c r="G978" t="s">
        <v>3014</v>
      </c>
      <c r="H978" t="s">
        <v>33</v>
      </c>
      <c r="I978" t="s">
        <v>97</v>
      </c>
      <c r="J978" t="s">
        <v>3023</v>
      </c>
      <c r="K978" t="s">
        <v>217</v>
      </c>
      <c r="L978" t="s">
        <v>66</v>
      </c>
      <c r="M978" t="s">
        <v>3024</v>
      </c>
      <c r="N978" t="s">
        <v>27</v>
      </c>
      <c r="O978" t="s">
        <v>452</v>
      </c>
      <c r="P978">
        <v>4.96</v>
      </c>
    </row>
    <row r="979" spans="1:16">
      <c r="A979" s="4">
        <v>2016</v>
      </c>
      <c r="B979" s="4">
        <v>131072</v>
      </c>
      <c r="C979" t="s">
        <v>2017</v>
      </c>
      <c r="D979" t="s">
        <v>2017</v>
      </c>
      <c r="E979" t="s">
        <v>132</v>
      </c>
      <c r="F979" t="s">
        <v>3013</v>
      </c>
      <c r="G979" t="s">
        <v>3014</v>
      </c>
      <c r="H979" t="s">
        <v>33</v>
      </c>
      <c r="I979" t="s">
        <v>97</v>
      </c>
      <c r="J979" t="s">
        <v>271</v>
      </c>
      <c r="K979" t="s">
        <v>165</v>
      </c>
      <c r="L979" t="s">
        <v>66</v>
      </c>
      <c r="M979" t="s">
        <v>3025</v>
      </c>
      <c r="N979" t="s">
        <v>27</v>
      </c>
      <c r="O979" t="s">
        <v>101</v>
      </c>
      <c r="P979">
        <v>98.352000000000004</v>
      </c>
    </row>
    <row r="980" spans="1:16">
      <c r="A980" s="4">
        <v>2016</v>
      </c>
      <c r="B980" s="4">
        <v>168732</v>
      </c>
      <c r="C980" t="s">
        <v>2472</v>
      </c>
      <c r="D980" t="s">
        <v>1890</v>
      </c>
      <c r="E980" t="s">
        <v>18</v>
      </c>
      <c r="F980" t="s">
        <v>3026</v>
      </c>
      <c r="G980" t="s">
        <v>3027</v>
      </c>
      <c r="H980" t="s">
        <v>21</v>
      </c>
      <c r="I980" t="s">
        <v>97</v>
      </c>
      <c r="J980" t="s">
        <v>1774</v>
      </c>
      <c r="K980" t="s">
        <v>86</v>
      </c>
      <c r="L980" t="s">
        <v>45</v>
      </c>
      <c r="M980" t="s">
        <v>3028</v>
      </c>
      <c r="N980" t="s">
        <v>27</v>
      </c>
      <c r="O980" t="s">
        <v>28</v>
      </c>
      <c r="P980">
        <v>1.78</v>
      </c>
    </row>
    <row r="981" spans="1:16">
      <c r="A981" s="4">
        <v>2018</v>
      </c>
      <c r="B981" s="4">
        <v>142636</v>
      </c>
      <c r="C981" t="s">
        <v>1584</v>
      </c>
      <c r="D981" t="s">
        <v>199</v>
      </c>
      <c r="E981" t="s">
        <v>18</v>
      </c>
      <c r="F981" t="s">
        <v>3029</v>
      </c>
      <c r="G981" t="s">
        <v>3030</v>
      </c>
      <c r="H981" t="s">
        <v>21</v>
      </c>
      <c r="I981" t="s">
        <v>22</v>
      </c>
      <c r="J981" t="s">
        <v>271</v>
      </c>
      <c r="K981" t="s">
        <v>165</v>
      </c>
      <c r="L981" t="s">
        <v>66</v>
      </c>
      <c r="M981" t="s">
        <v>1947</v>
      </c>
      <c r="N981" t="s">
        <v>27</v>
      </c>
      <c r="O981" t="s">
        <v>52</v>
      </c>
      <c r="P981">
        <v>139.86000000000001</v>
      </c>
    </row>
    <row r="982" spans="1:16">
      <c r="A982" s="4">
        <v>2017</v>
      </c>
      <c r="B982" s="4">
        <v>103891</v>
      </c>
      <c r="C982" t="s">
        <v>2699</v>
      </c>
      <c r="D982" t="s">
        <v>2815</v>
      </c>
      <c r="E982" t="s">
        <v>18</v>
      </c>
      <c r="F982" t="s">
        <v>3031</v>
      </c>
      <c r="G982" t="s">
        <v>3032</v>
      </c>
      <c r="H982" t="s">
        <v>33</v>
      </c>
      <c r="I982" t="s">
        <v>22</v>
      </c>
      <c r="J982" t="s">
        <v>64</v>
      </c>
      <c r="K982" t="s">
        <v>65</v>
      </c>
      <c r="L982" t="s">
        <v>66</v>
      </c>
      <c r="M982" t="s">
        <v>3033</v>
      </c>
      <c r="N982" t="s">
        <v>38</v>
      </c>
      <c r="O982" t="s">
        <v>118</v>
      </c>
      <c r="P982">
        <v>95.76</v>
      </c>
    </row>
    <row r="983" spans="1:16">
      <c r="A983" s="4">
        <v>2015</v>
      </c>
      <c r="B983" s="4">
        <v>163223</v>
      </c>
      <c r="C983" t="s">
        <v>1146</v>
      </c>
      <c r="D983" t="s">
        <v>535</v>
      </c>
      <c r="E983" t="s">
        <v>18</v>
      </c>
      <c r="F983" t="s">
        <v>3031</v>
      </c>
      <c r="G983" t="s">
        <v>3032</v>
      </c>
      <c r="H983" t="s">
        <v>33</v>
      </c>
      <c r="I983" t="s">
        <v>22</v>
      </c>
      <c r="J983" t="s">
        <v>98</v>
      </c>
      <c r="K983" t="s">
        <v>56</v>
      </c>
      <c r="L983" t="s">
        <v>45</v>
      </c>
      <c r="M983" t="s">
        <v>3034</v>
      </c>
      <c r="N983" t="s">
        <v>38</v>
      </c>
      <c r="O983" t="s">
        <v>118</v>
      </c>
      <c r="P983">
        <v>3499.93</v>
      </c>
    </row>
    <row r="984" spans="1:16">
      <c r="A984" s="4">
        <v>2016</v>
      </c>
      <c r="B984" s="4">
        <v>119102</v>
      </c>
      <c r="C984" t="s">
        <v>2066</v>
      </c>
      <c r="D984" t="s">
        <v>3035</v>
      </c>
      <c r="E984" t="s">
        <v>18</v>
      </c>
      <c r="F984" t="s">
        <v>3031</v>
      </c>
      <c r="G984" t="s">
        <v>3032</v>
      </c>
      <c r="H984" t="s">
        <v>33</v>
      </c>
      <c r="I984" t="s">
        <v>22</v>
      </c>
      <c r="J984" t="s">
        <v>1839</v>
      </c>
      <c r="K984" t="s">
        <v>838</v>
      </c>
      <c r="L984" t="s">
        <v>25</v>
      </c>
      <c r="M984" t="s">
        <v>3036</v>
      </c>
      <c r="N984" t="s">
        <v>27</v>
      </c>
      <c r="O984" t="s">
        <v>58</v>
      </c>
      <c r="P984">
        <v>51.45</v>
      </c>
    </row>
    <row r="985" spans="1:16">
      <c r="A985" s="4">
        <v>2018</v>
      </c>
      <c r="B985" s="4">
        <v>163979</v>
      </c>
      <c r="C985" t="s">
        <v>1316</v>
      </c>
      <c r="D985" t="s">
        <v>1018</v>
      </c>
      <c r="E985" t="s">
        <v>144</v>
      </c>
      <c r="F985" t="s">
        <v>3031</v>
      </c>
      <c r="G985" t="s">
        <v>3032</v>
      </c>
      <c r="H985" t="s">
        <v>33</v>
      </c>
      <c r="I985" t="s">
        <v>22</v>
      </c>
      <c r="J985" t="s">
        <v>226</v>
      </c>
      <c r="K985" t="s">
        <v>65</v>
      </c>
      <c r="L985" t="s">
        <v>66</v>
      </c>
      <c r="M985" t="s">
        <v>3037</v>
      </c>
      <c r="N985" t="s">
        <v>27</v>
      </c>
      <c r="O985" t="s">
        <v>58</v>
      </c>
      <c r="P985">
        <v>725.84</v>
      </c>
    </row>
    <row r="986" spans="1:16">
      <c r="A986" s="4">
        <v>2016</v>
      </c>
      <c r="B986" s="4">
        <v>150714</v>
      </c>
      <c r="C986" t="s">
        <v>392</v>
      </c>
      <c r="D986" t="s">
        <v>1168</v>
      </c>
      <c r="E986" t="s">
        <v>18</v>
      </c>
      <c r="F986" t="s">
        <v>3031</v>
      </c>
      <c r="G986" t="s">
        <v>3032</v>
      </c>
      <c r="H986" t="s">
        <v>33</v>
      </c>
      <c r="I986" t="s">
        <v>22</v>
      </c>
      <c r="J986" t="s">
        <v>98</v>
      </c>
      <c r="K986" t="s">
        <v>323</v>
      </c>
      <c r="L986" t="s">
        <v>66</v>
      </c>
      <c r="M986" t="s">
        <v>3038</v>
      </c>
      <c r="N986" t="s">
        <v>27</v>
      </c>
      <c r="O986" t="s">
        <v>111</v>
      </c>
      <c r="P986">
        <v>146.54400000000001</v>
      </c>
    </row>
    <row r="987" spans="1:16">
      <c r="A987" s="4">
        <v>2018</v>
      </c>
      <c r="B987" s="4">
        <v>138422</v>
      </c>
      <c r="C987" t="s">
        <v>640</v>
      </c>
      <c r="D987" t="s">
        <v>886</v>
      </c>
      <c r="E987" t="s">
        <v>42</v>
      </c>
      <c r="F987" t="s">
        <v>3039</v>
      </c>
      <c r="G987" t="s">
        <v>3040</v>
      </c>
      <c r="H987" t="s">
        <v>33</v>
      </c>
      <c r="I987" t="s">
        <v>63</v>
      </c>
      <c r="J987" t="s">
        <v>642</v>
      </c>
      <c r="K987" t="s">
        <v>222</v>
      </c>
      <c r="L987" t="s">
        <v>66</v>
      </c>
      <c r="M987" t="s">
        <v>3041</v>
      </c>
      <c r="N987" t="s">
        <v>27</v>
      </c>
      <c r="O987" t="s">
        <v>501</v>
      </c>
      <c r="P987">
        <v>14.352</v>
      </c>
    </row>
    <row r="988" spans="1:16">
      <c r="A988" s="4">
        <v>2018</v>
      </c>
      <c r="B988" s="4">
        <v>126067</v>
      </c>
      <c r="C988" t="s">
        <v>2318</v>
      </c>
      <c r="D988" t="s">
        <v>625</v>
      </c>
      <c r="E988" t="s">
        <v>18</v>
      </c>
      <c r="F988" t="s">
        <v>3039</v>
      </c>
      <c r="G988" t="s">
        <v>3040</v>
      </c>
      <c r="H988" t="s">
        <v>33</v>
      </c>
      <c r="I988" t="s">
        <v>63</v>
      </c>
      <c r="J988" t="s">
        <v>271</v>
      </c>
      <c r="K988" t="s">
        <v>165</v>
      </c>
      <c r="L988" t="s">
        <v>66</v>
      </c>
      <c r="M988" t="s">
        <v>3042</v>
      </c>
      <c r="N988" t="s">
        <v>38</v>
      </c>
      <c r="O988" t="s">
        <v>118</v>
      </c>
      <c r="P988">
        <v>35.167999999999999</v>
      </c>
    </row>
    <row r="989" spans="1:16">
      <c r="A989" s="4">
        <v>2015</v>
      </c>
      <c r="B989" s="4">
        <v>157609</v>
      </c>
      <c r="C989" t="s">
        <v>1247</v>
      </c>
      <c r="D989" t="s">
        <v>1146</v>
      </c>
      <c r="E989" t="s">
        <v>144</v>
      </c>
      <c r="F989" t="s">
        <v>3039</v>
      </c>
      <c r="G989" t="s">
        <v>3040</v>
      </c>
      <c r="H989" t="s">
        <v>33</v>
      </c>
      <c r="I989" t="s">
        <v>63</v>
      </c>
      <c r="J989" t="s">
        <v>1174</v>
      </c>
      <c r="K989" t="s">
        <v>44</v>
      </c>
      <c r="L989" t="s">
        <v>45</v>
      </c>
      <c r="M989" t="s">
        <v>3043</v>
      </c>
      <c r="N989" t="s">
        <v>38</v>
      </c>
      <c r="O989" t="s">
        <v>118</v>
      </c>
      <c r="P989">
        <v>471.92</v>
      </c>
    </row>
    <row r="990" spans="1:16">
      <c r="A990" s="4">
        <v>2017</v>
      </c>
      <c r="B990" s="4">
        <v>140613</v>
      </c>
      <c r="C990" t="s">
        <v>305</v>
      </c>
      <c r="D990" t="s">
        <v>3009</v>
      </c>
      <c r="E990" t="s">
        <v>18</v>
      </c>
      <c r="F990" t="s">
        <v>3039</v>
      </c>
      <c r="G990" t="s">
        <v>3040</v>
      </c>
      <c r="H990" t="s">
        <v>33</v>
      </c>
      <c r="I990" t="s">
        <v>63</v>
      </c>
      <c r="J990" t="s">
        <v>2591</v>
      </c>
      <c r="K990" t="s">
        <v>91</v>
      </c>
      <c r="L990" t="s">
        <v>66</v>
      </c>
      <c r="M990" t="s">
        <v>3044</v>
      </c>
      <c r="N990" t="s">
        <v>27</v>
      </c>
      <c r="O990" t="s">
        <v>74</v>
      </c>
      <c r="P990">
        <v>86.2</v>
      </c>
    </row>
    <row r="991" spans="1:16">
      <c r="A991" s="4">
        <v>2016</v>
      </c>
      <c r="B991" s="4">
        <v>135545</v>
      </c>
      <c r="C991" t="s">
        <v>1602</v>
      </c>
      <c r="D991" t="s">
        <v>585</v>
      </c>
      <c r="E991" t="s">
        <v>18</v>
      </c>
      <c r="F991" t="s">
        <v>3045</v>
      </c>
      <c r="G991" t="s">
        <v>3046</v>
      </c>
      <c r="H991" t="s">
        <v>33</v>
      </c>
      <c r="I991" t="s">
        <v>97</v>
      </c>
      <c r="J991" t="s">
        <v>64</v>
      </c>
      <c r="K991" t="s">
        <v>65</v>
      </c>
      <c r="L991" t="s">
        <v>66</v>
      </c>
      <c r="M991" t="s">
        <v>3047</v>
      </c>
      <c r="N991" t="s">
        <v>38</v>
      </c>
      <c r="O991" t="s">
        <v>68</v>
      </c>
      <c r="P991">
        <v>13.98</v>
      </c>
    </row>
    <row r="992" spans="1:16">
      <c r="A992" s="4">
        <v>2015</v>
      </c>
      <c r="B992" s="4">
        <v>157021</v>
      </c>
      <c r="C992" t="s">
        <v>536</v>
      </c>
      <c r="D992" t="s">
        <v>427</v>
      </c>
      <c r="E992" t="s">
        <v>144</v>
      </c>
      <c r="F992" t="s">
        <v>3045</v>
      </c>
      <c r="G992" t="s">
        <v>3046</v>
      </c>
      <c r="H992" t="s">
        <v>33</v>
      </c>
      <c r="I992" t="s">
        <v>97</v>
      </c>
      <c r="J992" t="s">
        <v>1674</v>
      </c>
      <c r="K992" t="s">
        <v>65</v>
      </c>
      <c r="L992" t="s">
        <v>66</v>
      </c>
      <c r="M992" t="s">
        <v>2104</v>
      </c>
      <c r="N992" t="s">
        <v>27</v>
      </c>
      <c r="O992" t="s">
        <v>111</v>
      </c>
      <c r="P992">
        <v>29.6</v>
      </c>
    </row>
    <row r="993" spans="1:16">
      <c r="A993" s="4">
        <v>2015</v>
      </c>
      <c r="B993" s="4">
        <v>169033</v>
      </c>
      <c r="C993" t="s">
        <v>3048</v>
      </c>
      <c r="D993" t="s">
        <v>3049</v>
      </c>
      <c r="E993" t="s">
        <v>18</v>
      </c>
      <c r="F993" t="s">
        <v>3045</v>
      </c>
      <c r="G993" t="s">
        <v>3046</v>
      </c>
      <c r="H993" t="s">
        <v>33</v>
      </c>
      <c r="I993" t="s">
        <v>97</v>
      </c>
      <c r="J993" t="s">
        <v>1130</v>
      </c>
      <c r="K993" t="s">
        <v>50</v>
      </c>
      <c r="L993" t="s">
        <v>25</v>
      </c>
      <c r="M993" t="s">
        <v>3050</v>
      </c>
      <c r="N993" t="s">
        <v>27</v>
      </c>
      <c r="O993" t="s">
        <v>28</v>
      </c>
      <c r="P993">
        <v>49.65</v>
      </c>
    </row>
    <row r="994" spans="1:16">
      <c r="A994" s="4">
        <v>2018</v>
      </c>
      <c r="B994" s="4">
        <v>133235</v>
      </c>
      <c r="C994" t="s">
        <v>29</v>
      </c>
      <c r="D994" t="s">
        <v>1231</v>
      </c>
      <c r="E994" t="s">
        <v>42</v>
      </c>
      <c r="F994" t="s">
        <v>3051</v>
      </c>
      <c r="G994" t="s">
        <v>3052</v>
      </c>
      <c r="H994" t="s">
        <v>21</v>
      </c>
      <c r="I994" t="s">
        <v>97</v>
      </c>
      <c r="J994" t="s">
        <v>1413</v>
      </c>
      <c r="K994" t="s">
        <v>44</v>
      </c>
      <c r="L994" t="s">
        <v>45</v>
      </c>
      <c r="M994" t="s">
        <v>3053</v>
      </c>
      <c r="N994" t="s">
        <v>38</v>
      </c>
      <c r="O994" t="s">
        <v>118</v>
      </c>
      <c r="P994">
        <v>271.95999999999998</v>
      </c>
    </row>
    <row r="995" spans="1:16">
      <c r="A995" s="4">
        <v>2016</v>
      </c>
      <c r="B995" s="4">
        <v>122910</v>
      </c>
      <c r="C995" t="s">
        <v>321</v>
      </c>
      <c r="D995" t="s">
        <v>531</v>
      </c>
      <c r="E995" t="s">
        <v>18</v>
      </c>
      <c r="F995" t="s">
        <v>3054</v>
      </c>
      <c r="G995" t="s">
        <v>3055</v>
      </c>
      <c r="H995" t="s">
        <v>33</v>
      </c>
      <c r="I995" t="s">
        <v>97</v>
      </c>
      <c r="J995" t="s">
        <v>617</v>
      </c>
      <c r="K995" t="s">
        <v>222</v>
      </c>
      <c r="L995" t="s">
        <v>66</v>
      </c>
      <c r="M995" t="s">
        <v>3056</v>
      </c>
      <c r="N995" t="s">
        <v>38</v>
      </c>
      <c r="O995" t="s">
        <v>118</v>
      </c>
      <c r="P995">
        <v>201.584</v>
      </c>
    </row>
    <row r="996" spans="1:16">
      <c r="A996" s="4">
        <v>2015</v>
      </c>
      <c r="B996" s="4">
        <v>126522</v>
      </c>
      <c r="C996" t="s">
        <v>3057</v>
      </c>
      <c r="D996" t="s">
        <v>2864</v>
      </c>
      <c r="E996" t="s">
        <v>144</v>
      </c>
      <c r="F996" t="s">
        <v>3054</v>
      </c>
      <c r="G996" t="s">
        <v>3055</v>
      </c>
      <c r="H996" t="s">
        <v>33</v>
      </c>
      <c r="I996" t="s">
        <v>97</v>
      </c>
      <c r="J996" t="s">
        <v>3058</v>
      </c>
      <c r="K996" t="s">
        <v>65</v>
      </c>
      <c r="L996" t="s">
        <v>66</v>
      </c>
      <c r="M996" t="s">
        <v>2388</v>
      </c>
      <c r="N996" t="s">
        <v>27</v>
      </c>
      <c r="O996" t="s">
        <v>28</v>
      </c>
      <c r="P996">
        <v>53.94</v>
      </c>
    </row>
    <row r="997" spans="1:16">
      <c r="A997" s="4">
        <v>2017</v>
      </c>
      <c r="B997" s="4">
        <v>108882</v>
      </c>
      <c r="C997" t="s">
        <v>2042</v>
      </c>
      <c r="D997" t="s">
        <v>3059</v>
      </c>
      <c r="E997" t="s">
        <v>18</v>
      </c>
      <c r="F997" t="s">
        <v>3060</v>
      </c>
      <c r="G997" t="s">
        <v>3061</v>
      </c>
      <c r="H997" t="s">
        <v>33</v>
      </c>
      <c r="I997" t="s">
        <v>22</v>
      </c>
      <c r="J997" t="s">
        <v>1292</v>
      </c>
      <c r="K997" t="s">
        <v>65</v>
      </c>
      <c r="L997" t="s">
        <v>66</v>
      </c>
      <c r="M997" t="s">
        <v>3062</v>
      </c>
      <c r="N997" t="s">
        <v>38</v>
      </c>
      <c r="O997" t="s">
        <v>68</v>
      </c>
      <c r="P997">
        <v>349.95</v>
      </c>
    </row>
    <row r="998" spans="1:16">
      <c r="A998" s="4">
        <v>2017</v>
      </c>
      <c r="B998" s="4">
        <v>123806</v>
      </c>
      <c r="C998" t="s">
        <v>359</v>
      </c>
      <c r="D998" t="s">
        <v>1452</v>
      </c>
      <c r="E998" t="s">
        <v>144</v>
      </c>
      <c r="F998" t="s">
        <v>3060</v>
      </c>
      <c r="G998" t="s">
        <v>3061</v>
      </c>
      <c r="H998" t="s">
        <v>33</v>
      </c>
      <c r="I998" t="s">
        <v>22</v>
      </c>
      <c r="J998" t="s">
        <v>705</v>
      </c>
      <c r="K998" t="s">
        <v>706</v>
      </c>
      <c r="L998" t="s">
        <v>25</v>
      </c>
      <c r="M998" t="s">
        <v>3063</v>
      </c>
      <c r="N998" t="s">
        <v>79</v>
      </c>
      <c r="O998" t="s">
        <v>80</v>
      </c>
      <c r="P998">
        <v>207.76</v>
      </c>
    </row>
    <row r="999" spans="1:16">
      <c r="A999" s="4">
        <v>2018</v>
      </c>
      <c r="B999" s="4">
        <v>130771</v>
      </c>
      <c r="C999" t="s">
        <v>480</v>
      </c>
      <c r="D999" t="s">
        <v>1230</v>
      </c>
      <c r="E999" t="s">
        <v>18</v>
      </c>
      <c r="F999" t="s">
        <v>3060</v>
      </c>
      <c r="G999" t="s">
        <v>3061</v>
      </c>
      <c r="H999" t="s">
        <v>33</v>
      </c>
      <c r="I999" t="s">
        <v>22</v>
      </c>
      <c r="J999" t="s">
        <v>34</v>
      </c>
      <c r="K999" t="s">
        <v>35</v>
      </c>
      <c r="L999" t="s">
        <v>36</v>
      </c>
      <c r="M999" t="s">
        <v>3064</v>
      </c>
      <c r="N999" t="s">
        <v>27</v>
      </c>
      <c r="O999" t="s">
        <v>452</v>
      </c>
      <c r="P999">
        <v>2.8959999999999999</v>
      </c>
    </row>
    <row r="1000" spans="1:16">
      <c r="A1000" s="4">
        <v>2017</v>
      </c>
      <c r="B1000" s="4">
        <v>164091</v>
      </c>
      <c r="C1000" t="s">
        <v>561</v>
      </c>
      <c r="D1000" t="s">
        <v>510</v>
      </c>
      <c r="E1000" t="s">
        <v>18</v>
      </c>
      <c r="F1000" t="s">
        <v>3060</v>
      </c>
      <c r="G1000" t="s">
        <v>3061</v>
      </c>
      <c r="H1000" t="s">
        <v>33</v>
      </c>
      <c r="I1000" t="s">
        <v>22</v>
      </c>
      <c r="J1000" t="s">
        <v>3065</v>
      </c>
      <c r="K1000" t="s">
        <v>3066</v>
      </c>
      <c r="L1000" t="s">
        <v>25</v>
      </c>
      <c r="M1000" t="s">
        <v>3067</v>
      </c>
      <c r="N1000" t="s">
        <v>38</v>
      </c>
      <c r="O1000" t="s">
        <v>118</v>
      </c>
      <c r="P1000">
        <v>437.85</v>
      </c>
    </row>
    <row r="1001" spans="1:16">
      <c r="A1001" s="4">
        <v>2016</v>
      </c>
      <c r="B1001" s="4">
        <v>125395</v>
      </c>
      <c r="C1001" t="s">
        <v>3022</v>
      </c>
      <c r="D1001" t="s">
        <v>3068</v>
      </c>
      <c r="E1001" t="s">
        <v>144</v>
      </c>
      <c r="F1001" t="s">
        <v>3060</v>
      </c>
      <c r="G1001" t="s">
        <v>3061</v>
      </c>
      <c r="H1001" t="s">
        <v>33</v>
      </c>
      <c r="I1001" t="s">
        <v>22</v>
      </c>
      <c r="J1001" t="s">
        <v>3000</v>
      </c>
      <c r="K1001" t="s">
        <v>855</v>
      </c>
      <c r="L1001" t="s">
        <v>36</v>
      </c>
      <c r="M1001" t="s">
        <v>3069</v>
      </c>
      <c r="N1001" t="s">
        <v>38</v>
      </c>
      <c r="O1001" t="s">
        <v>68</v>
      </c>
      <c r="P1001">
        <v>41.9</v>
      </c>
    </row>
    <row r="1002" spans="1:16">
      <c r="A1002" s="4">
        <v>2017</v>
      </c>
      <c r="B1002" s="4">
        <v>162103</v>
      </c>
      <c r="C1002" t="s">
        <v>1342</v>
      </c>
      <c r="D1002" t="s">
        <v>931</v>
      </c>
      <c r="E1002" t="s">
        <v>18</v>
      </c>
      <c r="F1002" t="s">
        <v>3070</v>
      </c>
      <c r="G1002" t="s">
        <v>3071</v>
      </c>
      <c r="H1002" t="s">
        <v>33</v>
      </c>
      <c r="I1002" t="s">
        <v>63</v>
      </c>
      <c r="J1002" t="s">
        <v>3072</v>
      </c>
      <c r="K1002" t="s">
        <v>109</v>
      </c>
      <c r="L1002" t="s">
        <v>36</v>
      </c>
      <c r="M1002" t="s">
        <v>3073</v>
      </c>
      <c r="N1002" t="s">
        <v>27</v>
      </c>
      <c r="O1002" t="s">
        <v>101</v>
      </c>
      <c r="P1002">
        <v>3.1360000000000001</v>
      </c>
    </row>
    <row r="1003" spans="1:16">
      <c r="A1003" s="4">
        <v>2017</v>
      </c>
      <c r="B1003" s="4">
        <v>157490</v>
      </c>
      <c r="C1003" t="s">
        <v>2449</v>
      </c>
      <c r="D1003" t="s">
        <v>1362</v>
      </c>
      <c r="E1003" t="s">
        <v>42</v>
      </c>
      <c r="F1003" t="s">
        <v>3070</v>
      </c>
      <c r="G1003" t="s">
        <v>3071</v>
      </c>
      <c r="H1003" t="s">
        <v>33</v>
      </c>
      <c r="I1003" t="s">
        <v>63</v>
      </c>
      <c r="J1003" t="s">
        <v>2861</v>
      </c>
      <c r="K1003" t="s">
        <v>222</v>
      </c>
      <c r="L1003" t="s">
        <v>66</v>
      </c>
      <c r="M1003" t="s">
        <v>3074</v>
      </c>
      <c r="N1003" t="s">
        <v>38</v>
      </c>
      <c r="O1003" t="s">
        <v>39</v>
      </c>
      <c r="P1003">
        <v>703.71</v>
      </c>
    </row>
    <row r="1004" spans="1:16">
      <c r="A1004" s="4">
        <v>2017</v>
      </c>
      <c r="B1004" s="4">
        <v>124583</v>
      </c>
      <c r="C1004" t="s">
        <v>1515</v>
      </c>
      <c r="D1004" t="s">
        <v>70</v>
      </c>
      <c r="E1004" t="s">
        <v>144</v>
      </c>
      <c r="F1004" t="s">
        <v>3070</v>
      </c>
      <c r="G1004" t="s">
        <v>3071</v>
      </c>
      <c r="H1004" t="s">
        <v>33</v>
      </c>
      <c r="I1004" t="s">
        <v>63</v>
      </c>
      <c r="J1004" t="s">
        <v>1137</v>
      </c>
      <c r="K1004" t="s">
        <v>65</v>
      </c>
      <c r="L1004" t="s">
        <v>66</v>
      </c>
      <c r="M1004" t="s">
        <v>3075</v>
      </c>
      <c r="N1004" t="s">
        <v>27</v>
      </c>
      <c r="O1004" t="s">
        <v>501</v>
      </c>
      <c r="P1004">
        <v>12.78</v>
      </c>
    </row>
    <row r="1005" spans="1:16">
      <c r="A1005" s="4">
        <v>2015</v>
      </c>
      <c r="B1005" s="4">
        <v>117058</v>
      </c>
      <c r="C1005" t="s">
        <v>402</v>
      </c>
      <c r="D1005" t="s">
        <v>3076</v>
      </c>
      <c r="E1005" t="s">
        <v>42</v>
      </c>
      <c r="F1005" t="s">
        <v>3077</v>
      </c>
      <c r="G1005" t="s">
        <v>3078</v>
      </c>
      <c r="H1005" t="s">
        <v>33</v>
      </c>
      <c r="I1005" t="s">
        <v>97</v>
      </c>
      <c r="J1005" t="s">
        <v>108</v>
      </c>
      <c r="K1005" t="s">
        <v>109</v>
      </c>
      <c r="L1005" t="s">
        <v>36</v>
      </c>
      <c r="M1005" t="s">
        <v>3079</v>
      </c>
      <c r="N1005" t="s">
        <v>27</v>
      </c>
      <c r="O1005" t="s">
        <v>101</v>
      </c>
      <c r="P1005">
        <v>17.46</v>
      </c>
    </row>
    <row r="1006" spans="1:16">
      <c r="A1006" s="4">
        <v>2018</v>
      </c>
      <c r="B1006" s="4">
        <v>108329</v>
      </c>
      <c r="C1006" t="s">
        <v>163</v>
      </c>
      <c r="D1006" t="s">
        <v>432</v>
      </c>
      <c r="E1006" t="s">
        <v>18</v>
      </c>
      <c r="F1006" t="s">
        <v>3077</v>
      </c>
      <c r="G1006" t="s">
        <v>3078</v>
      </c>
      <c r="H1006" t="s">
        <v>33</v>
      </c>
      <c r="I1006" t="s">
        <v>97</v>
      </c>
      <c r="J1006" t="s">
        <v>3080</v>
      </c>
      <c r="K1006" t="s">
        <v>65</v>
      </c>
      <c r="L1006" t="s">
        <v>66</v>
      </c>
      <c r="M1006" t="s">
        <v>768</v>
      </c>
      <c r="N1006" t="s">
        <v>38</v>
      </c>
      <c r="O1006" t="s">
        <v>118</v>
      </c>
      <c r="P1006">
        <v>444.76799999999997</v>
      </c>
    </row>
    <row r="1007" spans="1:16">
      <c r="A1007" s="4">
        <v>2017</v>
      </c>
      <c r="B1007" s="4">
        <v>157245</v>
      </c>
      <c r="C1007" t="s">
        <v>3081</v>
      </c>
      <c r="D1007" t="s">
        <v>2105</v>
      </c>
      <c r="E1007" t="s">
        <v>18</v>
      </c>
      <c r="F1007" t="s">
        <v>3077</v>
      </c>
      <c r="G1007" t="s">
        <v>3078</v>
      </c>
      <c r="H1007" t="s">
        <v>33</v>
      </c>
      <c r="I1007" t="s">
        <v>97</v>
      </c>
      <c r="J1007" t="s">
        <v>55</v>
      </c>
      <c r="K1007" t="s">
        <v>56</v>
      </c>
      <c r="L1007" t="s">
        <v>45</v>
      </c>
      <c r="M1007" t="s">
        <v>3082</v>
      </c>
      <c r="N1007" t="s">
        <v>79</v>
      </c>
      <c r="O1007" t="s">
        <v>138</v>
      </c>
      <c r="P1007">
        <v>641.96</v>
      </c>
    </row>
    <row r="1008" spans="1:16">
      <c r="A1008" s="4">
        <v>2016</v>
      </c>
      <c r="B1008" s="4">
        <v>137974</v>
      </c>
      <c r="C1008" t="s">
        <v>3083</v>
      </c>
      <c r="D1008" t="s">
        <v>1606</v>
      </c>
      <c r="E1008" t="s">
        <v>42</v>
      </c>
      <c r="F1008" t="s">
        <v>3084</v>
      </c>
      <c r="G1008" t="s">
        <v>3085</v>
      </c>
      <c r="H1008" t="s">
        <v>33</v>
      </c>
      <c r="I1008" t="s">
        <v>97</v>
      </c>
      <c r="J1008" t="s">
        <v>77</v>
      </c>
      <c r="K1008" t="s">
        <v>56</v>
      </c>
      <c r="L1008" t="s">
        <v>45</v>
      </c>
      <c r="M1008" t="s">
        <v>3086</v>
      </c>
      <c r="N1008" t="s">
        <v>38</v>
      </c>
      <c r="O1008" t="s">
        <v>118</v>
      </c>
      <c r="P1008">
        <v>569.64</v>
      </c>
    </row>
    <row r="1009" spans="1:16">
      <c r="A1009" s="4">
        <v>2018</v>
      </c>
      <c r="B1009" s="4">
        <v>163195</v>
      </c>
      <c r="C1009" t="s">
        <v>1518</v>
      </c>
      <c r="D1009" t="s">
        <v>1513</v>
      </c>
      <c r="E1009" t="s">
        <v>144</v>
      </c>
      <c r="F1009" t="s">
        <v>3084</v>
      </c>
      <c r="G1009" t="s">
        <v>3085</v>
      </c>
      <c r="H1009" t="s">
        <v>33</v>
      </c>
      <c r="I1009" t="s">
        <v>97</v>
      </c>
      <c r="J1009" t="s">
        <v>376</v>
      </c>
      <c r="K1009" t="s">
        <v>377</v>
      </c>
      <c r="L1009" t="s">
        <v>45</v>
      </c>
      <c r="M1009" t="s">
        <v>3087</v>
      </c>
      <c r="N1009" t="s">
        <v>38</v>
      </c>
      <c r="O1009" t="s">
        <v>118</v>
      </c>
      <c r="P1009">
        <v>29.16</v>
      </c>
    </row>
    <row r="1010" spans="1:16">
      <c r="A1010" s="4">
        <v>2015</v>
      </c>
      <c r="B1010" s="4">
        <v>134061</v>
      </c>
      <c r="C1010" t="s">
        <v>3088</v>
      </c>
      <c r="D1010" t="s">
        <v>388</v>
      </c>
      <c r="E1010" t="s">
        <v>18</v>
      </c>
      <c r="F1010" t="s">
        <v>3084</v>
      </c>
      <c r="G1010" t="s">
        <v>3085</v>
      </c>
      <c r="H1010" t="s">
        <v>33</v>
      </c>
      <c r="I1010" t="s">
        <v>97</v>
      </c>
      <c r="J1010" t="s">
        <v>663</v>
      </c>
      <c r="K1010" t="s">
        <v>50</v>
      </c>
      <c r="L1010" t="s">
        <v>25</v>
      </c>
      <c r="M1010" t="s">
        <v>3089</v>
      </c>
      <c r="N1010" t="s">
        <v>79</v>
      </c>
      <c r="O1010" t="s">
        <v>80</v>
      </c>
      <c r="P1010">
        <v>17.46</v>
      </c>
    </row>
    <row r="1011" spans="1:16">
      <c r="A1011" s="4">
        <v>2016</v>
      </c>
      <c r="B1011" s="4">
        <v>164833</v>
      </c>
      <c r="C1011" t="s">
        <v>747</v>
      </c>
      <c r="D1011" t="s">
        <v>747</v>
      </c>
      <c r="E1011" t="s">
        <v>132</v>
      </c>
      <c r="F1011" t="s">
        <v>3084</v>
      </c>
      <c r="G1011" t="s">
        <v>3085</v>
      </c>
      <c r="H1011" t="s">
        <v>33</v>
      </c>
      <c r="I1011" t="s">
        <v>97</v>
      </c>
      <c r="J1011" t="s">
        <v>271</v>
      </c>
      <c r="K1011" t="s">
        <v>165</v>
      </c>
      <c r="L1011" t="s">
        <v>66</v>
      </c>
      <c r="M1011" t="s">
        <v>3090</v>
      </c>
      <c r="N1011" t="s">
        <v>27</v>
      </c>
      <c r="O1011" t="s">
        <v>111</v>
      </c>
      <c r="P1011">
        <v>7.38</v>
      </c>
    </row>
    <row r="1012" spans="1:16">
      <c r="A1012" s="4">
        <v>2016</v>
      </c>
      <c r="B1012" s="4">
        <v>156867</v>
      </c>
      <c r="C1012" t="s">
        <v>94</v>
      </c>
      <c r="D1012" t="s">
        <v>979</v>
      </c>
      <c r="E1012" t="s">
        <v>18</v>
      </c>
      <c r="F1012" t="s">
        <v>3091</v>
      </c>
      <c r="G1012" t="s">
        <v>3092</v>
      </c>
      <c r="H1012" t="s">
        <v>33</v>
      </c>
      <c r="I1012" t="s">
        <v>97</v>
      </c>
      <c r="J1012" t="s">
        <v>1482</v>
      </c>
      <c r="K1012" t="s">
        <v>222</v>
      </c>
      <c r="L1012" t="s">
        <v>66</v>
      </c>
      <c r="M1012" t="s">
        <v>618</v>
      </c>
      <c r="N1012" t="s">
        <v>38</v>
      </c>
      <c r="O1012" t="s">
        <v>68</v>
      </c>
      <c r="P1012">
        <v>238.89599999999999</v>
      </c>
    </row>
    <row r="1013" spans="1:16">
      <c r="A1013" s="4">
        <v>2018</v>
      </c>
      <c r="B1013" s="4">
        <v>113705</v>
      </c>
      <c r="C1013" t="s">
        <v>2207</v>
      </c>
      <c r="D1013" t="s">
        <v>2077</v>
      </c>
      <c r="E1013" t="s">
        <v>144</v>
      </c>
      <c r="F1013" t="s">
        <v>3091</v>
      </c>
      <c r="G1013" t="s">
        <v>3092</v>
      </c>
      <c r="H1013" t="s">
        <v>33</v>
      </c>
      <c r="I1013" t="s">
        <v>97</v>
      </c>
      <c r="J1013" t="s">
        <v>1011</v>
      </c>
      <c r="K1013" t="s">
        <v>56</v>
      </c>
      <c r="L1013" t="s">
        <v>45</v>
      </c>
      <c r="M1013" t="s">
        <v>3093</v>
      </c>
      <c r="N1013" t="s">
        <v>27</v>
      </c>
      <c r="O1013" t="s">
        <v>111</v>
      </c>
      <c r="P1013">
        <v>8.26</v>
      </c>
    </row>
    <row r="1014" spans="1:16">
      <c r="A1014" s="4">
        <v>2018</v>
      </c>
      <c r="B1014" s="4">
        <v>118017</v>
      </c>
      <c r="C1014" t="s">
        <v>1393</v>
      </c>
      <c r="D1014" t="s">
        <v>903</v>
      </c>
      <c r="E1014" t="s">
        <v>144</v>
      </c>
      <c r="F1014" t="s">
        <v>3091</v>
      </c>
      <c r="G1014" t="s">
        <v>3092</v>
      </c>
      <c r="H1014" t="s">
        <v>33</v>
      </c>
      <c r="I1014" t="s">
        <v>97</v>
      </c>
      <c r="J1014" t="s">
        <v>3094</v>
      </c>
      <c r="K1014" t="s">
        <v>222</v>
      </c>
      <c r="L1014" t="s">
        <v>66</v>
      </c>
      <c r="M1014" t="s">
        <v>3095</v>
      </c>
      <c r="N1014" t="s">
        <v>27</v>
      </c>
      <c r="O1014" t="s">
        <v>28</v>
      </c>
      <c r="P1014">
        <v>13.343999999999999</v>
      </c>
    </row>
    <row r="1015" spans="1:16">
      <c r="A1015" s="4">
        <v>2017</v>
      </c>
      <c r="B1015" s="4">
        <v>167584</v>
      </c>
      <c r="C1015" t="s">
        <v>2399</v>
      </c>
      <c r="D1015" t="s">
        <v>2399</v>
      </c>
      <c r="E1015" t="s">
        <v>132</v>
      </c>
      <c r="F1015" t="s">
        <v>3091</v>
      </c>
      <c r="G1015" t="s">
        <v>3092</v>
      </c>
      <c r="H1015" t="s">
        <v>33</v>
      </c>
      <c r="I1015" t="s">
        <v>97</v>
      </c>
      <c r="J1015" t="s">
        <v>796</v>
      </c>
      <c r="K1015" t="s">
        <v>797</v>
      </c>
      <c r="L1015" t="s">
        <v>36</v>
      </c>
      <c r="M1015" t="s">
        <v>3096</v>
      </c>
      <c r="N1015" t="s">
        <v>27</v>
      </c>
      <c r="O1015" t="s">
        <v>52</v>
      </c>
      <c r="P1015">
        <v>6.48</v>
      </c>
    </row>
    <row r="1016" spans="1:16">
      <c r="A1016" s="4">
        <v>2017</v>
      </c>
      <c r="B1016" s="4">
        <v>111283</v>
      </c>
      <c r="C1016" t="s">
        <v>3097</v>
      </c>
      <c r="D1016" t="s">
        <v>3098</v>
      </c>
      <c r="E1016" t="s">
        <v>18</v>
      </c>
      <c r="F1016" t="s">
        <v>3091</v>
      </c>
      <c r="G1016" t="s">
        <v>3092</v>
      </c>
      <c r="H1016" t="s">
        <v>33</v>
      </c>
      <c r="I1016" t="s">
        <v>97</v>
      </c>
      <c r="J1016" t="s">
        <v>987</v>
      </c>
      <c r="K1016" t="s">
        <v>237</v>
      </c>
      <c r="L1016" t="s">
        <v>25</v>
      </c>
      <c r="M1016" t="s">
        <v>3099</v>
      </c>
      <c r="N1016" t="s">
        <v>27</v>
      </c>
      <c r="O1016" t="s">
        <v>28</v>
      </c>
      <c r="P1016">
        <v>111.104</v>
      </c>
    </row>
    <row r="1017" spans="1:16">
      <c r="A1017" s="4">
        <v>2016</v>
      </c>
      <c r="B1017" s="4">
        <v>124058</v>
      </c>
      <c r="C1017" t="s">
        <v>972</v>
      </c>
      <c r="D1017" t="s">
        <v>1602</v>
      </c>
      <c r="E1017" t="s">
        <v>18</v>
      </c>
      <c r="F1017" t="s">
        <v>3100</v>
      </c>
      <c r="G1017" t="s">
        <v>3101</v>
      </c>
      <c r="H1017" t="s">
        <v>33</v>
      </c>
      <c r="I1017" t="s">
        <v>97</v>
      </c>
      <c r="J1017" t="s">
        <v>1474</v>
      </c>
      <c r="K1017" t="s">
        <v>65</v>
      </c>
      <c r="L1017" t="s">
        <v>66</v>
      </c>
      <c r="M1017" t="s">
        <v>3102</v>
      </c>
      <c r="N1017" t="s">
        <v>38</v>
      </c>
      <c r="O1017" t="s">
        <v>118</v>
      </c>
      <c r="P1017">
        <v>72.744</v>
      </c>
    </row>
    <row r="1018" spans="1:16">
      <c r="A1018" s="4">
        <v>2018</v>
      </c>
      <c r="B1018" s="4">
        <v>143861</v>
      </c>
      <c r="C1018" t="s">
        <v>730</v>
      </c>
      <c r="D1018" t="s">
        <v>348</v>
      </c>
      <c r="E1018" t="s">
        <v>18</v>
      </c>
      <c r="F1018" t="s">
        <v>3100</v>
      </c>
      <c r="G1018" t="s">
        <v>3101</v>
      </c>
      <c r="H1018" t="s">
        <v>33</v>
      </c>
      <c r="I1018" t="s">
        <v>97</v>
      </c>
      <c r="J1018" t="s">
        <v>413</v>
      </c>
      <c r="K1018" t="s">
        <v>196</v>
      </c>
      <c r="L1018" t="s">
        <v>45</v>
      </c>
      <c r="M1018" t="s">
        <v>3103</v>
      </c>
      <c r="N1018" t="s">
        <v>79</v>
      </c>
      <c r="O1018" t="s">
        <v>80</v>
      </c>
      <c r="P1018">
        <v>17.088000000000001</v>
      </c>
    </row>
    <row r="1019" spans="1:16">
      <c r="A1019" s="4">
        <v>2015</v>
      </c>
      <c r="B1019" s="4">
        <v>139192</v>
      </c>
      <c r="C1019" t="s">
        <v>402</v>
      </c>
      <c r="D1019" t="s">
        <v>1428</v>
      </c>
      <c r="E1019" t="s">
        <v>144</v>
      </c>
      <c r="F1019" t="s">
        <v>3100</v>
      </c>
      <c r="G1019" t="s">
        <v>3101</v>
      </c>
      <c r="H1019" t="s">
        <v>33</v>
      </c>
      <c r="I1019" t="s">
        <v>97</v>
      </c>
      <c r="J1019" t="s">
        <v>226</v>
      </c>
      <c r="K1019" t="s">
        <v>65</v>
      </c>
      <c r="L1019" t="s">
        <v>66</v>
      </c>
      <c r="M1019" t="s">
        <v>3104</v>
      </c>
      <c r="N1019" t="s">
        <v>38</v>
      </c>
      <c r="O1019" t="s">
        <v>118</v>
      </c>
      <c r="P1019">
        <v>1113.5039999999999</v>
      </c>
    </row>
    <row r="1020" spans="1:16">
      <c r="A1020" s="4">
        <v>2015</v>
      </c>
      <c r="B1020" s="4">
        <v>110100</v>
      </c>
      <c r="C1020" t="s">
        <v>333</v>
      </c>
      <c r="D1020" t="s">
        <v>3088</v>
      </c>
      <c r="E1020" t="s">
        <v>18</v>
      </c>
      <c r="F1020" t="s">
        <v>3100</v>
      </c>
      <c r="G1020" t="s">
        <v>3101</v>
      </c>
      <c r="H1020" t="s">
        <v>33</v>
      </c>
      <c r="I1020" t="s">
        <v>97</v>
      </c>
      <c r="J1020" t="s">
        <v>653</v>
      </c>
      <c r="K1020" t="s">
        <v>44</v>
      </c>
      <c r="L1020" t="s">
        <v>45</v>
      </c>
      <c r="M1020" t="s">
        <v>3105</v>
      </c>
      <c r="N1020" t="s">
        <v>38</v>
      </c>
      <c r="O1020" t="s">
        <v>118</v>
      </c>
      <c r="P1020">
        <v>302.37599999999998</v>
      </c>
    </row>
    <row r="1021" spans="1:16">
      <c r="A1021" s="4">
        <v>2016</v>
      </c>
      <c r="B1021" s="4">
        <v>157133</v>
      </c>
      <c r="C1021" t="s">
        <v>1560</v>
      </c>
      <c r="D1021" t="s">
        <v>871</v>
      </c>
      <c r="E1021" t="s">
        <v>18</v>
      </c>
      <c r="F1021" t="s">
        <v>3100</v>
      </c>
      <c r="G1021" t="s">
        <v>3101</v>
      </c>
      <c r="H1021" t="s">
        <v>33</v>
      </c>
      <c r="I1021" t="s">
        <v>97</v>
      </c>
      <c r="J1021" t="s">
        <v>3106</v>
      </c>
      <c r="K1021" t="s">
        <v>109</v>
      </c>
      <c r="L1021" t="s">
        <v>36</v>
      </c>
      <c r="M1021" t="s">
        <v>3107</v>
      </c>
      <c r="N1021" t="s">
        <v>79</v>
      </c>
      <c r="O1021" t="s">
        <v>80</v>
      </c>
      <c r="P1021">
        <v>151.96</v>
      </c>
    </row>
    <row r="1022" spans="1:16">
      <c r="A1022" s="4">
        <v>2017</v>
      </c>
      <c r="B1022" s="4">
        <v>145583</v>
      </c>
      <c r="C1022" t="s">
        <v>1883</v>
      </c>
      <c r="D1022" t="s">
        <v>3108</v>
      </c>
      <c r="E1022" t="s">
        <v>18</v>
      </c>
      <c r="F1022" t="s">
        <v>3100</v>
      </c>
      <c r="G1022" t="s">
        <v>3101</v>
      </c>
      <c r="H1022" t="s">
        <v>33</v>
      </c>
      <c r="I1022" t="s">
        <v>97</v>
      </c>
      <c r="J1022" t="s">
        <v>861</v>
      </c>
      <c r="K1022" t="s">
        <v>65</v>
      </c>
      <c r="L1022" t="s">
        <v>66</v>
      </c>
      <c r="M1022" t="s">
        <v>3109</v>
      </c>
      <c r="N1022" t="s">
        <v>27</v>
      </c>
      <c r="O1022" t="s">
        <v>52</v>
      </c>
      <c r="P1022">
        <v>20.04</v>
      </c>
    </row>
    <row r="1023" spans="1:16">
      <c r="A1023" s="4">
        <v>2015</v>
      </c>
      <c r="B1023" s="4">
        <v>156559</v>
      </c>
      <c r="C1023" t="s">
        <v>863</v>
      </c>
      <c r="D1023" t="s">
        <v>1874</v>
      </c>
      <c r="E1023" t="s">
        <v>18</v>
      </c>
      <c r="F1023" t="s">
        <v>3110</v>
      </c>
      <c r="G1023" t="s">
        <v>3111</v>
      </c>
      <c r="H1023" t="s">
        <v>33</v>
      </c>
      <c r="I1023" t="s">
        <v>97</v>
      </c>
      <c r="J1023" t="s">
        <v>2458</v>
      </c>
      <c r="K1023" t="s">
        <v>1270</v>
      </c>
      <c r="L1023" t="s">
        <v>45</v>
      </c>
      <c r="M1023" t="s">
        <v>3112</v>
      </c>
      <c r="N1023" t="s">
        <v>79</v>
      </c>
      <c r="O1023" t="s">
        <v>286</v>
      </c>
      <c r="P1023">
        <v>638.82000000000005</v>
      </c>
    </row>
    <row r="1024" spans="1:16">
      <c r="A1024" s="4">
        <v>2017</v>
      </c>
      <c r="B1024" s="4">
        <v>169194</v>
      </c>
      <c r="C1024" t="s">
        <v>1159</v>
      </c>
      <c r="D1024" t="s">
        <v>243</v>
      </c>
      <c r="E1024" t="s">
        <v>18</v>
      </c>
      <c r="F1024" t="s">
        <v>3110</v>
      </c>
      <c r="G1024" t="s">
        <v>3111</v>
      </c>
      <c r="H1024" t="s">
        <v>33</v>
      </c>
      <c r="I1024" t="s">
        <v>97</v>
      </c>
      <c r="J1024" t="s">
        <v>2258</v>
      </c>
      <c r="K1024" t="s">
        <v>1392</v>
      </c>
      <c r="L1024" t="s">
        <v>25</v>
      </c>
      <c r="M1024" t="s">
        <v>3113</v>
      </c>
      <c r="N1024" t="s">
        <v>38</v>
      </c>
      <c r="O1024" t="s">
        <v>68</v>
      </c>
      <c r="P1024">
        <v>45</v>
      </c>
    </row>
    <row r="1025" spans="1:16">
      <c r="A1025" s="4">
        <v>2018</v>
      </c>
      <c r="B1025" s="4">
        <v>109183</v>
      </c>
      <c r="C1025" t="s">
        <v>1624</v>
      </c>
      <c r="D1025" t="s">
        <v>163</v>
      </c>
      <c r="E1025" t="s">
        <v>18</v>
      </c>
      <c r="F1025" t="s">
        <v>3114</v>
      </c>
      <c r="G1025" t="s">
        <v>3115</v>
      </c>
      <c r="H1025" t="s">
        <v>33</v>
      </c>
      <c r="I1025" t="s">
        <v>97</v>
      </c>
      <c r="J1025" t="s">
        <v>205</v>
      </c>
      <c r="K1025" t="s">
        <v>206</v>
      </c>
      <c r="L1025" t="s">
        <v>45</v>
      </c>
      <c r="M1025" t="s">
        <v>3116</v>
      </c>
      <c r="N1025" t="s">
        <v>38</v>
      </c>
      <c r="O1025" t="s">
        <v>39</v>
      </c>
      <c r="P1025">
        <v>649</v>
      </c>
    </row>
    <row r="1026" spans="1:16">
      <c r="A1026" s="4">
        <v>2015</v>
      </c>
      <c r="B1026" s="4">
        <v>131450</v>
      </c>
      <c r="C1026" t="s">
        <v>807</v>
      </c>
      <c r="D1026" t="s">
        <v>1317</v>
      </c>
      <c r="E1026" t="s">
        <v>18</v>
      </c>
      <c r="F1026" t="s">
        <v>3114</v>
      </c>
      <c r="G1026" t="s">
        <v>3115</v>
      </c>
      <c r="H1026" t="s">
        <v>33</v>
      </c>
      <c r="I1026" t="s">
        <v>97</v>
      </c>
      <c r="J1026" t="s">
        <v>630</v>
      </c>
      <c r="K1026" t="s">
        <v>65</v>
      </c>
      <c r="L1026" t="s">
        <v>66</v>
      </c>
      <c r="M1026" t="s">
        <v>3069</v>
      </c>
      <c r="N1026" t="s">
        <v>27</v>
      </c>
      <c r="O1026" t="s">
        <v>228</v>
      </c>
      <c r="P1026">
        <v>76.12</v>
      </c>
    </row>
    <row r="1027" spans="1:16">
      <c r="A1027" s="4">
        <v>2017</v>
      </c>
      <c r="B1027" s="4">
        <v>148803</v>
      </c>
      <c r="C1027" t="s">
        <v>572</v>
      </c>
      <c r="D1027" t="s">
        <v>572</v>
      </c>
      <c r="E1027" t="s">
        <v>132</v>
      </c>
      <c r="F1027" t="s">
        <v>3114</v>
      </c>
      <c r="G1027" t="s">
        <v>3115</v>
      </c>
      <c r="H1027" t="s">
        <v>33</v>
      </c>
      <c r="I1027" t="s">
        <v>97</v>
      </c>
      <c r="J1027" t="s">
        <v>609</v>
      </c>
      <c r="K1027" t="s">
        <v>196</v>
      </c>
      <c r="L1027" t="s">
        <v>45</v>
      </c>
      <c r="M1027" t="s">
        <v>3117</v>
      </c>
      <c r="N1027" t="s">
        <v>27</v>
      </c>
      <c r="O1027" t="s">
        <v>58</v>
      </c>
      <c r="P1027">
        <v>85.224000000000004</v>
      </c>
    </row>
    <row r="1028" spans="1:16">
      <c r="A1028" s="4">
        <v>2017</v>
      </c>
      <c r="B1028" s="4">
        <v>152289</v>
      </c>
      <c r="C1028" t="s">
        <v>3118</v>
      </c>
      <c r="D1028" t="s">
        <v>1199</v>
      </c>
      <c r="E1028" t="s">
        <v>42</v>
      </c>
      <c r="F1028" t="s">
        <v>3119</v>
      </c>
      <c r="G1028" t="s">
        <v>3120</v>
      </c>
      <c r="H1028" t="s">
        <v>33</v>
      </c>
      <c r="I1028" t="s">
        <v>22</v>
      </c>
      <c r="J1028" t="s">
        <v>1051</v>
      </c>
      <c r="K1028" t="s">
        <v>35</v>
      </c>
      <c r="L1028" t="s">
        <v>36</v>
      </c>
      <c r="M1028" t="s">
        <v>3121</v>
      </c>
      <c r="N1028" t="s">
        <v>38</v>
      </c>
      <c r="O1028" t="s">
        <v>68</v>
      </c>
      <c r="P1028">
        <v>159.98400000000001</v>
      </c>
    </row>
    <row r="1029" spans="1:16">
      <c r="A1029" s="4">
        <v>2015</v>
      </c>
      <c r="B1029" s="4">
        <v>109491</v>
      </c>
      <c r="C1029" t="s">
        <v>3122</v>
      </c>
      <c r="D1029" t="s">
        <v>3123</v>
      </c>
      <c r="E1029" t="s">
        <v>18</v>
      </c>
      <c r="F1029" t="s">
        <v>3119</v>
      </c>
      <c r="G1029" t="s">
        <v>3120</v>
      </c>
      <c r="H1029" t="s">
        <v>33</v>
      </c>
      <c r="I1029" t="s">
        <v>22</v>
      </c>
      <c r="J1029" t="s">
        <v>1011</v>
      </c>
      <c r="K1029" t="s">
        <v>122</v>
      </c>
      <c r="L1029" t="s">
        <v>36</v>
      </c>
      <c r="M1029" t="s">
        <v>3124</v>
      </c>
      <c r="N1029" t="s">
        <v>38</v>
      </c>
      <c r="O1029" t="s">
        <v>68</v>
      </c>
      <c r="P1029">
        <v>62.31</v>
      </c>
    </row>
    <row r="1030" spans="1:16">
      <c r="A1030" s="4">
        <v>2018</v>
      </c>
      <c r="B1030" s="4">
        <v>120999</v>
      </c>
      <c r="C1030" t="s">
        <v>3011</v>
      </c>
      <c r="D1030" t="s">
        <v>702</v>
      </c>
      <c r="E1030" t="s">
        <v>18</v>
      </c>
      <c r="F1030" t="s">
        <v>3119</v>
      </c>
      <c r="G1030" t="s">
        <v>3120</v>
      </c>
      <c r="H1030" t="s">
        <v>33</v>
      </c>
      <c r="I1030" t="s">
        <v>22</v>
      </c>
      <c r="J1030" t="s">
        <v>2015</v>
      </c>
      <c r="K1030" t="s">
        <v>109</v>
      </c>
      <c r="L1030" t="s">
        <v>36</v>
      </c>
      <c r="M1030" t="s">
        <v>1974</v>
      </c>
      <c r="N1030" t="s">
        <v>38</v>
      </c>
      <c r="O1030" t="s">
        <v>118</v>
      </c>
      <c r="P1030">
        <v>147.16800000000001</v>
      </c>
    </row>
    <row r="1031" spans="1:16">
      <c r="A1031" s="4">
        <v>2017</v>
      </c>
      <c r="B1031" s="4">
        <v>111913</v>
      </c>
      <c r="C1031" t="s">
        <v>692</v>
      </c>
      <c r="D1031" t="s">
        <v>3017</v>
      </c>
      <c r="E1031" t="s">
        <v>144</v>
      </c>
      <c r="F1031" t="s">
        <v>3119</v>
      </c>
      <c r="G1031" t="s">
        <v>3120</v>
      </c>
      <c r="H1031" t="s">
        <v>33</v>
      </c>
      <c r="I1031" t="s">
        <v>22</v>
      </c>
      <c r="J1031" t="s">
        <v>2050</v>
      </c>
      <c r="K1031" t="s">
        <v>65</v>
      </c>
      <c r="L1031" t="s">
        <v>66</v>
      </c>
      <c r="M1031" t="s">
        <v>3125</v>
      </c>
      <c r="N1031" t="s">
        <v>38</v>
      </c>
      <c r="O1031" t="s">
        <v>118</v>
      </c>
      <c r="P1031">
        <v>302.38400000000001</v>
      </c>
    </row>
    <row r="1032" spans="1:16">
      <c r="A1032" s="4">
        <v>2017</v>
      </c>
      <c r="B1032" s="4">
        <v>107202</v>
      </c>
      <c r="C1032" t="s">
        <v>1303</v>
      </c>
      <c r="D1032" t="s">
        <v>3126</v>
      </c>
      <c r="E1032" t="s">
        <v>18</v>
      </c>
      <c r="F1032" t="s">
        <v>3119</v>
      </c>
      <c r="G1032" t="s">
        <v>3120</v>
      </c>
      <c r="H1032" t="s">
        <v>33</v>
      </c>
      <c r="I1032" t="s">
        <v>22</v>
      </c>
      <c r="J1032" t="s">
        <v>2591</v>
      </c>
      <c r="K1032" t="s">
        <v>91</v>
      </c>
      <c r="L1032" t="s">
        <v>66</v>
      </c>
      <c r="M1032" t="s">
        <v>2416</v>
      </c>
      <c r="N1032" t="s">
        <v>38</v>
      </c>
      <c r="O1032" t="s">
        <v>39</v>
      </c>
      <c r="P1032">
        <v>2396.4</v>
      </c>
    </row>
    <row r="1033" spans="1:16">
      <c r="A1033" s="4">
        <v>2017</v>
      </c>
      <c r="B1033" s="4">
        <v>134362</v>
      </c>
      <c r="C1033" t="s">
        <v>1191</v>
      </c>
      <c r="D1033" t="s">
        <v>3127</v>
      </c>
      <c r="E1033" t="s">
        <v>42</v>
      </c>
      <c r="F1033" t="s">
        <v>3128</v>
      </c>
      <c r="G1033" t="s">
        <v>3129</v>
      </c>
      <c r="H1033" t="s">
        <v>21</v>
      </c>
      <c r="I1033" t="s">
        <v>22</v>
      </c>
      <c r="J1033" t="s">
        <v>23</v>
      </c>
      <c r="K1033" t="s">
        <v>24</v>
      </c>
      <c r="L1033" t="s">
        <v>25</v>
      </c>
      <c r="M1033" t="s">
        <v>3130</v>
      </c>
      <c r="N1033" t="s">
        <v>27</v>
      </c>
      <c r="O1033" t="s">
        <v>111</v>
      </c>
      <c r="P1033">
        <v>15.936</v>
      </c>
    </row>
    <row r="1034" spans="1:16">
      <c r="A1034" s="4">
        <v>2015</v>
      </c>
      <c r="B1034" s="4">
        <v>147648</v>
      </c>
      <c r="C1034" t="s">
        <v>2047</v>
      </c>
      <c r="D1034" t="s">
        <v>457</v>
      </c>
      <c r="E1034" t="s">
        <v>18</v>
      </c>
      <c r="F1034" t="s">
        <v>3131</v>
      </c>
      <c r="G1034" t="s">
        <v>3132</v>
      </c>
      <c r="H1034" t="s">
        <v>33</v>
      </c>
      <c r="I1034" t="s">
        <v>63</v>
      </c>
      <c r="J1034" t="s">
        <v>226</v>
      </c>
      <c r="K1034" t="s">
        <v>65</v>
      </c>
      <c r="L1034" t="s">
        <v>66</v>
      </c>
      <c r="M1034" t="s">
        <v>3133</v>
      </c>
      <c r="N1034" t="s">
        <v>27</v>
      </c>
      <c r="O1034" t="s">
        <v>52</v>
      </c>
      <c r="P1034">
        <v>81.98</v>
      </c>
    </row>
    <row r="1035" spans="1:16">
      <c r="A1035" s="4">
        <v>2016</v>
      </c>
      <c r="B1035" s="4">
        <v>138919</v>
      </c>
      <c r="C1035" t="s">
        <v>1124</v>
      </c>
      <c r="D1035" t="s">
        <v>1206</v>
      </c>
      <c r="E1035" t="s">
        <v>18</v>
      </c>
      <c r="F1035" t="s">
        <v>3131</v>
      </c>
      <c r="G1035" t="s">
        <v>3132</v>
      </c>
      <c r="H1035" t="s">
        <v>33</v>
      </c>
      <c r="I1035" t="s">
        <v>63</v>
      </c>
      <c r="J1035" t="s">
        <v>49</v>
      </c>
      <c r="K1035" t="s">
        <v>50</v>
      </c>
      <c r="L1035" t="s">
        <v>25</v>
      </c>
      <c r="M1035" t="s">
        <v>3134</v>
      </c>
      <c r="N1035" t="s">
        <v>79</v>
      </c>
      <c r="O1035" t="s">
        <v>347</v>
      </c>
      <c r="P1035">
        <v>344.22</v>
      </c>
    </row>
    <row r="1036" spans="1:16">
      <c r="A1036" s="4">
        <v>2018</v>
      </c>
      <c r="B1036" s="4">
        <v>108294</v>
      </c>
      <c r="C1036" t="s">
        <v>299</v>
      </c>
      <c r="D1036" t="s">
        <v>299</v>
      </c>
      <c r="E1036" t="s">
        <v>132</v>
      </c>
      <c r="F1036" t="s">
        <v>3131</v>
      </c>
      <c r="G1036" t="s">
        <v>3132</v>
      </c>
      <c r="H1036" t="s">
        <v>33</v>
      </c>
      <c r="I1036" t="s">
        <v>63</v>
      </c>
      <c r="J1036" t="s">
        <v>312</v>
      </c>
      <c r="K1036" t="s">
        <v>313</v>
      </c>
      <c r="L1036" t="s">
        <v>36</v>
      </c>
      <c r="M1036" t="s">
        <v>435</v>
      </c>
      <c r="N1036" t="s">
        <v>27</v>
      </c>
      <c r="O1036" t="s">
        <v>101</v>
      </c>
      <c r="P1036">
        <v>34.5</v>
      </c>
    </row>
    <row r="1037" spans="1:16">
      <c r="A1037" s="4">
        <v>2017</v>
      </c>
      <c r="B1037" s="4">
        <v>112025</v>
      </c>
      <c r="C1037" t="s">
        <v>3135</v>
      </c>
      <c r="D1037" t="s">
        <v>692</v>
      </c>
      <c r="E1037" t="s">
        <v>18</v>
      </c>
      <c r="F1037" t="s">
        <v>3131</v>
      </c>
      <c r="G1037" t="s">
        <v>3132</v>
      </c>
      <c r="H1037" t="s">
        <v>33</v>
      </c>
      <c r="I1037" t="s">
        <v>63</v>
      </c>
      <c r="J1037" t="s">
        <v>183</v>
      </c>
      <c r="K1037" t="s">
        <v>35</v>
      </c>
      <c r="L1037" t="s">
        <v>36</v>
      </c>
      <c r="M1037" t="s">
        <v>3136</v>
      </c>
      <c r="N1037" t="s">
        <v>27</v>
      </c>
      <c r="O1037" t="s">
        <v>101</v>
      </c>
      <c r="P1037">
        <v>9.2639999999999993</v>
      </c>
    </row>
    <row r="1038" spans="1:16">
      <c r="A1038" s="4">
        <v>2018</v>
      </c>
      <c r="B1038" s="4">
        <v>162978</v>
      </c>
      <c r="C1038" t="s">
        <v>2122</v>
      </c>
      <c r="D1038" t="s">
        <v>1600</v>
      </c>
      <c r="E1038" t="s">
        <v>18</v>
      </c>
      <c r="F1038" t="s">
        <v>3137</v>
      </c>
      <c r="G1038" t="s">
        <v>3138</v>
      </c>
      <c r="H1038" t="s">
        <v>33</v>
      </c>
      <c r="I1038" t="s">
        <v>22</v>
      </c>
      <c r="J1038" t="s">
        <v>226</v>
      </c>
      <c r="K1038" t="s">
        <v>65</v>
      </c>
      <c r="L1038" t="s">
        <v>66</v>
      </c>
      <c r="M1038" t="s">
        <v>3139</v>
      </c>
      <c r="N1038" t="s">
        <v>38</v>
      </c>
      <c r="O1038" t="s">
        <v>118</v>
      </c>
      <c r="P1038">
        <v>183.96</v>
      </c>
    </row>
    <row r="1039" spans="1:16">
      <c r="A1039" s="4">
        <v>2018</v>
      </c>
      <c r="B1039" s="4">
        <v>102834</v>
      </c>
      <c r="C1039" t="s">
        <v>3140</v>
      </c>
      <c r="D1039" t="s">
        <v>778</v>
      </c>
      <c r="E1039" t="s">
        <v>18</v>
      </c>
      <c r="F1039" t="s">
        <v>3137</v>
      </c>
      <c r="G1039" t="s">
        <v>3138</v>
      </c>
      <c r="H1039" t="s">
        <v>33</v>
      </c>
      <c r="I1039" t="s">
        <v>22</v>
      </c>
      <c r="J1039" t="s">
        <v>226</v>
      </c>
      <c r="K1039" t="s">
        <v>65</v>
      </c>
      <c r="L1039" t="s">
        <v>66</v>
      </c>
      <c r="M1039" t="s">
        <v>3141</v>
      </c>
      <c r="N1039" t="s">
        <v>38</v>
      </c>
      <c r="O1039" t="s">
        <v>68</v>
      </c>
      <c r="P1039">
        <v>199.98</v>
      </c>
    </row>
    <row r="1040" spans="1:16">
      <c r="A1040" s="4">
        <v>2018</v>
      </c>
      <c r="B1040" s="4">
        <v>101245</v>
      </c>
      <c r="C1040" t="s">
        <v>1896</v>
      </c>
      <c r="D1040" t="s">
        <v>1393</v>
      </c>
      <c r="E1040" t="s">
        <v>18</v>
      </c>
      <c r="F1040" t="s">
        <v>3137</v>
      </c>
      <c r="G1040" t="s">
        <v>3138</v>
      </c>
      <c r="H1040" t="s">
        <v>33</v>
      </c>
      <c r="I1040" t="s">
        <v>22</v>
      </c>
      <c r="J1040" t="s">
        <v>226</v>
      </c>
      <c r="K1040" t="s">
        <v>65</v>
      </c>
      <c r="L1040" t="s">
        <v>66</v>
      </c>
      <c r="M1040" t="s">
        <v>3142</v>
      </c>
      <c r="N1040" t="s">
        <v>27</v>
      </c>
      <c r="O1040" t="s">
        <v>52</v>
      </c>
      <c r="P1040">
        <v>244.55</v>
      </c>
    </row>
    <row r="1041" spans="1:16">
      <c r="A1041" s="4">
        <v>2017</v>
      </c>
      <c r="B1041" s="4">
        <v>102239</v>
      </c>
      <c r="C1041" t="s">
        <v>686</v>
      </c>
      <c r="D1041" t="s">
        <v>2241</v>
      </c>
      <c r="E1041" t="s">
        <v>42</v>
      </c>
      <c r="F1041" t="s">
        <v>3137</v>
      </c>
      <c r="G1041" t="s">
        <v>3138</v>
      </c>
      <c r="H1041" t="s">
        <v>33</v>
      </c>
      <c r="I1041" t="s">
        <v>22</v>
      </c>
      <c r="J1041" t="s">
        <v>90</v>
      </c>
      <c r="K1041" t="s">
        <v>91</v>
      </c>
      <c r="L1041" t="s">
        <v>66</v>
      </c>
      <c r="M1041" t="s">
        <v>3143</v>
      </c>
      <c r="N1041" t="s">
        <v>79</v>
      </c>
      <c r="O1041" t="s">
        <v>347</v>
      </c>
      <c r="P1041">
        <v>1685.88</v>
      </c>
    </row>
    <row r="1042" spans="1:16">
      <c r="A1042" s="4">
        <v>2017</v>
      </c>
      <c r="B1042" s="4">
        <v>139878</v>
      </c>
      <c r="C1042" t="s">
        <v>930</v>
      </c>
      <c r="D1042" t="s">
        <v>316</v>
      </c>
      <c r="E1042" t="s">
        <v>18</v>
      </c>
      <c r="F1042" t="s">
        <v>3144</v>
      </c>
      <c r="G1042" t="s">
        <v>3145</v>
      </c>
      <c r="H1042" t="s">
        <v>21</v>
      </c>
      <c r="I1042" t="s">
        <v>97</v>
      </c>
      <c r="J1042" t="s">
        <v>879</v>
      </c>
      <c r="K1042" t="s">
        <v>855</v>
      </c>
      <c r="L1042" t="s">
        <v>36</v>
      </c>
      <c r="M1042" t="s">
        <v>3146</v>
      </c>
      <c r="N1042" t="s">
        <v>38</v>
      </c>
      <c r="O1042" t="s">
        <v>118</v>
      </c>
      <c r="P1042">
        <v>257.98</v>
      </c>
    </row>
    <row r="1043" spans="1:16">
      <c r="A1043" s="4">
        <v>2015</v>
      </c>
      <c r="B1043" s="4">
        <v>115987</v>
      </c>
      <c r="C1043" t="s">
        <v>734</v>
      </c>
      <c r="D1043" t="s">
        <v>1543</v>
      </c>
      <c r="E1043" t="s">
        <v>144</v>
      </c>
      <c r="F1043" t="s">
        <v>3147</v>
      </c>
      <c r="G1043" t="s">
        <v>3148</v>
      </c>
      <c r="H1043" t="s">
        <v>33</v>
      </c>
      <c r="I1043" t="s">
        <v>97</v>
      </c>
      <c r="J1043" t="s">
        <v>1116</v>
      </c>
      <c r="K1043" t="s">
        <v>35</v>
      </c>
      <c r="L1043" t="s">
        <v>36</v>
      </c>
      <c r="M1043" t="s">
        <v>3149</v>
      </c>
      <c r="N1043" t="s">
        <v>27</v>
      </c>
      <c r="O1043" t="s">
        <v>101</v>
      </c>
      <c r="P1043">
        <v>51.183999999999997</v>
      </c>
    </row>
    <row r="1044" spans="1:16">
      <c r="A1044" s="4">
        <v>2016</v>
      </c>
      <c r="B1044" s="4">
        <v>114923</v>
      </c>
      <c r="C1044" t="s">
        <v>3150</v>
      </c>
      <c r="D1044" t="s">
        <v>2477</v>
      </c>
      <c r="E1044" t="s">
        <v>18</v>
      </c>
      <c r="F1044" t="s">
        <v>3147</v>
      </c>
      <c r="G1044" t="s">
        <v>3148</v>
      </c>
      <c r="H1044" t="s">
        <v>33</v>
      </c>
      <c r="I1044" t="s">
        <v>97</v>
      </c>
      <c r="J1044" t="s">
        <v>473</v>
      </c>
      <c r="K1044" t="s">
        <v>237</v>
      </c>
      <c r="L1044" t="s">
        <v>25</v>
      </c>
      <c r="M1044" t="s">
        <v>3151</v>
      </c>
      <c r="N1044" t="s">
        <v>38</v>
      </c>
      <c r="O1044" t="s">
        <v>118</v>
      </c>
      <c r="P1044">
        <v>107.982</v>
      </c>
    </row>
    <row r="1045" spans="1:16">
      <c r="A1045" s="4">
        <v>2017</v>
      </c>
      <c r="B1045" s="4">
        <v>143406</v>
      </c>
      <c r="C1045" t="s">
        <v>1054</v>
      </c>
      <c r="D1045" t="s">
        <v>1192</v>
      </c>
      <c r="E1045" t="s">
        <v>18</v>
      </c>
      <c r="F1045" t="s">
        <v>3152</v>
      </c>
      <c r="G1045" t="s">
        <v>3153</v>
      </c>
      <c r="H1045" t="s">
        <v>33</v>
      </c>
      <c r="I1045" t="s">
        <v>22</v>
      </c>
      <c r="J1045" t="s">
        <v>183</v>
      </c>
      <c r="K1045" t="s">
        <v>35</v>
      </c>
      <c r="L1045" t="s">
        <v>36</v>
      </c>
      <c r="M1045" t="s">
        <v>3154</v>
      </c>
      <c r="N1045" t="s">
        <v>27</v>
      </c>
      <c r="O1045" t="s">
        <v>228</v>
      </c>
      <c r="P1045">
        <v>93.031999999999996</v>
      </c>
    </row>
    <row r="1046" spans="1:16">
      <c r="A1046" s="4">
        <v>2018</v>
      </c>
      <c r="B1046" s="4">
        <v>119011</v>
      </c>
      <c r="C1046" t="s">
        <v>3155</v>
      </c>
      <c r="D1046" t="s">
        <v>2321</v>
      </c>
      <c r="E1046" t="s">
        <v>18</v>
      </c>
      <c r="F1046" t="s">
        <v>3152</v>
      </c>
      <c r="G1046" t="s">
        <v>3153</v>
      </c>
      <c r="H1046" t="s">
        <v>33</v>
      </c>
      <c r="I1046" t="s">
        <v>22</v>
      </c>
      <c r="J1046" t="s">
        <v>226</v>
      </c>
      <c r="K1046" t="s">
        <v>65</v>
      </c>
      <c r="L1046" t="s">
        <v>66</v>
      </c>
      <c r="M1046" t="s">
        <v>3156</v>
      </c>
      <c r="N1046" t="s">
        <v>27</v>
      </c>
      <c r="O1046" t="s">
        <v>74</v>
      </c>
      <c r="P1046">
        <v>17.22</v>
      </c>
    </row>
    <row r="1047" spans="1:16">
      <c r="A1047" s="4">
        <v>2015</v>
      </c>
      <c r="B1047" s="4">
        <v>109918</v>
      </c>
      <c r="C1047" t="s">
        <v>416</v>
      </c>
      <c r="D1047" t="s">
        <v>735</v>
      </c>
      <c r="E1047" t="s">
        <v>144</v>
      </c>
      <c r="F1047" t="s">
        <v>3152</v>
      </c>
      <c r="G1047" t="s">
        <v>3153</v>
      </c>
      <c r="H1047" t="s">
        <v>33</v>
      </c>
      <c r="I1047" t="s">
        <v>22</v>
      </c>
      <c r="J1047" t="s">
        <v>1664</v>
      </c>
      <c r="K1047" t="s">
        <v>65</v>
      </c>
      <c r="L1047" t="s">
        <v>66</v>
      </c>
      <c r="M1047" t="s">
        <v>3157</v>
      </c>
      <c r="N1047" t="s">
        <v>27</v>
      </c>
      <c r="O1047" t="s">
        <v>74</v>
      </c>
      <c r="P1047">
        <v>27.36</v>
      </c>
    </row>
    <row r="1048" spans="1:16">
      <c r="A1048" s="4">
        <v>2015</v>
      </c>
      <c r="B1048" s="4">
        <v>115161</v>
      </c>
      <c r="C1048" t="s">
        <v>3158</v>
      </c>
      <c r="D1048" t="s">
        <v>1504</v>
      </c>
      <c r="E1048" t="s">
        <v>42</v>
      </c>
      <c r="F1048" t="s">
        <v>3159</v>
      </c>
      <c r="G1048" t="s">
        <v>3160</v>
      </c>
      <c r="H1048" t="s">
        <v>33</v>
      </c>
      <c r="I1048" t="s">
        <v>97</v>
      </c>
      <c r="J1048" t="s">
        <v>2749</v>
      </c>
      <c r="K1048" t="s">
        <v>65</v>
      </c>
      <c r="L1048" t="s">
        <v>66</v>
      </c>
      <c r="M1048" t="s">
        <v>3161</v>
      </c>
      <c r="N1048" t="s">
        <v>79</v>
      </c>
      <c r="O1048" t="s">
        <v>286</v>
      </c>
      <c r="P1048">
        <v>290.666</v>
      </c>
    </row>
    <row r="1049" spans="1:16">
      <c r="A1049" s="4">
        <v>2018</v>
      </c>
      <c r="B1049" s="4">
        <v>137498</v>
      </c>
      <c r="C1049" t="s">
        <v>591</v>
      </c>
      <c r="D1049" t="s">
        <v>1856</v>
      </c>
      <c r="E1049" t="s">
        <v>144</v>
      </c>
      <c r="F1049" t="s">
        <v>3159</v>
      </c>
      <c r="G1049" t="s">
        <v>3160</v>
      </c>
      <c r="H1049" t="s">
        <v>33</v>
      </c>
      <c r="I1049" t="s">
        <v>97</v>
      </c>
      <c r="J1049" t="s">
        <v>64</v>
      </c>
      <c r="K1049" t="s">
        <v>65</v>
      </c>
      <c r="L1049" t="s">
        <v>66</v>
      </c>
      <c r="M1049" t="s">
        <v>673</v>
      </c>
      <c r="N1049" t="s">
        <v>27</v>
      </c>
      <c r="O1049" t="s">
        <v>28</v>
      </c>
      <c r="P1049">
        <v>6.56</v>
      </c>
    </row>
    <row r="1050" spans="1:16">
      <c r="A1050" s="4">
        <v>2018</v>
      </c>
      <c r="B1050" s="4">
        <v>121804</v>
      </c>
      <c r="C1050" t="s">
        <v>1933</v>
      </c>
      <c r="D1050" t="s">
        <v>1934</v>
      </c>
      <c r="E1050" t="s">
        <v>18</v>
      </c>
      <c r="F1050" t="s">
        <v>3162</v>
      </c>
      <c r="G1050" t="s">
        <v>3163</v>
      </c>
      <c r="H1050" t="s">
        <v>21</v>
      </c>
      <c r="I1050" t="s">
        <v>97</v>
      </c>
      <c r="J1050" t="s">
        <v>2490</v>
      </c>
      <c r="K1050" t="s">
        <v>126</v>
      </c>
      <c r="L1050" t="s">
        <v>45</v>
      </c>
      <c r="M1050" t="s">
        <v>1703</v>
      </c>
      <c r="N1050" t="s">
        <v>27</v>
      </c>
      <c r="O1050" t="s">
        <v>228</v>
      </c>
      <c r="P1050">
        <v>72.8</v>
      </c>
    </row>
    <row r="1051" spans="1:16">
      <c r="A1051" s="4">
        <v>2016</v>
      </c>
      <c r="B1051" s="4">
        <v>104430</v>
      </c>
      <c r="C1051" t="s">
        <v>3164</v>
      </c>
      <c r="D1051" t="s">
        <v>392</v>
      </c>
      <c r="E1051" t="s">
        <v>18</v>
      </c>
      <c r="F1051" t="s">
        <v>3165</v>
      </c>
      <c r="G1051" t="s">
        <v>3166</v>
      </c>
      <c r="H1051" t="s">
        <v>33</v>
      </c>
      <c r="I1051" t="s">
        <v>97</v>
      </c>
      <c r="J1051" t="s">
        <v>1450</v>
      </c>
      <c r="K1051" t="s">
        <v>109</v>
      </c>
      <c r="L1051" t="s">
        <v>36</v>
      </c>
      <c r="M1051" t="s">
        <v>3167</v>
      </c>
      <c r="N1051" t="s">
        <v>27</v>
      </c>
      <c r="O1051" t="s">
        <v>101</v>
      </c>
      <c r="P1051">
        <v>5.1760000000000002</v>
      </c>
    </row>
    <row r="1052" spans="1:16">
      <c r="A1052" s="4">
        <v>2018</v>
      </c>
      <c r="B1052" s="4">
        <v>147725</v>
      </c>
      <c r="C1052" t="s">
        <v>1856</v>
      </c>
      <c r="D1052" t="s">
        <v>1856</v>
      </c>
      <c r="E1052" t="s">
        <v>132</v>
      </c>
      <c r="F1052" t="s">
        <v>3165</v>
      </c>
      <c r="G1052" t="s">
        <v>3166</v>
      </c>
      <c r="H1052" t="s">
        <v>33</v>
      </c>
      <c r="I1052" t="s">
        <v>97</v>
      </c>
      <c r="J1052" t="s">
        <v>3168</v>
      </c>
      <c r="K1052" t="s">
        <v>869</v>
      </c>
      <c r="L1052" t="s">
        <v>25</v>
      </c>
      <c r="M1052" t="s">
        <v>3169</v>
      </c>
      <c r="N1052" t="s">
        <v>27</v>
      </c>
      <c r="O1052" t="s">
        <v>28</v>
      </c>
      <c r="P1052">
        <v>70.95</v>
      </c>
    </row>
    <row r="1053" spans="1:16">
      <c r="A1053" s="4">
        <v>2017</v>
      </c>
      <c r="B1053" s="4">
        <v>157364</v>
      </c>
      <c r="C1053" t="s">
        <v>1446</v>
      </c>
      <c r="D1053" t="s">
        <v>1239</v>
      </c>
      <c r="E1053" t="s">
        <v>42</v>
      </c>
      <c r="F1053" t="s">
        <v>3165</v>
      </c>
      <c r="G1053" t="s">
        <v>3166</v>
      </c>
      <c r="H1053" t="s">
        <v>33</v>
      </c>
      <c r="I1053" t="s">
        <v>97</v>
      </c>
      <c r="J1053" t="s">
        <v>43</v>
      </c>
      <c r="K1053" t="s">
        <v>44</v>
      </c>
      <c r="L1053" t="s">
        <v>45</v>
      </c>
      <c r="M1053" t="s">
        <v>3170</v>
      </c>
      <c r="N1053" t="s">
        <v>27</v>
      </c>
      <c r="O1053" t="s">
        <v>28</v>
      </c>
      <c r="P1053">
        <v>18.48</v>
      </c>
    </row>
    <row r="1054" spans="1:16">
      <c r="A1054" s="4">
        <v>2016</v>
      </c>
      <c r="B1054" s="4">
        <v>154620</v>
      </c>
      <c r="C1054" t="s">
        <v>1785</v>
      </c>
      <c r="D1054" t="s">
        <v>1890</v>
      </c>
      <c r="E1054" t="s">
        <v>18</v>
      </c>
      <c r="F1054" t="s">
        <v>3165</v>
      </c>
      <c r="G1054" t="s">
        <v>3166</v>
      </c>
      <c r="H1054" t="s">
        <v>33</v>
      </c>
      <c r="I1054" t="s">
        <v>97</v>
      </c>
      <c r="J1054" t="s">
        <v>884</v>
      </c>
      <c r="K1054" t="s">
        <v>65</v>
      </c>
      <c r="L1054" t="s">
        <v>66</v>
      </c>
      <c r="M1054" t="s">
        <v>3171</v>
      </c>
      <c r="N1054" t="s">
        <v>79</v>
      </c>
      <c r="O1054" t="s">
        <v>138</v>
      </c>
      <c r="P1054">
        <v>348.928</v>
      </c>
    </row>
    <row r="1055" spans="1:16">
      <c r="A1055" s="4">
        <v>2017</v>
      </c>
      <c r="B1055" s="4">
        <v>130477</v>
      </c>
      <c r="C1055" t="s">
        <v>675</v>
      </c>
      <c r="D1055" t="s">
        <v>822</v>
      </c>
      <c r="E1055" t="s">
        <v>18</v>
      </c>
      <c r="F1055" t="s">
        <v>3172</v>
      </c>
      <c r="G1055" t="s">
        <v>3173</v>
      </c>
      <c r="H1055" t="s">
        <v>33</v>
      </c>
      <c r="I1055" t="s">
        <v>97</v>
      </c>
      <c r="J1055" t="s">
        <v>64</v>
      </c>
      <c r="K1055" t="s">
        <v>65</v>
      </c>
      <c r="L1055" t="s">
        <v>66</v>
      </c>
      <c r="M1055" t="s">
        <v>3174</v>
      </c>
      <c r="N1055" t="s">
        <v>27</v>
      </c>
      <c r="O1055" t="s">
        <v>52</v>
      </c>
      <c r="P1055">
        <v>20.04</v>
      </c>
    </row>
    <row r="1056" spans="1:16">
      <c r="A1056" s="4">
        <v>2018</v>
      </c>
      <c r="B1056" s="4">
        <v>116701</v>
      </c>
      <c r="C1056" t="s">
        <v>597</v>
      </c>
      <c r="D1056" t="s">
        <v>375</v>
      </c>
      <c r="E1056" t="s">
        <v>144</v>
      </c>
      <c r="F1056" t="s">
        <v>3172</v>
      </c>
      <c r="G1056" t="s">
        <v>3173</v>
      </c>
      <c r="H1056" t="s">
        <v>33</v>
      </c>
      <c r="I1056" t="s">
        <v>97</v>
      </c>
      <c r="J1056" t="s">
        <v>627</v>
      </c>
      <c r="K1056" t="s">
        <v>35</v>
      </c>
      <c r="L1056" t="s">
        <v>36</v>
      </c>
      <c r="M1056" t="s">
        <v>2195</v>
      </c>
      <c r="N1056" t="s">
        <v>27</v>
      </c>
      <c r="O1056" t="s">
        <v>228</v>
      </c>
      <c r="P1056">
        <v>66.284000000000006</v>
      </c>
    </row>
    <row r="1057" spans="1:16">
      <c r="A1057" s="4">
        <v>2017</v>
      </c>
      <c r="B1057" s="4">
        <v>137043</v>
      </c>
      <c r="C1057" t="s">
        <v>2428</v>
      </c>
      <c r="D1057" t="s">
        <v>2091</v>
      </c>
      <c r="E1057" t="s">
        <v>144</v>
      </c>
      <c r="F1057" t="s">
        <v>3172</v>
      </c>
      <c r="G1057" t="s">
        <v>3173</v>
      </c>
      <c r="H1057" t="s">
        <v>33</v>
      </c>
      <c r="I1057" t="s">
        <v>97</v>
      </c>
      <c r="J1057" t="s">
        <v>98</v>
      </c>
      <c r="K1057" t="s">
        <v>56</v>
      </c>
      <c r="L1057" t="s">
        <v>45</v>
      </c>
      <c r="M1057" t="s">
        <v>3175</v>
      </c>
      <c r="N1057" t="s">
        <v>79</v>
      </c>
      <c r="O1057" t="s">
        <v>80</v>
      </c>
      <c r="P1057">
        <v>572.76</v>
      </c>
    </row>
    <row r="1058" spans="1:16">
      <c r="A1058" s="4">
        <v>2016</v>
      </c>
      <c r="B1058" s="4">
        <v>119907</v>
      </c>
      <c r="C1058" t="s">
        <v>2071</v>
      </c>
      <c r="D1058" t="s">
        <v>3176</v>
      </c>
      <c r="E1058" t="s">
        <v>18</v>
      </c>
      <c r="F1058" t="s">
        <v>3172</v>
      </c>
      <c r="G1058" t="s">
        <v>3173</v>
      </c>
      <c r="H1058" t="s">
        <v>33</v>
      </c>
      <c r="I1058" t="s">
        <v>97</v>
      </c>
      <c r="J1058" t="s">
        <v>271</v>
      </c>
      <c r="K1058" t="s">
        <v>165</v>
      </c>
      <c r="L1058" t="s">
        <v>66</v>
      </c>
      <c r="M1058" t="s">
        <v>3177</v>
      </c>
      <c r="N1058" t="s">
        <v>27</v>
      </c>
      <c r="O1058" t="s">
        <v>101</v>
      </c>
      <c r="P1058">
        <v>55.423999999999999</v>
      </c>
    </row>
    <row r="1059" spans="1:16">
      <c r="A1059" s="4">
        <v>2018</v>
      </c>
      <c r="B1059" s="4">
        <v>133431</v>
      </c>
      <c r="C1059" t="s">
        <v>597</v>
      </c>
      <c r="D1059" t="s">
        <v>375</v>
      </c>
      <c r="E1059" t="s">
        <v>18</v>
      </c>
      <c r="F1059" t="s">
        <v>3172</v>
      </c>
      <c r="G1059" t="s">
        <v>3173</v>
      </c>
      <c r="H1059" t="s">
        <v>33</v>
      </c>
      <c r="I1059" t="s">
        <v>97</v>
      </c>
      <c r="J1059" t="s">
        <v>226</v>
      </c>
      <c r="K1059" t="s">
        <v>65</v>
      </c>
      <c r="L1059" t="s">
        <v>66</v>
      </c>
      <c r="M1059" t="s">
        <v>908</v>
      </c>
      <c r="N1059" t="s">
        <v>27</v>
      </c>
      <c r="O1059" t="s">
        <v>101</v>
      </c>
      <c r="P1059">
        <v>15.24</v>
      </c>
    </row>
    <row r="1060" spans="1:16">
      <c r="A1060" s="4">
        <v>2017</v>
      </c>
      <c r="B1060" s="4">
        <v>131149</v>
      </c>
      <c r="C1060" t="s">
        <v>329</v>
      </c>
      <c r="D1060" t="s">
        <v>1034</v>
      </c>
      <c r="E1060" t="s">
        <v>18</v>
      </c>
      <c r="F1060" t="s">
        <v>3178</v>
      </c>
      <c r="G1060" t="s">
        <v>3179</v>
      </c>
      <c r="H1060" t="s">
        <v>33</v>
      </c>
      <c r="I1060" t="s">
        <v>97</v>
      </c>
      <c r="J1060" t="s">
        <v>627</v>
      </c>
      <c r="K1060" t="s">
        <v>35</v>
      </c>
      <c r="L1060" t="s">
        <v>36</v>
      </c>
      <c r="M1060" t="s">
        <v>3180</v>
      </c>
      <c r="N1060" t="s">
        <v>27</v>
      </c>
      <c r="O1060" t="s">
        <v>58</v>
      </c>
      <c r="P1060">
        <v>338.04</v>
      </c>
    </row>
    <row r="1061" spans="1:16">
      <c r="A1061" s="4">
        <v>2017</v>
      </c>
      <c r="B1061" s="4">
        <v>139486</v>
      </c>
      <c r="C1061" t="s">
        <v>1303</v>
      </c>
      <c r="D1061" t="s">
        <v>515</v>
      </c>
      <c r="E1061" t="s">
        <v>42</v>
      </c>
      <c r="F1061" t="s">
        <v>3178</v>
      </c>
      <c r="G1061" t="s">
        <v>3179</v>
      </c>
      <c r="H1061" t="s">
        <v>33</v>
      </c>
      <c r="I1061" t="s">
        <v>97</v>
      </c>
      <c r="J1061" t="s">
        <v>64</v>
      </c>
      <c r="K1061" t="s">
        <v>65</v>
      </c>
      <c r="L1061" t="s">
        <v>66</v>
      </c>
      <c r="M1061" t="s">
        <v>3181</v>
      </c>
      <c r="N1061" t="s">
        <v>38</v>
      </c>
      <c r="O1061" t="s">
        <v>118</v>
      </c>
      <c r="P1061">
        <v>55.176000000000002</v>
      </c>
    </row>
    <row r="1062" spans="1:16">
      <c r="A1062" s="4">
        <v>2017</v>
      </c>
      <c r="B1062" s="4">
        <v>154739</v>
      </c>
      <c r="C1062" t="s">
        <v>1753</v>
      </c>
      <c r="D1062" t="s">
        <v>3182</v>
      </c>
      <c r="E1062" t="s">
        <v>144</v>
      </c>
      <c r="F1062" t="s">
        <v>3178</v>
      </c>
      <c r="G1062" t="s">
        <v>3179</v>
      </c>
      <c r="H1062" t="s">
        <v>33</v>
      </c>
      <c r="I1062" t="s">
        <v>97</v>
      </c>
      <c r="J1062" t="s">
        <v>226</v>
      </c>
      <c r="K1062" t="s">
        <v>65</v>
      </c>
      <c r="L1062" t="s">
        <v>66</v>
      </c>
      <c r="M1062" t="s">
        <v>3183</v>
      </c>
      <c r="N1062" t="s">
        <v>79</v>
      </c>
      <c r="O1062" t="s">
        <v>138</v>
      </c>
      <c r="P1062">
        <v>321.56799999999998</v>
      </c>
    </row>
    <row r="1063" spans="1:16">
      <c r="A1063" s="4">
        <v>2018</v>
      </c>
      <c r="B1063" s="4">
        <v>118367</v>
      </c>
      <c r="C1063" t="s">
        <v>3184</v>
      </c>
      <c r="D1063" t="s">
        <v>578</v>
      </c>
      <c r="E1063" t="s">
        <v>144</v>
      </c>
      <c r="F1063" t="s">
        <v>3185</v>
      </c>
      <c r="G1063" t="s">
        <v>3186</v>
      </c>
      <c r="H1063" t="s">
        <v>21</v>
      </c>
      <c r="I1063" t="s">
        <v>22</v>
      </c>
      <c r="J1063" t="s">
        <v>49</v>
      </c>
      <c r="K1063" t="s">
        <v>50</v>
      </c>
      <c r="L1063" t="s">
        <v>25</v>
      </c>
      <c r="M1063" t="s">
        <v>3187</v>
      </c>
      <c r="N1063" t="s">
        <v>27</v>
      </c>
      <c r="O1063" t="s">
        <v>501</v>
      </c>
      <c r="P1063">
        <v>47.98</v>
      </c>
    </row>
    <row r="1064" spans="1:16">
      <c r="A1064" s="4">
        <v>2015</v>
      </c>
      <c r="B1064" s="4">
        <v>113166</v>
      </c>
      <c r="C1064" t="s">
        <v>763</v>
      </c>
      <c r="D1064" t="s">
        <v>181</v>
      </c>
      <c r="E1064" t="s">
        <v>42</v>
      </c>
      <c r="F1064" t="s">
        <v>3188</v>
      </c>
      <c r="G1064" t="s">
        <v>3189</v>
      </c>
      <c r="H1064" t="s">
        <v>33</v>
      </c>
      <c r="I1064" t="s">
        <v>97</v>
      </c>
      <c r="J1064" t="s">
        <v>437</v>
      </c>
      <c r="K1064" t="s">
        <v>196</v>
      </c>
      <c r="L1064" t="s">
        <v>45</v>
      </c>
      <c r="M1064" t="s">
        <v>1808</v>
      </c>
      <c r="N1064" t="s">
        <v>27</v>
      </c>
      <c r="O1064" t="s">
        <v>52</v>
      </c>
      <c r="P1064">
        <v>9.5679999999999996</v>
      </c>
    </row>
    <row r="1065" spans="1:16">
      <c r="A1065" s="4">
        <v>2018</v>
      </c>
      <c r="B1065" s="4">
        <v>148264</v>
      </c>
      <c r="C1065" t="s">
        <v>224</v>
      </c>
      <c r="D1065" t="s">
        <v>163</v>
      </c>
      <c r="E1065" t="s">
        <v>42</v>
      </c>
      <c r="F1065" t="s">
        <v>3188</v>
      </c>
      <c r="G1065" t="s">
        <v>3189</v>
      </c>
      <c r="H1065" t="s">
        <v>33</v>
      </c>
      <c r="I1065" t="s">
        <v>97</v>
      </c>
      <c r="J1065" t="s">
        <v>684</v>
      </c>
      <c r="K1065" t="s">
        <v>65</v>
      </c>
      <c r="L1065" t="s">
        <v>66</v>
      </c>
      <c r="M1065" t="s">
        <v>3190</v>
      </c>
      <c r="N1065" t="s">
        <v>27</v>
      </c>
      <c r="O1065" t="s">
        <v>58</v>
      </c>
      <c r="P1065">
        <v>29.79</v>
      </c>
    </row>
    <row r="1066" spans="1:16">
      <c r="A1066" s="4">
        <v>2016</v>
      </c>
      <c r="B1066" s="4">
        <v>109512</v>
      </c>
      <c r="C1066" t="s">
        <v>2937</v>
      </c>
      <c r="D1066" t="s">
        <v>2937</v>
      </c>
      <c r="E1066" t="s">
        <v>132</v>
      </c>
      <c r="F1066" t="s">
        <v>3188</v>
      </c>
      <c r="G1066" t="s">
        <v>3189</v>
      </c>
      <c r="H1066" t="s">
        <v>33</v>
      </c>
      <c r="I1066" t="s">
        <v>97</v>
      </c>
      <c r="J1066" t="s">
        <v>49</v>
      </c>
      <c r="K1066" t="s">
        <v>50</v>
      </c>
      <c r="L1066" t="s">
        <v>25</v>
      </c>
      <c r="M1066" t="s">
        <v>3191</v>
      </c>
      <c r="N1066" t="s">
        <v>27</v>
      </c>
      <c r="O1066" t="s">
        <v>501</v>
      </c>
      <c r="P1066">
        <v>29.34</v>
      </c>
    </row>
    <row r="1067" spans="1:16">
      <c r="A1067" s="4">
        <v>2017</v>
      </c>
      <c r="B1067" s="4">
        <v>160129</v>
      </c>
      <c r="C1067" t="s">
        <v>645</v>
      </c>
      <c r="D1067" t="s">
        <v>645</v>
      </c>
      <c r="E1067" t="s">
        <v>132</v>
      </c>
      <c r="F1067" t="s">
        <v>3192</v>
      </c>
      <c r="G1067" t="s">
        <v>3193</v>
      </c>
      <c r="H1067" t="s">
        <v>33</v>
      </c>
      <c r="I1067" t="s">
        <v>22</v>
      </c>
      <c r="J1067" t="s">
        <v>23</v>
      </c>
      <c r="K1067" t="s">
        <v>24</v>
      </c>
      <c r="L1067" t="s">
        <v>25</v>
      </c>
      <c r="M1067" t="s">
        <v>3194</v>
      </c>
      <c r="N1067" t="s">
        <v>27</v>
      </c>
      <c r="O1067" t="s">
        <v>452</v>
      </c>
      <c r="P1067">
        <v>15.8</v>
      </c>
    </row>
    <row r="1068" spans="1:16">
      <c r="A1068" s="4">
        <v>2015</v>
      </c>
      <c r="B1068" s="4">
        <v>115084</v>
      </c>
      <c r="C1068" t="s">
        <v>2443</v>
      </c>
      <c r="D1068" t="s">
        <v>3195</v>
      </c>
      <c r="E1068" t="s">
        <v>18</v>
      </c>
      <c r="F1068" t="s">
        <v>3192</v>
      </c>
      <c r="G1068" t="s">
        <v>3193</v>
      </c>
      <c r="H1068" t="s">
        <v>33</v>
      </c>
      <c r="I1068" t="s">
        <v>22</v>
      </c>
      <c r="J1068" t="s">
        <v>3196</v>
      </c>
      <c r="K1068" t="s">
        <v>1270</v>
      </c>
      <c r="L1068" t="s">
        <v>45</v>
      </c>
      <c r="M1068" t="s">
        <v>2228</v>
      </c>
      <c r="N1068" t="s">
        <v>79</v>
      </c>
      <c r="O1068" t="s">
        <v>138</v>
      </c>
      <c r="P1068">
        <v>605.34</v>
      </c>
    </row>
    <row r="1069" spans="1:16">
      <c r="A1069" s="4">
        <v>2017</v>
      </c>
      <c r="B1069" s="4">
        <v>111416</v>
      </c>
      <c r="C1069" t="s">
        <v>561</v>
      </c>
      <c r="D1069" t="s">
        <v>510</v>
      </c>
      <c r="E1069" t="s">
        <v>18</v>
      </c>
      <c r="F1069" t="s">
        <v>3197</v>
      </c>
      <c r="G1069" t="s">
        <v>3198</v>
      </c>
      <c r="H1069" t="s">
        <v>33</v>
      </c>
      <c r="I1069" t="s">
        <v>97</v>
      </c>
      <c r="J1069" t="s">
        <v>49</v>
      </c>
      <c r="K1069" t="s">
        <v>50</v>
      </c>
      <c r="L1069" t="s">
        <v>25</v>
      </c>
      <c r="M1069" t="s">
        <v>3199</v>
      </c>
      <c r="N1069" t="s">
        <v>27</v>
      </c>
      <c r="O1069" t="s">
        <v>101</v>
      </c>
      <c r="P1069">
        <v>232.4</v>
      </c>
    </row>
    <row r="1070" spans="1:16">
      <c r="A1070" s="4">
        <v>2018</v>
      </c>
      <c r="B1070" s="4">
        <v>166128</v>
      </c>
      <c r="C1070" t="s">
        <v>1045</v>
      </c>
      <c r="D1070" t="s">
        <v>89</v>
      </c>
      <c r="E1070" t="s">
        <v>18</v>
      </c>
      <c r="F1070" t="s">
        <v>3197</v>
      </c>
      <c r="G1070" t="s">
        <v>3198</v>
      </c>
      <c r="H1070" t="s">
        <v>33</v>
      </c>
      <c r="I1070" t="s">
        <v>97</v>
      </c>
      <c r="J1070" t="s">
        <v>1051</v>
      </c>
      <c r="K1070" t="s">
        <v>65</v>
      </c>
      <c r="L1070" t="s">
        <v>66</v>
      </c>
      <c r="M1070" t="s">
        <v>3200</v>
      </c>
      <c r="N1070" t="s">
        <v>38</v>
      </c>
      <c r="O1070" t="s">
        <v>68</v>
      </c>
      <c r="P1070">
        <v>199.95</v>
      </c>
    </row>
    <row r="1071" spans="1:16">
      <c r="A1071" s="4">
        <v>2017</v>
      </c>
      <c r="B1071" s="4">
        <v>117037</v>
      </c>
      <c r="C1071" t="s">
        <v>3201</v>
      </c>
      <c r="D1071" t="s">
        <v>2707</v>
      </c>
      <c r="E1071" t="s">
        <v>42</v>
      </c>
      <c r="F1071" t="s">
        <v>3197</v>
      </c>
      <c r="G1071" t="s">
        <v>3198</v>
      </c>
      <c r="H1071" t="s">
        <v>33</v>
      </c>
      <c r="I1071" t="s">
        <v>97</v>
      </c>
      <c r="J1071" t="s">
        <v>108</v>
      </c>
      <c r="K1071" t="s">
        <v>109</v>
      </c>
      <c r="L1071" t="s">
        <v>36</v>
      </c>
      <c r="M1071" t="s">
        <v>3202</v>
      </c>
      <c r="N1071" t="s">
        <v>27</v>
      </c>
      <c r="O1071" t="s">
        <v>101</v>
      </c>
      <c r="P1071">
        <v>2.89</v>
      </c>
    </row>
    <row r="1072" spans="1:16">
      <c r="A1072" s="4">
        <v>2017</v>
      </c>
      <c r="B1072" s="4">
        <v>132997</v>
      </c>
      <c r="C1072" t="s">
        <v>1388</v>
      </c>
      <c r="D1072" t="s">
        <v>2093</v>
      </c>
      <c r="E1072" t="s">
        <v>42</v>
      </c>
      <c r="F1072" t="s">
        <v>3197</v>
      </c>
      <c r="G1072" t="s">
        <v>3198</v>
      </c>
      <c r="H1072" t="s">
        <v>33</v>
      </c>
      <c r="I1072" t="s">
        <v>97</v>
      </c>
      <c r="J1072" t="s">
        <v>663</v>
      </c>
      <c r="K1072" t="s">
        <v>50</v>
      </c>
      <c r="L1072" t="s">
        <v>25</v>
      </c>
      <c r="M1072" t="s">
        <v>3203</v>
      </c>
      <c r="N1072" t="s">
        <v>38</v>
      </c>
      <c r="O1072" t="s">
        <v>118</v>
      </c>
      <c r="P1072">
        <v>263.95999999999998</v>
      </c>
    </row>
    <row r="1073" spans="1:16">
      <c r="A1073" s="4">
        <v>2016</v>
      </c>
      <c r="B1073" s="4">
        <v>118955</v>
      </c>
      <c r="C1073" t="s">
        <v>2777</v>
      </c>
      <c r="D1073" t="s">
        <v>3204</v>
      </c>
      <c r="E1073" t="s">
        <v>18</v>
      </c>
      <c r="F1073" t="s">
        <v>3205</v>
      </c>
      <c r="G1073" t="s">
        <v>3206</v>
      </c>
      <c r="H1073" t="s">
        <v>21</v>
      </c>
      <c r="I1073" t="s">
        <v>97</v>
      </c>
      <c r="J1073" t="s">
        <v>308</v>
      </c>
      <c r="K1073" t="s">
        <v>35</v>
      </c>
      <c r="L1073" t="s">
        <v>36</v>
      </c>
      <c r="M1073" t="s">
        <v>3207</v>
      </c>
      <c r="N1073" t="s">
        <v>27</v>
      </c>
      <c r="O1073" t="s">
        <v>501</v>
      </c>
      <c r="P1073">
        <v>28.751999999999999</v>
      </c>
    </row>
    <row r="1074" spans="1:16">
      <c r="A1074" s="4">
        <v>2015</v>
      </c>
      <c r="B1074" s="4">
        <v>109456</v>
      </c>
      <c r="C1074" t="s">
        <v>1913</v>
      </c>
      <c r="D1074" t="s">
        <v>464</v>
      </c>
      <c r="E1074" t="s">
        <v>132</v>
      </c>
      <c r="F1074" t="s">
        <v>3208</v>
      </c>
      <c r="G1074" t="s">
        <v>3209</v>
      </c>
      <c r="H1074" t="s">
        <v>33</v>
      </c>
      <c r="I1074" t="s">
        <v>97</v>
      </c>
      <c r="J1074" t="s">
        <v>226</v>
      </c>
      <c r="K1074" t="s">
        <v>65</v>
      </c>
      <c r="L1074" t="s">
        <v>66</v>
      </c>
      <c r="M1074" t="s">
        <v>3210</v>
      </c>
      <c r="N1074" t="s">
        <v>27</v>
      </c>
      <c r="O1074" t="s">
        <v>101</v>
      </c>
      <c r="P1074">
        <v>14.352</v>
      </c>
    </row>
    <row r="1075" spans="1:16">
      <c r="A1075" s="4">
        <v>2017</v>
      </c>
      <c r="B1075" s="4">
        <v>152765</v>
      </c>
      <c r="C1075" t="s">
        <v>2303</v>
      </c>
      <c r="D1075" t="s">
        <v>889</v>
      </c>
      <c r="E1075" t="s">
        <v>42</v>
      </c>
      <c r="F1075" t="s">
        <v>3208</v>
      </c>
      <c r="G1075" t="s">
        <v>3209</v>
      </c>
      <c r="H1075" t="s">
        <v>33</v>
      </c>
      <c r="I1075" t="s">
        <v>97</v>
      </c>
      <c r="J1075" t="s">
        <v>183</v>
      </c>
      <c r="K1075" t="s">
        <v>35</v>
      </c>
      <c r="L1075" t="s">
        <v>36</v>
      </c>
      <c r="M1075" t="s">
        <v>2887</v>
      </c>
      <c r="N1075" t="s">
        <v>27</v>
      </c>
      <c r="O1075" t="s">
        <v>52</v>
      </c>
      <c r="P1075">
        <v>173.488</v>
      </c>
    </row>
    <row r="1076" spans="1:16">
      <c r="A1076" s="4">
        <v>2018</v>
      </c>
      <c r="B1076" s="4">
        <v>135307</v>
      </c>
      <c r="C1076" t="s">
        <v>81</v>
      </c>
      <c r="D1076" t="s">
        <v>1896</v>
      </c>
      <c r="E1076" t="s">
        <v>42</v>
      </c>
      <c r="F1076" t="s">
        <v>3208</v>
      </c>
      <c r="G1076" t="s">
        <v>3209</v>
      </c>
      <c r="H1076" t="s">
        <v>33</v>
      </c>
      <c r="I1076" t="s">
        <v>97</v>
      </c>
      <c r="J1076" t="s">
        <v>3211</v>
      </c>
      <c r="K1076" t="s">
        <v>99</v>
      </c>
      <c r="L1076" t="s">
        <v>36</v>
      </c>
      <c r="M1076" t="s">
        <v>3212</v>
      </c>
      <c r="N1076" t="s">
        <v>79</v>
      </c>
      <c r="O1076" t="s">
        <v>80</v>
      </c>
      <c r="P1076">
        <v>126.3</v>
      </c>
    </row>
    <row r="1077" spans="1:16">
      <c r="A1077" s="4">
        <v>2015</v>
      </c>
      <c r="B1077" s="4">
        <v>124730</v>
      </c>
      <c r="C1077" t="s">
        <v>2047</v>
      </c>
      <c r="D1077" t="s">
        <v>2047</v>
      </c>
      <c r="E1077" t="s">
        <v>132</v>
      </c>
      <c r="F1077" t="s">
        <v>3208</v>
      </c>
      <c r="G1077" t="s">
        <v>3209</v>
      </c>
      <c r="H1077" t="s">
        <v>33</v>
      </c>
      <c r="I1077" t="s">
        <v>97</v>
      </c>
      <c r="J1077" t="s">
        <v>1236</v>
      </c>
      <c r="K1077" t="s">
        <v>50</v>
      </c>
      <c r="L1077" t="s">
        <v>25</v>
      </c>
      <c r="M1077" t="s">
        <v>3213</v>
      </c>
      <c r="N1077" t="s">
        <v>38</v>
      </c>
      <c r="O1077" t="s">
        <v>118</v>
      </c>
      <c r="P1077">
        <v>279.95999999999998</v>
      </c>
    </row>
    <row r="1078" spans="1:16">
      <c r="A1078" s="4">
        <v>2018</v>
      </c>
      <c r="B1078" s="4">
        <v>166142</v>
      </c>
      <c r="C1078" t="s">
        <v>2569</v>
      </c>
      <c r="D1078" t="s">
        <v>3214</v>
      </c>
      <c r="E1078" t="s">
        <v>18</v>
      </c>
      <c r="F1078" t="s">
        <v>3215</v>
      </c>
      <c r="G1078" t="s">
        <v>3216</v>
      </c>
      <c r="H1078" t="s">
        <v>21</v>
      </c>
      <c r="I1078" t="s">
        <v>97</v>
      </c>
      <c r="J1078" t="s">
        <v>653</v>
      </c>
      <c r="K1078" t="s">
        <v>1392</v>
      </c>
      <c r="L1078" t="s">
        <v>25</v>
      </c>
      <c r="M1078" t="s">
        <v>3217</v>
      </c>
      <c r="N1078" t="s">
        <v>27</v>
      </c>
      <c r="O1078" t="s">
        <v>101</v>
      </c>
      <c r="P1078">
        <v>26.55</v>
      </c>
    </row>
    <row r="1079" spans="1:16">
      <c r="A1079" s="4">
        <v>2017</v>
      </c>
      <c r="B1079" s="4">
        <v>118899</v>
      </c>
      <c r="C1079" t="s">
        <v>3218</v>
      </c>
      <c r="D1079" t="s">
        <v>3218</v>
      </c>
      <c r="E1079" t="s">
        <v>132</v>
      </c>
      <c r="F1079" t="s">
        <v>3219</v>
      </c>
      <c r="G1079" t="s">
        <v>3220</v>
      </c>
      <c r="H1079" t="s">
        <v>33</v>
      </c>
      <c r="I1079" t="s">
        <v>97</v>
      </c>
      <c r="J1079" t="s">
        <v>271</v>
      </c>
      <c r="K1079" t="s">
        <v>165</v>
      </c>
      <c r="L1079" t="s">
        <v>66</v>
      </c>
      <c r="M1079" t="s">
        <v>3221</v>
      </c>
      <c r="N1079" t="s">
        <v>79</v>
      </c>
      <c r="O1079" t="s">
        <v>138</v>
      </c>
      <c r="P1079">
        <v>167.88800000000001</v>
      </c>
    </row>
    <row r="1080" spans="1:16">
      <c r="A1080" s="4">
        <v>2016</v>
      </c>
      <c r="B1080" s="4">
        <v>114237</v>
      </c>
      <c r="C1080" t="s">
        <v>3222</v>
      </c>
      <c r="D1080" t="s">
        <v>2907</v>
      </c>
      <c r="E1080" t="s">
        <v>42</v>
      </c>
      <c r="F1080" t="s">
        <v>3219</v>
      </c>
      <c r="G1080" t="s">
        <v>3220</v>
      </c>
      <c r="H1080" t="s">
        <v>33</v>
      </c>
      <c r="I1080" t="s">
        <v>97</v>
      </c>
      <c r="J1080" t="s">
        <v>271</v>
      </c>
      <c r="K1080" t="s">
        <v>165</v>
      </c>
      <c r="L1080" t="s">
        <v>66</v>
      </c>
      <c r="M1080" t="s">
        <v>2730</v>
      </c>
      <c r="N1080" t="s">
        <v>79</v>
      </c>
      <c r="O1080" t="s">
        <v>286</v>
      </c>
      <c r="P1080">
        <v>141.96</v>
      </c>
    </row>
    <row r="1081" spans="1:16">
      <c r="A1081" s="4">
        <v>2017</v>
      </c>
      <c r="B1081" s="4">
        <v>108497</v>
      </c>
      <c r="C1081" t="s">
        <v>1919</v>
      </c>
      <c r="D1081" t="s">
        <v>1919</v>
      </c>
      <c r="E1081" t="s">
        <v>132</v>
      </c>
      <c r="F1081" t="s">
        <v>3223</v>
      </c>
      <c r="G1081" t="s">
        <v>3224</v>
      </c>
      <c r="H1081" t="s">
        <v>21</v>
      </c>
      <c r="I1081" t="s">
        <v>63</v>
      </c>
      <c r="J1081" t="s">
        <v>64</v>
      </c>
      <c r="K1081" t="s">
        <v>65</v>
      </c>
      <c r="L1081" t="s">
        <v>66</v>
      </c>
      <c r="M1081" t="s">
        <v>1735</v>
      </c>
      <c r="N1081" t="s">
        <v>79</v>
      </c>
      <c r="O1081" t="s">
        <v>286</v>
      </c>
      <c r="P1081">
        <v>599.16499999999996</v>
      </c>
    </row>
    <row r="1082" spans="1:16">
      <c r="A1082" s="4">
        <v>2018</v>
      </c>
      <c r="B1082" s="4">
        <v>105074</v>
      </c>
      <c r="C1082" t="s">
        <v>1135</v>
      </c>
      <c r="D1082" t="s">
        <v>494</v>
      </c>
      <c r="E1082" t="s">
        <v>18</v>
      </c>
      <c r="F1082" t="s">
        <v>3225</v>
      </c>
      <c r="G1082" t="s">
        <v>3226</v>
      </c>
      <c r="H1082" t="s">
        <v>21</v>
      </c>
      <c r="I1082" t="s">
        <v>97</v>
      </c>
      <c r="J1082" t="s">
        <v>1929</v>
      </c>
      <c r="K1082" t="s">
        <v>237</v>
      </c>
      <c r="L1082" t="s">
        <v>25</v>
      </c>
      <c r="M1082" t="s">
        <v>3227</v>
      </c>
      <c r="N1082" t="s">
        <v>27</v>
      </c>
      <c r="O1082" t="s">
        <v>52</v>
      </c>
      <c r="P1082">
        <v>21.744</v>
      </c>
    </row>
    <row r="1083" spans="1:16">
      <c r="A1083" s="4">
        <v>2017</v>
      </c>
      <c r="B1083" s="4">
        <v>159142</v>
      </c>
      <c r="C1083" t="s">
        <v>3228</v>
      </c>
      <c r="D1083" t="s">
        <v>1571</v>
      </c>
      <c r="E1083" t="s">
        <v>42</v>
      </c>
      <c r="F1083" t="s">
        <v>3229</v>
      </c>
      <c r="G1083" t="s">
        <v>3230</v>
      </c>
      <c r="H1083" t="s">
        <v>33</v>
      </c>
      <c r="I1083" t="s">
        <v>63</v>
      </c>
      <c r="J1083" t="s">
        <v>98</v>
      </c>
      <c r="K1083" t="s">
        <v>56</v>
      </c>
      <c r="L1083" t="s">
        <v>45</v>
      </c>
      <c r="M1083" t="s">
        <v>3231</v>
      </c>
      <c r="N1083" t="s">
        <v>38</v>
      </c>
      <c r="O1083" t="s">
        <v>118</v>
      </c>
      <c r="P1083">
        <v>149.97</v>
      </c>
    </row>
    <row r="1084" spans="1:16">
      <c r="A1084" s="4">
        <v>2018</v>
      </c>
      <c r="B1084" s="4">
        <v>124926</v>
      </c>
      <c r="C1084" t="s">
        <v>1331</v>
      </c>
      <c r="D1084" t="s">
        <v>608</v>
      </c>
      <c r="E1084" t="s">
        <v>144</v>
      </c>
      <c r="F1084" t="s">
        <v>3229</v>
      </c>
      <c r="G1084" t="s">
        <v>3230</v>
      </c>
      <c r="H1084" t="s">
        <v>33</v>
      </c>
      <c r="I1084" t="s">
        <v>63</v>
      </c>
      <c r="J1084" t="s">
        <v>183</v>
      </c>
      <c r="K1084" t="s">
        <v>35</v>
      </c>
      <c r="L1084" t="s">
        <v>36</v>
      </c>
      <c r="M1084" t="s">
        <v>3232</v>
      </c>
      <c r="N1084" t="s">
        <v>27</v>
      </c>
      <c r="O1084" t="s">
        <v>228</v>
      </c>
      <c r="P1084">
        <v>9.3239999999999998</v>
      </c>
    </row>
    <row r="1085" spans="1:16">
      <c r="A1085" s="4">
        <v>2018</v>
      </c>
      <c r="B1085" s="4">
        <v>148474</v>
      </c>
      <c r="C1085" t="s">
        <v>730</v>
      </c>
      <c r="D1085" t="s">
        <v>348</v>
      </c>
      <c r="E1085" t="s">
        <v>18</v>
      </c>
      <c r="F1085" t="s">
        <v>3229</v>
      </c>
      <c r="G1085" t="s">
        <v>3230</v>
      </c>
      <c r="H1085" t="s">
        <v>33</v>
      </c>
      <c r="I1085" t="s">
        <v>63</v>
      </c>
      <c r="J1085" t="s">
        <v>473</v>
      </c>
      <c r="K1085" t="s">
        <v>86</v>
      </c>
      <c r="L1085" t="s">
        <v>45</v>
      </c>
      <c r="M1085" t="s">
        <v>3233</v>
      </c>
      <c r="N1085" t="s">
        <v>27</v>
      </c>
      <c r="O1085" t="s">
        <v>101</v>
      </c>
      <c r="P1085">
        <v>91.2</v>
      </c>
    </row>
    <row r="1086" spans="1:16">
      <c r="A1086" s="4">
        <v>2018</v>
      </c>
      <c r="B1086" s="4">
        <v>107314</v>
      </c>
      <c r="C1086" t="s">
        <v>82</v>
      </c>
      <c r="D1086" t="s">
        <v>1393</v>
      </c>
      <c r="E1086" t="s">
        <v>42</v>
      </c>
      <c r="F1086" t="s">
        <v>3234</v>
      </c>
      <c r="G1086" t="s">
        <v>3235</v>
      </c>
      <c r="H1086" t="s">
        <v>33</v>
      </c>
      <c r="I1086" t="s">
        <v>63</v>
      </c>
      <c r="J1086" t="s">
        <v>226</v>
      </c>
      <c r="K1086" t="s">
        <v>65</v>
      </c>
      <c r="L1086" t="s">
        <v>66</v>
      </c>
      <c r="M1086" t="s">
        <v>3236</v>
      </c>
      <c r="N1086" t="s">
        <v>79</v>
      </c>
      <c r="O1086" t="s">
        <v>80</v>
      </c>
      <c r="P1086">
        <v>25.83</v>
      </c>
    </row>
    <row r="1087" spans="1:16">
      <c r="A1087" s="4">
        <v>2018</v>
      </c>
      <c r="B1087" s="4">
        <v>147144</v>
      </c>
      <c r="C1087" t="s">
        <v>1289</v>
      </c>
      <c r="D1087" t="s">
        <v>1637</v>
      </c>
      <c r="E1087" t="s">
        <v>42</v>
      </c>
      <c r="F1087" t="s">
        <v>3234</v>
      </c>
      <c r="G1087" t="s">
        <v>3235</v>
      </c>
      <c r="H1087" t="s">
        <v>33</v>
      </c>
      <c r="I1087" t="s">
        <v>63</v>
      </c>
      <c r="J1087" t="s">
        <v>271</v>
      </c>
      <c r="K1087" t="s">
        <v>165</v>
      </c>
      <c r="L1087" t="s">
        <v>66</v>
      </c>
      <c r="M1087" t="s">
        <v>3237</v>
      </c>
      <c r="N1087" t="s">
        <v>27</v>
      </c>
      <c r="O1087" t="s">
        <v>28</v>
      </c>
      <c r="P1087">
        <v>19.829999999999998</v>
      </c>
    </row>
    <row r="1088" spans="1:16">
      <c r="A1088" s="4">
        <v>2016</v>
      </c>
      <c r="B1088" s="4">
        <v>134782</v>
      </c>
      <c r="C1088" t="s">
        <v>622</v>
      </c>
      <c r="D1088" t="s">
        <v>623</v>
      </c>
      <c r="E1088" t="s">
        <v>18</v>
      </c>
      <c r="F1088" t="s">
        <v>3238</v>
      </c>
      <c r="G1088" t="s">
        <v>3239</v>
      </c>
      <c r="H1088" t="s">
        <v>33</v>
      </c>
      <c r="I1088" t="s">
        <v>97</v>
      </c>
      <c r="J1088" t="s">
        <v>672</v>
      </c>
      <c r="K1088" t="s">
        <v>1270</v>
      </c>
      <c r="L1088" t="s">
        <v>45</v>
      </c>
      <c r="M1088" t="s">
        <v>3240</v>
      </c>
      <c r="N1088" t="s">
        <v>27</v>
      </c>
      <c r="O1088" t="s">
        <v>501</v>
      </c>
      <c r="P1088">
        <v>105.42</v>
      </c>
    </row>
    <row r="1089" spans="1:16">
      <c r="A1089" s="4">
        <v>2018</v>
      </c>
      <c r="B1089" s="4">
        <v>149181</v>
      </c>
      <c r="C1089" t="s">
        <v>1841</v>
      </c>
      <c r="D1089" t="s">
        <v>60</v>
      </c>
      <c r="E1089" t="s">
        <v>18</v>
      </c>
      <c r="F1089" t="s">
        <v>3238</v>
      </c>
      <c r="G1089" t="s">
        <v>3239</v>
      </c>
      <c r="H1089" t="s">
        <v>33</v>
      </c>
      <c r="I1089" t="s">
        <v>97</v>
      </c>
      <c r="J1089" t="s">
        <v>473</v>
      </c>
      <c r="K1089" t="s">
        <v>237</v>
      </c>
      <c r="L1089" t="s">
        <v>25</v>
      </c>
      <c r="M1089" t="s">
        <v>3241</v>
      </c>
      <c r="N1089" t="s">
        <v>79</v>
      </c>
      <c r="O1089" t="s">
        <v>138</v>
      </c>
      <c r="P1089">
        <v>47.991999999999997</v>
      </c>
    </row>
    <row r="1090" spans="1:16">
      <c r="A1090" s="4">
        <v>2016</v>
      </c>
      <c r="B1090" s="4">
        <v>120103</v>
      </c>
      <c r="C1090" t="s">
        <v>1666</v>
      </c>
      <c r="D1090" t="s">
        <v>2852</v>
      </c>
      <c r="E1090" t="s">
        <v>18</v>
      </c>
      <c r="F1090" t="s">
        <v>3242</v>
      </c>
      <c r="G1090" t="s">
        <v>3243</v>
      </c>
      <c r="H1090" t="s">
        <v>33</v>
      </c>
      <c r="I1090" t="s">
        <v>97</v>
      </c>
      <c r="J1090" t="s">
        <v>1713</v>
      </c>
      <c r="K1090" t="s">
        <v>136</v>
      </c>
      <c r="L1090" t="s">
        <v>66</v>
      </c>
      <c r="M1090" t="s">
        <v>3244</v>
      </c>
      <c r="N1090" t="s">
        <v>27</v>
      </c>
      <c r="O1090" t="s">
        <v>52</v>
      </c>
      <c r="P1090">
        <v>106.232</v>
      </c>
    </row>
    <row r="1091" spans="1:16">
      <c r="A1091" s="4">
        <v>2018</v>
      </c>
      <c r="B1091" s="4">
        <v>147942</v>
      </c>
      <c r="C1091" t="s">
        <v>3245</v>
      </c>
      <c r="D1091" t="s">
        <v>1622</v>
      </c>
      <c r="E1091" t="s">
        <v>18</v>
      </c>
      <c r="F1091" t="s">
        <v>3242</v>
      </c>
      <c r="G1091" t="s">
        <v>3243</v>
      </c>
      <c r="H1091" t="s">
        <v>33</v>
      </c>
      <c r="I1091" t="s">
        <v>97</v>
      </c>
      <c r="J1091" t="s">
        <v>226</v>
      </c>
      <c r="K1091" t="s">
        <v>65</v>
      </c>
      <c r="L1091" t="s">
        <v>66</v>
      </c>
      <c r="M1091" t="s">
        <v>3246</v>
      </c>
      <c r="N1091" t="s">
        <v>27</v>
      </c>
      <c r="O1091" t="s">
        <v>111</v>
      </c>
      <c r="P1091">
        <v>5.78</v>
      </c>
    </row>
    <row r="1092" spans="1:16">
      <c r="A1092" s="4">
        <v>2015</v>
      </c>
      <c r="B1092" s="4">
        <v>127488</v>
      </c>
      <c r="C1092" t="s">
        <v>3247</v>
      </c>
      <c r="D1092" t="s">
        <v>2138</v>
      </c>
      <c r="E1092" t="s">
        <v>144</v>
      </c>
      <c r="F1092" t="s">
        <v>3242</v>
      </c>
      <c r="G1092" t="s">
        <v>3243</v>
      </c>
      <c r="H1092" t="s">
        <v>33</v>
      </c>
      <c r="I1092" t="s">
        <v>97</v>
      </c>
      <c r="J1092" t="s">
        <v>3248</v>
      </c>
      <c r="K1092" t="s">
        <v>196</v>
      </c>
      <c r="L1092" t="s">
        <v>45</v>
      </c>
      <c r="M1092" t="s">
        <v>3249</v>
      </c>
      <c r="N1092" t="s">
        <v>27</v>
      </c>
      <c r="O1092" t="s">
        <v>111</v>
      </c>
      <c r="P1092">
        <v>4.6079999999999997</v>
      </c>
    </row>
    <row r="1093" spans="1:16">
      <c r="A1093" s="4">
        <v>2016</v>
      </c>
      <c r="B1093" s="4">
        <v>139290</v>
      </c>
      <c r="C1093" t="s">
        <v>392</v>
      </c>
      <c r="D1093" t="s">
        <v>393</v>
      </c>
      <c r="E1093" t="s">
        <v>18</v>
      </c>
      <c r="F1093" t="s">
        <v>3250</v>
      </c>
      <c r="G1093" t="s">
        <v>3251</v>
      </c>
      <c r="H1093" t="s">
        <v>33</v>
      </c>
      <c r="I1093" t="s">
        <v>22</v>
      </c>
      <c r="J1093" t="s">
        <v>327</v>
      </c>
      <c r="K1093" t="s">
        <v>65</v>
      </c>
      <c r="L1093" t="s">
        <v>66</v>
      </c>
      <c r="M1093" t="s">
        <v>3252</v>
      </c>
      <c r="N1093" t="s">
        <v>27</v>
      </c>
      <c r="O1093" t="s">
        <v>111</v>
      </c>
      <c r="P1093">
        <v>5.76</v>
      </c>
    </row>
    <row r="1094" spans="1:16">
      <c r="A1094" s="4">
        <v>2017</v>
      </c>
      <c r="B1094" s="4">
        <v>105578</v>
      </c>
      <c r="C1094" t="s">
        <v>994</v>
      </c>
      <c r="D1094" t="s">
        <v>816</v>
      </c>
      <c r="E1094" t="s">
        <v>18</v>
      </c>
      <c r="F1094" t="s">
        <v>3250</v>
      </c>
      <c r="G1094" t="s">
        <v>3251</v>
      </c>
      <c r="H1094" t="s">
        <v>33</v>
      </c>
      <c r="I1094" t="s">
        <v>22</v>
      </c>
      <c r="J1094" t="s">
        <v>3253</v>
      </c>
      <c r="K1094" t="s">
        <v>222</v>
      </c>
      <c r="L1094" t="s">
        <v>66</v>
      </c>
      <c r="M1094" t="s">
        <v>3254</v>
      </c>
      <c r="N1094" t="s">
        <v>27</v>
      </c>
      <c r="O1094" t="s">
        <v>101</v>
      </c>
      <c r="P1094">
        <v>22.62</v>
      </c>
    </row>
    <row r="1095" spans="1:16">
      <c r="A1095" s="4">
        <v>2018</v>
      </c>
      <c r="B1095" s="4">
        <v>163902</v>
      </c>
      <c r="C1095" t="s">
        <v>741</v>
      </c>
      <c r="D1095" t="s">
        <v>1934</v>
      </c>
      <c r="E1095" t="s">
        <v>18</v>
      </c>
      <c r="F1095" t="s">
        <v>3250</v>
      </c>
      <c r="G1095" t="s">
        <v>3251</v>
      </c>
      <c r="H1095" t="s">
        <v>33</v>
      </c>
      <c r="I1095" t="s">
        <v>22</v>
      </c>
      <c r="J1095" t="s">
        <v>64</v>
      </c>
      <c r="K1095" t="s">
        <v>65</v>
      </c>
      <c r="L1095" t="s">
        <v>66</v>
      </c>
      <c r="M1095" t="s">
        <v>1605</v>
      </c>
      <c r="N1095" t="s">
        <v>38</v>
      </c>
      <c r="O1095" t="s">
        <v>118</v>
      </c>
      <c r="P1095">
        <v>196.77600000000001</v>
      </c>
    </row>
    <row r="1096" spans="1:16">
      <c r="A1096" s="4">
        <v>2018</v>
      </c>
      <c r="B1096" s="4">
        <v>138618</v>
      </c>
      <c r="C1096" t="s">
        <v>1397</v>
      </c>
      <c r="D1096" t="s">
        <v>224</v>
      </c>
      <c r="E1096" t="s">
        <v>18</v>
      </c>
      <c r="F1096" t="s">
        <v>3250</v>
      </c>
      <c r="G1096" t="s">
        <v>3251</v>
      </c>
      <c r="H1096" t="s">
        <v>33</v>
      </c>
      <c r="I1096" t="s">
        <v>22</v>
      </c>
      <c r="J1096" t="s">
        <v>738</v>
      </c>
      <c r="K1096" t="s">
        <v>35</v>
      </c>
      <c r="L1096" t="s">
        <v>36</v>
      </c>
      <c r="M1096" t="s">
        <v>3255</v>
      </c>
      <c r="N1096" t="s">
        <v>27</v>
      </c>
      <c r="O1096" t="s">
        <v>52</v>
      </c>
      <c r="P1096">
        <v>10.368</v>
      </c>
    </row>
    <row r="1097" spans="1:16">
      <c r="A1097" s="4">
        <v>2015</v>
      </c>
      <c r="B1097" s="4">
        <v>125556</v>
      </c>
      <c r="C1097" t="s">
        <v>1047</v>
      </c>
      <c r="D1097" t="s">
        <v>154</v>
      </c>
      <c r="E1097" t="s">
        <v>144</v>
      </c>
      <c r="F1097" t="s">
        <v>3256</v>
      </c>
      <c r="G1097" t="s">
        <v>3257</v>
      </c>
      <c r="H1097" t="s">
        <v>21</v>
      </c>
      <c r="I1097" t="s">
        <v>97</v>
      </c>
      <c r="J1097" t="s">
        <v>1263</v>
      </c>
      <c r="K1097" t="s">
        <v>390</v>
      </c>
      <c r="L1097" t="s">
        <v>25</v>
      </c>
      <c r="M1097" t="s">
        <v>3258</v>
      </c>
      <c r="N1097" t="s">
        <v>38</v>
      </c>
      <c r="O1097" t="s">
        <v>118</v>
      </c>
      <c r="P1097">
        <v>832.93</v>
      </c>
    </row>
    <row r="1098" spans="1:16">
      <c r="A1098" s="4">
        <v>2016</v>
      </c>
      <c r="B1098" s="4">
        <v>161711</v>
      </c>
      <c r="C1098" t="s">
        <v>1560</v>
      </c>
      <c r="D1098" t="s">
        <v>871</v>
      </c>
      <c r="E1098" t="s">
        <v>18</v>
      </c>
      <c r="F1098" t="s">
        <v>3259</v>
      </c>
      <c r="G1098" t="s">
        <v>3260</v>
      </c>
      <c r="H1098" t="s">
        <v>33</v>
      </c>
      <c r="I1098" t="s">
        <v>22</v>
      </c>
      <c r="J1098" t="s">
        <v>49</v>
      </c>
      <c r="K1098" t="s">
        <v>50</v>
      </c>
      <c r="L1098" t="s">
        <v>25</v>
      </c>
      <c r="M1098" t="s">
        <v>3261</v>
      </c>
      <c r="N1098" t="s">
        <v>79</v>
      </c>
      <c r="O1098" t="s">
        <v>80</v>
      </c>
      <c r="P1098">
        <v>68.16</v>
      </c>
    </row>
    <row r="1099" spans="1:16">
      <c r="A1099" s="4">
        <v>2017</v>
      </c>
      <c r="B1099" s="4">
        <v>133711</v>
      </c>
      <c r="C1099" t="s">
        <v>1240</v>
      </c>
      <c r="D1099" t="s">
        <v>1118</v>
      </c>
      <c r="E1099" t="s">
        <v>42</v>
      </c>
      <c r="F1099" t="s">
        <v>3259</v>
      </c>
      <c r="G1099" t="s">
        <v>3260</v>
      </c>
      <c r="H1099" t="s">
        <v>33</v>
      </c>
      <c r="I1099" t="s">
        <v>22</v>
      </c>
      <c r="J1099" t="s">
        <v>3262</v>
      </c>
      <c r="K1099" t="s">
        <v>518</v>
      </c>
      <c r="L1099" t="s">
        <v>45</v>
      </c>
      <c r="M1099" t="s">
        <v>3263</v>
      </c>
      <c r="N1099" t="s">
        <v>27</v>
      </c>
      <c r="O1099" t="s">
        <v>52</v>
      </c>
      <c r="P1099">
        <v>70.98</v>
      </c>
    </row>
    <row r="1100" spans="1:16">
      <c r="A1100" s="4">
        <v>2015</v>
      </c>
      <c r="B1100" s="4">
        <v>160157</v>
      </c>
      <c r="C1100" t="s">
        <v>119</v>
      </c>
      <c r="D1100" t="s">
        <v>364</v>
      </c>
      <c r="E1100" t="s">
        <v>18</v>
      </c>
      <c r="F1100" t="s">
        <v>3264</v>
      </c>
      <c r="G1100" t="s">
        <v>3265</v>
      </c>
      <c r="H1100" t="s">
        <v>33</v>
      </c>
      <c r="I1100" t="s">
        <v>97</v>
      </c>
      <c r="J1100" t="s">
        <v>1149</v>
      </c>
      <c r="K1100" t="s">
        <v>237</v>
      </c>
      <c r="L1100" t="s">
        <v>25</v>
      </c>
      <c r="M1100" t="s">
        <v>3266</v>
      </c>
      <c r="N1100" t="s">
        <v>79</v>
      </c>
      <c r="O1100" t="s">
        <v>80</v>
      </c>
      <c r="P1100">
        <v>190.84800000000001</v>
      </c>
    </row>
    <row r="1101" spans="1:16">
      <c r="A1101" s="4">
        <v>2018</v>
      </c>
      <c r="B1101" s="4">
        <v>136364</v>
      </c>
      <c r="C1101" t="s">
        <v>2183</v>
      </c>
      <c r="D1101" t="s">
        <v>246</v>
      </c>
      <c r="E1101" t="s">
        <v>144</v>
      </c>
      <c r="F1101" t="s">
        <v>3264</v>
      </c>
      <c r="G1101" t="s">
        <v>3265</v>
      </c>
      <c r="H1101" t="s">
        <v>33</v>
      </c>
      <c r="I1101" t="s">
        <v>97</v>
      </c>
      <c r="J1101" t="s">
        <v>23</v>
      </c>
      <c r="K1101" t="s">
        <v>24</v>
      </c>
      <c r="L1101" t="s">
        <v>25</v>
      </c>
      <c r="M1101" t="s">
        <v>3267</v>
      </c>
      <c r="N1101" t="s">
        <v>38</v>
      </c>
      <c r="O1101" t="s">
        <v>118</v>
      </c>
      <c r="P1101">
        <v>39.594000000000001</v>
      </c>
    </row>
    <row r="1102" spans="1:16">
      <c r="A1102" s="4">
        <v>2015</v>
      </c>
      <c r="B1102" s="4">
        <v>145926</v>
      </c>
      <c r="C1102" t="s">
        <v>3268</v>
      </c>
      <c r="D1102" t="s">
        <v>3269</v>
      </c>
      <c r="E1102" t="s">
        <v>18</v>
      </c>
      <c r="F1102" t="s">
        <v>3270</v>
      </c>
      <c r="G1102" t="s">
        <v>3271</v>
      </c>
      <c r="H1102" t="s">
        <v>33</v>
      </c>
      <c r="I1102" t="s">
        <v>63</v>
      </c>
      <c r="J1102" t="s">
        <v>3272</v>
      </c>
      <c r="K1102" t="s">
        <v>372</v>
      </c>
      <c r="L1102" t="s">
        <v>36</v>
      </c>
      <c r="M1102" t="s">
        <v>1022</v>
      </c>
      <c r="N1102" t="s">
        <v>79</v>
      </c>
      <c r="O1102" t="s">
        <v>138</v>
      </c>
      <c r="P1102">
        <v>479.9</v>
      </c>
    </row>
    <row r="1103" spans="1:16">
      <c r="A1103" s="4">
        <v>2016</v>
      </c>
      <c r="B1103" s="4">
        <v>102281</v>
      </c>
      <c r="C1103" t="s">
        <v>1581</v>
      </c>
      <c r="D1103" t="s">
        <v>3273</v>
      </c>
      <c r="E1103" t="s">
        <v>42</v>
      </c>
      <c r="F1103" t="s">
        <v>3270</v>
      </c>
      <c r="G1103" t="s">
        <v>3271</v>
      </c>
      <c r="H1103" t="s">
        <v>33</v>
      </c>
      <c r="I1103" t="s">
        <v>63</v>
      </c>
      <c r="J1103" t="s">
        <v>49</v>
      </c>
      <c r="K1103" t="s">
        <v>50</v>
      </c>
      <c r="L1103" t="s">
        <v>25</v>
      </c>
      <c r="M1103" t="s">
        <v>3274</v>
      </c>
      <c r="N1103" t="s">
        <v>79</v>
      </c>
      <c r="O1103" t="s">
        <v>286</v>
      </c>
      <c r="P1103">
        <v>899.13599999999997</v>
      </c>
    </row>
    <row r="1104" spans="1:16">
      <c r="A1104" s="4">
        <v>2016</v>
      </c>
      <c r="B1104" s="4">
        <v>147851</v>
      </c>
      <c r="C1104" t="s">
        <v>871</v>
      </c>
      <c r="D1104" t="s">
        <v>3176</v>
      </c>
      <c r="E1104" t="s">
        <v>18</v>
      </c>
      <c r="F1104" t="s">
        <v>3270</v>
      </c>
      <c r="G1104" t="s">
        <v>3271</v>
      </c>
      <c r="H1104" t="s">
        <v>33</v>
      </c>
      <c r="I1104" t="s">
        <v>63</v>
      </c>
      <c r="J1104" t="s">
        <v>49</v>
      </c>
      <c r="K1104" t="s">
        <v>50</v>
      </c>
      <c r="L1104" t="s">
        <v>25</v>
      </c>
      <c r="M1104" t="s">
        <v>3275</v>
      </c>
      <c r="N1104" t="s">
        <v>27</v>
      </c>
      <c r="O1104" t="s">
        <v>101</v>
      </c>
      <c r="P1104">
        <v>10.752000000000001</v>
      </c>
    </row>
    <row r="1105" spans="1:16">
      <c r="A1105" s="4">
        <v>2017</v>
      </c>
      <c r="B1105" s="4">
        <v>133319</v>
      </c>
      <c r="C1105" t="s">
        <v>1845</v>
      </c>
      <c r="D1105" t="s">
        <v>106</v>
      </c>
      <c r="E1105" t="s">
        <v>18</v>
      </c>
      <c r="F1105" t="s">
        <v>3276</v>
      </c>
      <c r="G1105" t="s">
        <v>3277</v>
      </c>
      <c r="H1105" t="s">
        <v>33</v>
      </c>
      <c r="I1105" t="s">
        <v>97</v>
      </c>
      <c r="J1105" t="s">
        <v>49</v>
      </c>
      <c r="K1105" t="s">
        <v>50</v>
      </c>
      <c r="L1105" t="s">
        <v>25</v>
      </c>
      <c r="M1105" t="s">
        <v>3278</v>
      </c>
      <c r="N1105" t="s">
        <v>27</v>
      </c>
      <c r="O1105" t="s">
        <v>52</v>
      </c>
      <c r="P1105">
        <v>192.16</v>
      </c>
    </row>
    <row r="1106" spans="1:16">
      <c r="A1106" s="4">
        <v>2016</v>
      </c>
      <c r="B1106" s="4">
        <v>132948</v>
      </c>
      <c r="C1106" t="s">
        <v>1793</v>
      </c>
      <c r="D1106" t="s">
        <v>3279</v>
      </c>
      <c r="E1106" t="s">
        <v>18</v>
      </c>
      <c r="F1106" t="s">
        <v>3276</v>
      </c>
      <c r="G1106" t="s">
        <v>3277</v>
      </c>
      <c r="H1106" t="s">
        <v>33</v>
      </c>
      <c r="I1106" t="s">
        <v>97</v>
      </c>
      <c r="J1106" t="s">
        <v>271</v>
      </c>
      <c r="K1106" t="s">
        <v>165</v>
      </c>
      <c r="L1106" t="s">
        <v>66</v>
      </c>
      <c r="M1106" t="s">
        <v>3280</v>
      </c>
      <c r="N1106" t="s">
        <v>27</v>
      </c>
      <c r="O1106" t="s">
        <v>58</v>
      </c>
      <c r="P1106">
        <v>83.7</v>
      </c>
    </row>
    <row r="1107" spans="1:16">
      <c r="A1107" s="4">
        <v>2017</v>
      </c>
      <c r="B1107" s="4">
        <v>102981</v>
      </c>
      <c r="C1107" t="s">
        <v>1986</v>
      </c>
      <c r="D1107" t="s">
        <v>3281</v>
      </c>
      <c r="E1107" t="s">
        <v>144</v>
      </c>
      <c r="F1107" t="s">
        <v>3282</v>
      </c>
      <c r="G1107" t="s">
        <v>3283</v>
      </c>
      <c r="H1107" t="s">
        <v>21</v>
      </c>
      <c r="I1107" t="s">
        <v>97</v>
      </c>
      <c r="J1107" t="s">
        <v>49</v>
      </c>
      <c r="K1107" t="s">
        <v>50</v>
      </c>
      <c r="L1107" t="s">
        <v>25</v>
      </c>
      <c r="M1107" t="s">
        <v>3284</v>
      </c>
      <c r="N1107" t="s">
        <v>38</v>
      </c>
      <c r="O1107" t="s">
        <v>68</v>
      </c>
      <c r="P1107">
        <v>31.86</v>
      </c>
    </row>
    <row r="1108" spans="1:16">
      <c r="A1108" s="4">
        <v>2017</v>
      </c>
      <c r="B1108" s="4">
        <v>169922</v>
      </c>
      <c r="C1108" t="s">
        <v>2515</v>
      </c>
      <c r="D1108" t="s">
        <v>1470</v>
      </c>
      <c r="E1108" t="s">
        <v>18</v>
      </c>
      <c r="F1108" t="s">
        <v>3285</v>
      </c>
      <c r="G1108" t="s">
        <v>3286</v>
      </c>
      <c r="H1108" t="s">
        <v>33</v>
      </c>
      <c r="I1108" t="s">
        <v>22</v>
      </c>
      <c r="J1108" t="s">
        <v>55</v>
      </c>
      <c r="K1108" t="s">
        <v>35</v>
      </c>
      <c r="L1108" t="s">
        <v>36</v>
      </c>
      <c r="M1108" t="s">
        <v>3287</v>
      </c>
      <c r="N1108" t="s">
        <v>27</v>
      </c>
      <c r="O1108" t="s">
        <v>101</v>
      </c>
      <c r="P1108">
        <v>1.3440000000000001</v>
      </c>
    </row>
    <row r="1109" spans="1:16">
      <c r="A1109" s="4">
        <v>2016</v>
      </c>
      <c r="B1109" s="4">
        <v>125178</v>
      </c>
      <c r="C1109" t="s">
        <v>1029</v>
      </c>
      <c r="D1109" t="s">
        <v>1650</v>
      </c>
      <c r="E1109" t="s">
        <v>18</v>
      </c>
      <c r="F1109" t="s">
        <v>3285</v>
      </c>
      <c r="G1109" t="s">
        <v>3286</v>
      </c>
      <c r="H1109" t="s">
        <v>33</v>
      </c>
      <c r="I1109" t="s">
        <v>22</v>
      </c>
      <c r="J1109" t="s">
        <v>3288</v>
      </c>
      <c r="K1109" t="s">
        <v>24</v>
      </c>
      <c r="L1109" t="s">
        <v>25</v>
      </c>
      <c r="M1109" t="s">
        <v>3289</v>
      </c>
      <c r="N1109" t="s">
        <v>27</v>
      </c>
      <c r="O1109" t="s">
        <v>58</v>
      </c>
      <c r="P1109">
        <v>15.007999999999999</v>
      </c>
    </row>
    <row r="1110" spans="1:16">
      <c r="A1110" s="4">
        <v>2016</v>
      </c>
      <c r="B1110" s="4">
        <v>131457</v>
      </c>
      <c r="C1110" t="s">
        <v>1523</v>
      </c>
      <c r="D1110" t="s">
        <v>2538</v>
      </c>
      <c r="E1110" t="s">
        <v>18</v>
      </c>
      <c r="F1110" t="s">
        <v>3285</v>
      </c>
      <c r="G1110" t="s">
        <v>3286</v>
      </c>
      <c r="H1110" t="s">
        <v>33</v>
      </c>
      <c r="I1110" t="s">
        <v>22</v>
      </c>
      <c r="J1110" t="s">
        <v>3290</v>
      </c>
      <c r="K1110" t="s">
        <v>65</v>
      </c>
      <c r="L1110" t="s">
        <v>66</v>
      </c>
      <c r="M1110" t="s">
        <v>3291</v>
      </c>
      <c r="N1110" t="s">
        <v>27</v>
      </c>
      <c r="O1110" t="s">
        <v>501</v>
      </c>
      <c r="P1110">
        <v>14.28</v>
      </c>
    </row>
    <row r="1111" spans="1:16">
      <c r="A1111" s="4">
        <v>2017</v>
      </c>
      <c r="B1111" s="4">
        <v>169887</v>
      </c>
      <c r="C1111" t="s">
        <v>2026</v>
      </c>
      <c r="D1111" t="s">
        <v>2026</v>
      </c>
      <c r="E1111" t="s">
        <v>132</v>
      </c>
      <c r="F1111" t="s">
        <v>3292</v>
      </c>
      <c r="G1111" t="s">
        <v>3293</v>
      </c>
      <c r="H1111" t="s">
        <v>21</v>
      </c>
      <c r="I1111" t="s">
        <v>97</v>
      </c>
      <c r="J1111" t="s">
        <v>271</v>
      </c>
      <c r="K1111" t="s">
        <v>165</v>
      </c>
      <c r="L1111" t="s">
        <v>66</v>
      </c>
      <c r="M1111" t="s">
        <v>3294</v>
      </c>
      <c r="N1111" t="s">
        <v>27</v>
      </c>
      <c r="O1111" t="s">
        <v>52</v>
      </c>
      <c r="P1111">
        <v>6.68</v>
      </c>
    </row>
    <row r="1112" spans="1:16">
      <c r="A1112" s="4">
        <v>2018</v>
      </c>
      <c r="B1112" s="4">
        <v>139465</v>
      </c>
      <c r="C1112" t="s">
        <v>351</v>
      </c>
      <c r="D1112" t="s">
        <v>3295</v>
      </c>
      <c r="E1112" t="s">
        <v>42</v>
      </c>
      <c r="F1112" t="s">
        <v>3296</v>
      </c>
      <c r="G1112" t="s">
        <v>3297</v>
      </c>
      <c r="H1112" t="s">
        <v>33</v>
      </c>
      <c r="I1112" t="s">
        <v>63</v>
      </c>
      <c r="J1112" t="s">
        <v>49</v>
      </c>
      <c r="K1112" t="s">
        <v>50</v>
      </c>
      <c r="L1112" t="s">
        <v>25</v>
      </c>
      <c r="M1112" t="s">
        <v>3298</v>
      </c>
      <c r="N1112" t="s">
        <v>27</v>
      </c>
      <c r="O1112" t="s">
        <v>58</v>
      </c>
      <c r="P1112">
        <v>63.84</v>
      </c>
    </row>
    <row r="1113" spans="1:16">
      <c r="A1113" s="4">
        <v>2015</v>
      </c>
      <c r="B1113" s="4">
        <v>117429</v>
      </c>
      <c r="C1113" t="s">
        <v>3299</v>
      </c>
      <c r="D1113" t="s">
        <v>1917</v>
      </c>
      <c r="E1113" t="s">
        <v>18</v>
      </c>
      <c r="F1113" t="s">
        <v>3296</v>
      </c>
      <c r="G1113" t="s">
        <v>3297</v>
      </c>
      <c r="H1113" t="s">
        <v>33</v>
      </c>
      <c r="I1113" t="s">
        <v>63</v>
      </c>
      <c r="J1113" t="s">
        <v>23</v>
      </c>
      <c r="K1113" t="s">
        <v>24</v>
      </c>
      <c r="L1113" t="s">
        <v>25</v>
      </c>
      <c r="M1113" t="s">
        <v>3300</v>
      </c>
      <c r="N1113" t="s">
        <v>79</v>
      </c>
      <c r="O1113" t="s">
        <v>80</v>
      </c>
      <c r="P1113">
        <v>129.91999999999999</v>
      </c>
    </row>
    <row r="1114" spans="1:16">
      <c r="A1114" s="4">
        <v>2018</v>
      </c>
      <c r="B1114" s="4">
        <v>107727</v>
      </c>
      <c r="C1114" t="s">
        <v>659</v>
      </c>
      <c r="D1114" t="s">
        <v>2696</v>
      </c>
      <c r="E1114" t="s">
        <v>144</v>
      </c>
      <c r="F1114" t="s">
        <v>3301</v>
      </c>
      <c r="G1114" t="s">
        <v>3302</v>
      </c>
      <c r="H1114" t="s">
        <v>33</v>
      </c>
      <c r="I1114" t="s">
        <v>63</v>
      </c>
      <c r="J1114" t="s">
        <v>183</v>
      </c>
      <c r="K1114" t="s">
        <v>35</v>
      </c>
      <c r="L1114" t="s">
        <v>36</v>
      </c>
      <c r="M1114" t="s">
        <v>3303</v>
      </c>
      <c r="N1114" t="s">
        <v>27</v>
      </c>
      <c r="O1114" t="s">
        <v>52</v>
      </c>
      <c r="P1114">
        <v>29.472000000000001</v>
      </c>
    </row>
    <row r="1115" spans="1:16">
      <c r="A1115" s="4">
        <v>2016</v>
      </c>
      <c r="B1115" s="4">
        <v>130974</v>
      </c>
      <c r="C1115" t="s">
        <v>1096</v>
      </c>
      <c r="D1115" t="s">
        <v>584</v>
      </c>
      <c r="E1115" t="s">
        <v>144</v>
      </c>
      <c r="F1115" t="s">
        <v>3301</v>
      </c>
      <c r="G1115" t="s">
        <v>3302</v>
      </c>
      <c r="H1115" t="s">
        <v>33</v>
      </c>
      <c r="I1115" t="s">
        <v>63</v>
      </c>
      <c r="J1115" t="s">
        <v>1074</v>
      </c>
      <c r="K1115" t="s">
        <v>284</v>
      </c>
      <c r="L1115" t="s">
        <v>25</v>
      </c>
      <c r="M1115" t="s">
        <v>3304</v>
      </c>
      <c r="N1115" t="s">
        <v>27</v>
      </c>
      <c r="O1115" t="s">
        <v>52</v>
      </c>
      <c r="P1115">
        <v>40.08</v>
      </c>
    </row>
    <row r="1116" spans="1:16">
      <c r="A1116" s="4">
        <v>2016</v>
      </c>
      <c r="B1116" s="4">
        <v>135314</v>
      </c>
      <c r="C1116" t="s">
        <v>1008</v>
      </c>
      <c r="D1116" t="s">
        <v>2003</v>
      </c>
      <c r="E1116" t="s">
        <v>144</v>
      </c>
      <c r="F1116" t="s">
        <v>3305</v>
      </c>
      <c r="G1116" t="s">
        <v>3306</v>
      </c>
      <c r="H1116" t="s">
        <v>33</v>
      </c>
      <c r="I1116" t="s">
        <v>97</v>
      </c>
      <c r="J1116" t="s">
        <v>23</v>
      </c>
      <c r="K1116" t="s">
        <v>24</v>
      </c>
      <c r="L1116" t="s">
        <v>25</v>
      </c>
      <c r="M1116" t="s">
        <v>2429</v>
      </c>
      <c r="N1116" t="s">
        <v>38</v>
      </c>
      <c r="O1116" t="s">
        <v>118</v>
      </c>
      <c r="P1116">
        <v>269.98200000000003</v>
      </c>
    </row>
    <row r="1117" spans="1:16">
      <c r="A1117" s="4">
        <v>2016</v>
      </c>
      <c r="B1117" s="4">
        <v>125423</v>
      </c>
      <c r="C1117" t="s">
        <v>3307</v>
      </c>
      <c r="D1117" t="s">
        <v>1786</v>
      </c>
      <c r="E1117" t="s">
        <v>144</v>
      </c>
      <c r="F1117" t="s">
        <v>3305</v>
      </c>
      <c r="G1117" t="s">
        <v>3306</v>
      </c>
      <c r="H1117" t="s">
        <v>33</v>
      </c>
      <c r="I1117" t="s">
        <v>97</v>
      </c>
      <c r="J1117" t="s">
        <v>64</v>
      </c>
      <c r="K1117" t="s">
        <v>65</v>
      </c>
      <c r="L1117" t="s">
        <v>66</v>
      </c>
      <c r="M1117" t="s">
        <v>1922</v>
      </c>
      <c r="N1117" t="s">
        <v>27</v>
      </c>
      <c r="O1117" t="s">
        <v>111</v>
      </c>
      <c r="P1117">
        <v>9.9600000000000009</v>
      </c>
    </row>
    <row r="1118" spans="1:16">
      <c r="A1118" s="4">
        <v>2018</v>
      </c>
      <c r="B1118" s="4">
        <v>159597</v>
      </c>
      <c r="C1118" t="s">
        <v>975</v>
      </c>
      <c r="D1118" t="s">
        <v>1415</v>
      </c>
      <c r="E1118" t="s">
        <v>18</v>
      </c>
      <c r="F1118" t="s">
        <v>3308</v>
      </c>
      <c r="G1118" t="s">
        <v>3309</v>
      </c>
      <c r="H1118" t="s">
        <v>33</v>
      </c>
      <c r="I1118" t="s">
        <v>22</v>
      </c>
      <c r="J1118" t="s">
        <v>3310</v>
      </c>
      <c r="K1118" t="s">
        <v>65</v>
      </c>
      <c r="L1118" t="s">
        <v>66</v>
      </c>
      <c r="M1118" t="s">
        <v>3311</v>
      </c>
      <c r="N1118" t="s">
        <v>27</v>
      </c>
      <c r="O1118" t="s">
        <v>58</v>
      </c>
      <c r="P1118">
        <v>63.56</v>
      </c>
    </row>
    <row r="1119" spans="1:16">
      <c r="A1119" s="4">
        <v>2015</v>
      </c>
      <c r="B1119" s="4">
        <v>127446</v>
      </c>
      <c r="C1119" t="s">
        <v>445</v>
      </c>
      <c r="D1119" t="s">
        <v>2370</v>
      </c>
      <c r="E1119" t="s">
        <v>18</v>
      </c>
      <c r="F1119" t="s">
        <v>3308</v>
      </c>
      <c r="G1119" t="s">
        <v>3309</v>
      </c>
      <c r="H1119" t="s">
        <v>33</v>
      </c>
      <c r="I1119" t="s">
        <v>22</v>
      </c>
      <c r="J1119" t="s">
        <v>55</v>
      </c>
      <c r="K1119" t="s">
        <v>35</v>
      </c>
      <c r="L1119" t="s">
        <v>36</v>
      </c>
      <c r="M1119" t="s">
        <v>3312</v>
      </c>
      <c r="N1119" t="s">
        <v>38</v>
      </c>
      <c r="O1119" t="s">
        <v>68</v>
      </c>
      <c r="P1119">
        <v>24.672000000000001</v>
      </c>
    </row>
    <row r="1120" spans="1:16">
      <c r="A1120" s="4">
        <v>2017</v>
      </c>
      <c r="B1120" s="4">
        <v>145492</v>
      </c>
      <c r="C1120" t="s">
        <v>339</v>
      </c>
      <c r="D1120" t="s">
        <v>1452</v>
      </c>
      <c r="E1120" t="s">
        <v>18</v>
      </c>
      <c r="F1120" t="s">
        <v>3313</v>
      </c>
      <c r="G1120" t="s">
        <v>3314</v>
      </c>
      <c r="H1120" t="s">
        <v>33</v>
      </c>
      <c r="I1120" t="s">
        <v>22</v>
      </c>
      <c r="J1120" t="s">
        <v>64</v>
      </c>
      <c r="K1120" t="s">
        <v>65</v>
      </c>
      <c r="L1120" t="s">
        <v>66</v>
      </c>
      <c r="M1120" t="s">
        <v>3315</v>
      </c>
      <c r="N1120" t="s">
        <v>27</v>
      </c>
      <c r="O1120" t="s">
        <v>228</v>
      </c>
      <c r="P1120">
        <v>39</v>
      </c>
    </row>
    <row r="1121" spans="1:16">
      <c r="A1121" s="4">
        <v>2015</v>
      </c>
      <c r="B1121" s="4">
        <v>103989</v>
      </c>
      <c r="C1121" t="s">
        <v>240</v>
      </c>
      <c r="D1121" t="s">
        <v>1146</v>
      </c>
      <c r="E1121" t="s">
        <v>42</v>
      </c>
      <c r="F1121" t="s">
        <v>3313</v>
      </c>
      <c r="G1121" t="s">
        <v>3314</v>
      </c>
      <c r="H1121" t="s">
        <v>33</v>
      </c>
      <c r="I1121" t="s">
        <v>22</v>
      </c>
      <c r="J1121" t="s">
        <v>3316</v>
      </c>
      <c r="K1121" t="s">
        <v>196</v>
      </c>
      <c r="L1121" t="s">
        <v>45</v>
      </c>
      <c r="M1121" t="s">
        <v>3317</v>
      </c>
      <c r="N1121" t="s">
        <v>38</v>
      </c>
      <c r="O1121" t="s">
        <v>118</v>
      </c>
      <c r="P1121">
        <v>323.976</v>
      </c>
    </row>
    <row r="1122" spans="1:16">
      <c r="A1122" s="4">
        <v>2017</v>
      </c>
      <c r="B1122" s="4">
        <v>139010</v>
      </c>
      <c r="C1122" t="s">
        <v>3318</v>
      </c>
      <c r="D1122" t="s">
        <v>3319</v>
      </c>
      <c r="E1122" t="s">
        <v>144</v>
      </c>
      <c r="F1122" t="s">
        <v>3320</v>
      </c>
      <c r="G1122" t="s">
        <v>3321</v>
      </c>
      <c r="H1122" t="s">
        <v>21</v>
      </c>
      <c r="I1122" t="s">
        <v>22</v>
      </c>
      <c r="J1122" t="s">
        <v>64</v>
      </c>
      <c r="K1122" t="s">
        <v>65</v>
      </c>
      <c r="L1122" t="s">
        <v>66</v>
      </c>
      <c r="M1122" t="s">
        <v>3322</v>
      </c>
      <c r="N1122" t="s">
        <v>38</v>
      </c>
      <c r="O1122" t="s">
        <v>68</v>
      </c>
      <c r="P1122">
        <v>12.99</v>
      </c>
    </row>
    <row r="1123" spans="1:16">
      <c r="A1123" s="4">
        <v>2018</v>
      </c>
      <c r="B1123" s="4">
        <v>152933</v>
      </c>
      <c r="C1123" t="s">
        <v>3323</v>
      </c>
      <c r="D1123" t="s">
        <v>543</v>
      </c>
      <c r="E1123" t="s">
        <v>18</v>
      </c>
      <c r="F1123" t="s">
        <v>3324</v>
      </c>
      <c r="G1123" t="s">
        <v>3325</v>
      </c>
      <c r="H1123" t="s">
        <v>33</v>
      </c>
      <c r="I1123" t="s">
        <v>63</v>
      </c>
      <c r="J1123" t="s">
        <v>627</v>
      </c>
      <c r="K1123" t="s">
        <v>35</v>
      </c>
      <c r="L1123" t="s">
        <v>36</v>
      </c>
      <c r="M1123" t="s">
        <v>3326</v>
      </c>
      <c r="N1123" t="s">
        <v>38</v>
      </c>
      <c r="O1123" t="s">
        <v>118</v>
      </c>
      <c r="P1123">
        <v>369.54399999999998</v>
      </c>
    </row>
    <row r="1124" spans="1:16">
      <c r="A1124" s="4">
        <v>2017</v>
      </c>
      <c r="B1124" s="4">
        <v>105284</v>
      </c>
      <c r="C1124" t="s">
        <v>359</v>
      </c>
      <c r="D1124" t="s">
        <v>360</v>
      </c>
      <c r="E1124" t="s">
        <v>18</v>
      </c>
      <c r="F1124" t="s">
        <v>3324</v>
      </c>
      <c r="G1124" t="s">
        <v>3325</v>
      </c>
      <c r="H1124" t="s">
        <v>33</v>
      </c>
      <c r="I1124" t="s">
        <v>63</v>
      </c>
      <c r="J1124" t="s">
        <v>23</v>
      </c>
      <c r="K1124" t="s">
        <v>24</v>
      </c>
      <c r="L1124" t="s">
        <v>25</v>
      </c>
      <c r="M1124" t="s">
        <v>3327</v>
      </c>
      <c r="N1124" t="s">
        <v>27</v>
      </c>
      <c r="O1124" t="s">
        <v>452</v>
      </c>
      <c r="P1124">
        <v>4.4160000000000004</v>
      </c>
    </row>
    <row r="1125" spans="1:16">
      <c r="A1125" s="4">
        <v>2015</v>
      </c>
      <c r="B1125" s="4">
        <v>110072</v>
      </c>
      <c r="C1125" t="s">
        <v>3195</v>
      </c>
      <c r="D1125" t="s">
        <v>3328</v>
      </c>
      <c r="E1125" t="s">
        <v>18</v>
      </c>
      <c r="F1125" t="s">
        <v>3329</v>
      </c>
      <c r="G1125" t="s">
        <v>3330</v>
      </c>
      <c r="H1125" t="s">
        <v>33</v>
      </c>
      <c r="I1125" t="s">
        <v>63</v>
      </c>
      <c r="J1125" t="s">
        <v>987</v>
      </c>
      <c r="K1125" t="s">
        <v>237</v>
      </c>
      <c r="L1125" t="s">
        <v>25</v>
      </c>
      <c r="M1125" t="s">
        <v>2801</v>
      </c>
      <c r="N1125" t="s">
        <v>79</v>
      </c>
      <c r="O1125" t="s">
        <v>80</v>
      </c>
      <c r="P1125">
        <v>93.888000000000005</v>
      </c>
    </row>
    <row r="1126" spans="1:16">
      <c r="A1126" s="4">
        <v>2016</v>
      </c>
      <c r="B1126" s="4">
        <v>151043</v>
      </c>
      <c r="C1126" t="s">
        <v>1715</v>
      </c>
      <c r="D1126" t="s">
        <v>972</v>
      </c>
      <c r="E1126" t="s">
        <v>18</v>
      </c>
      <c r="F1126" t="s">
        <v>3329</v>
      </c>
      <c r="G1126" t="s">
        <v>3330</v>
      </c>
      <c r="H1126" t="s">
        <v>33</v>
      </c>
      <c r="I1126" t="s">
        <v>63</v>
      </c>
      <c r="J1126" t="s">
        <v>23</v>
      </c>
      <c r="K1126" t="s">
        <v>24</v>
      </c>
      <c r="L1126" t="s">
        <v>25</v>
      </c>
      <c r="M1126" t="s">
        <v>3331</v>
      </c>
      <c r="N1126" t="s">
        <v>38</v>
      </c>
      <c r="O1126" t="s">
        <v>68</v>
      </c>
      <c r="P1126">
        <v>47.984000000000002</v>
      </c>
    </row>
    <row r="1127" spans="1:16">
      <c r="A1127" s="4">
        <v>2017</v>
      </c>
      <c r="B1127" s="4">
        <v>134348</v>
      </c>
      <c r="C1127" t="s">
        <v>1354</v>
      </c>
      <c r="D1127" t="s">
        <v>1446</v>
      </c>
      <c r="E1127" t="s">
        <v>18</v>
      </c>
      <c r="F1127" t="s">
        <v>3332</v>
      </c>
      <c r="G1127" t="s">
        <v>3333</v>
      </c>
      <c r="H1127" t="s">
        <v>33</v>
      </c>
      <c r="I1127" t="s">
        <v>97</v>
      </c>
      <c r="J1127" t="s">
        <v>330</v>
      </c>
      <c r="K1127" t="s">
        <v>136</v>
      </c>
      <c r="L1127" t="s">
        <v>66</v>
      </c>
      <c r="M1127" t="s">
        <v>3334</v>
      </c>
      <c r="N1127" t="s">
        <v>27</v>
      </c>
      <c r="O1127" t="s">
        <v>101</v>
      </c>
      <c r="P1127">
        <v>6.27</v>
      </c>
    </row>
    <row r="1128" spans="1:16">
      <c r="A1128" s="4">
        <v>2017</v>
      </c>
      <c r="B1128" s="4">
        <v>119186</v>
      </c>
      <c r="C1128" t="s">
        <v>3335</v>
      </c>
      <c r="D1128" t="s">
        <v>3335</v>
      </c>
      <c r="E1128" t="s">
        <v>132</v>
      </c>
      <c r="F1128" t="s">
        <v>3332</v>
      </c>
      <c r="G1128" t="s">
        <v>3333</v>
      </c>
      <c r="H1128" t="s">
        <v>33</v>
      </c>
      <c r="I1128" t="s">
        <v>97</v>
      </c>
      <c r="J1128" t="s">
        <v>1861</v>
      </c>
      <c r="K1128" t="s">
        <v>35</v>
      </c>
      <c r="L1128" t="s">
        <v>36</v>
      </c>
      <c r="M1128" t="s">
        <v>3336</v>
      </c>
      <c r="N1128" t="s">
        <v>27</v>
      </c>
      <c r="O1128" t="s">
        <v>52</v>
      </c>
      <c r="P1128">
        <v>10.368</v>
      </c>
    </row>
    <row r="1129" spans="1:16">
      <c r="A1129" s="4">
        <v>2018</v>
      </c>
      <c r="B1129" s="4">
        <v>116645</v>
      </c>
      <c r="C1129" t="s">
        <v>82</v>
      </c>
      <c r="D1129" t="s">
        <v>1624</v>
      </c>
      <c r="E1129" t="s">
        <v>18</v>
      </c>
      <c r="F1129" t="s">
        <v>3337</v>
      </c>
      <c r="G1129" t="s">
        <v>3338</v>
      </c>
      <c r="H1129" t="s">
        <v>33</v>
      </c>
      <c r="I1129" t="s">
        <v>97</v>
      </c>
      <c r="J1129" t="s">
        <v>987</v>
      </c>
      <c r="K1129" t="s">
        <v>1392</v>
      </c>
      <c r="L1129" t="s">
        <v>25</v>
      </c>
      <c r="M1129" t="s">
        <v>3339</v>
      </c>
      <c r="N1129" t="s">
        <v>27</v>
      </c>
      <c r="O1129" t="s">
        <v>28</v>
      </c>
      <c r="P1129">
        <v>155.94</v>
      </c>
    </row>
    <row r="1130" spans="1:16">
      <c r="A1130" s="4">
        <v>2017</v>
      </c>
      <c r="B1130" s="4">
        <v>123470</v>
      </c>
      <c r="C1130" t="s">
        <v>1166</v>
      </c>
      <c r="D1130" t="s">
        <v>3340</v>
      </c>
      <c r="E1130" t="s">
        <v>18</v>
      </c>
      <c r="F1130" t="s">
        <v>3337</v>
      </c>
      <c r="G1130" t="s">
        <v>3338</v>
      </c>
      <c r="H1130" t="s">
        <v>33</v>
      </c>
      <c r="I1130" t="s">
        <v>97</v>
      </c>
      <c r="J1130" t="s">
        <v>1482</v>
      </c>
      <c r="K1130" t="s">
        <v>222</v>
      </c>
      <c r="L1130" t="s">
        <v>66</v>
      </c>
      <c r="M1130" t="s">
        <v>3341</v>
      </c>
      <c r="N1130" t="s">
        <v>27</v>
      </c>
      <c r="O1130" t="s">
        <v>101</v>
      </c>
      <c r="P1130">
        <v>18.882000000000001</v>
      </c>
    </row>
    <row r="1131" spans="1:16">
      <c r="A1131" s="4">
        <v>2017</v>
      </c>
      <c r="B1131" s="4">
        <v>113817</v>
      </c>
      <c r="C1131" t="s">
        <v>1388</v>
      </c>
      <c r="D1131" t="s">
        <v>930</v>
      </c>
      <c r="E1131" t="s">
        <v>18</v>
      </c>
      <c r="F1131" t="s">
        <v>3342</v>
      </c>
      <c r="G1131" t="s">
        <v>3343</v>
      </c>
      <c r="H1131" t="s">
        <v>33</v>
      </c>
      <c r="I1131" t="s">
        <v>97</v>
      </c>
      <c r="J1131" t="s">
        <v>271</v>
      </c>
      <c r="K1131" t="s">
        <v>165</v>
      </c>
      <c r="L1131" t="s">
        <v>66</v>
      </c>
      <c r="M1131" t="s">
        <v>3344</v>
      </c>
      <c r="N1131" t="s">
        <v>27</v>
      </c>
      <c r="O1131" t="s">
        <v>101</v>
      </c>
      <c r="P1131">
        <v>27.68</v>
      </c>
    </row>
    <row r="1132" spans="1:16">
      <c r="A1132" s="4">
        <v>2017</v>
      </c>
      <c r="B1132" s="4">
        <v>100300</v>
      </c>
      <c r="C1132" t="s">
        <v>840</v>
      </c>
      <c r="D1132" t="s">
        <v>255</v>
      </c>
      <c r="E1132" t="s">
        <v>144</v>
      </c>
      <c r="F1132" t="s">
        <v>3342</v>
      </c>
      <c r="G1132" t="s">
        <v>3343</v>
      </c>
      <c r="H1132" t="s">
        <v>33</v>
      </c>
      <c r="I1132" t="s">
        <v>97</v>
      </c>
      <c r="J1132" t="s">
        <v>630</v>
      </c>
      <c r="K1132" t="s">
        <v>65</v>
      </c>
      <c r="L1132" t="s">
        <v>66</v>
      </c>
      <c r="M1132" t="s">
        <v>3345</v>
      </c>
      <c r="N1132" t="s">
        <v>38</v>
      </c>
      <c r="O1132" t="s">
        <v>39</v>
      </c>
      <c r="P1132">
        <v>4476.8</v>
      </c>
    </row>
    <row r="1133" spans="1:16">
      <c r="A1133" s="4">
        <v>2017</v>
      </c>
      <c r="B1133" s="4">
        <v>124149</v>
      </c>
      <c r="C1133" t="s">
        <v>2279</v>
      </c>
      <c r="D1133" t="s">
        <v>1776</v>
      </c>
      <c r="E1133" t="s">
        <v>42</v>
      </c>
      <c r="F1133" t="s">
        <v>3342</v>
      </c>
      <c r="G1133" t="s">
        <v>3343</v>
      </c>
      <c r="H1133" t="s">
        <v>33</v>
      </c>
      <c r="I1133" t="s">
        <v>97</v>
      </c>
      <c r="J1133" t="s">
        <v>884</v>
      </c>
      <c r="K1133" t="s">
        <v>237</v>
      </c>
      <c r="L1133" t="s">
        <v>25</v>
      </c>
      <c r="M1133" t="s">
        <v>3346</v>
      </c>
      <c r="N1133" t="s">
        <v>27</v>
      </c>
      <c r="O1133" t="s">
        <v>52</v>
      </c>
      <c r="P1133">
        <v>108.336</v>
      </c>
    </row>
    <row r="1134" spans="1:16">
      <c r="A1134" s="4">
        <v>2018</v>
      </c>
      <c r="B1134" s="4">
        <v>140242</v>
      </c>
      <c r="C1134" t="s">
        <v>1144</v>
      </c>
      <c r="D1134" t="s">
        <v>1860</v>
      </c>
      <c r="E1134" t="s">
        <v>18</v>
      </c>
      <c r="F1134" t="s">
        <v>3347</v>
      </c>
      <c r="G1134" t="s">
        <v>3348</v>
      </c>
      <c r="H1134" t="s">
        <v>33</v>
      </c>
      <c r="I1134" t="s">
        <v>63</v>
      </c>
      <c r="J1134" t="s">
        <v>108</v>
      </c>
      <c r="K1134" t="s">
        <v>109</v>
      </c>
      <c r="L1134" t="s">
        <v>36</v>
      </c>
      <c r="M1134" t="s">
        <v>3349</v>
      </c>
      <c r="N1134" t="s">
        <v>27</v>
      </c>
      <c r="O1134" t="s">
        <v>28</v>
      </c>
      <c r="P1134">
        <v>6.4080000000000004</v>
      </c>
    </row>
    <row r="1135" spans="1:16">
      <c r="A1135" s="4">
        <v>2018</v>
      </c>
      <c r="B1135" s="4">
        <v>143455</v>
      </c>
      <c r="C1135" t="s">
        <v>2021</v>
      </c>
      <c r="D1135" t="s">
        <v>608</v>
      </c>
      <c r="E1135" t="s">
        <v>18</v>
      </c>
      <c r="F1135" t="s">
        <v>3347</v>
      </c>
      <c r="G1135" t="s">
        <v>3348</v>
      </c>
      <c r="H1135" t="s">
        <v>33</v>
      </c>
      <c r="I1135" t="s">
        <v>63</v>
      </c>
      <c r="J1135" t="s">
        <v>98</v>
      </c>
      <c r="K1135" t="s">
        <v>237</v>
      </c>
      <c r="L1135" t="s">
        <v>25</v>
      </c>
      <c r="M1135" t="s">
        <v>3350</v>
      </c>
      <c r="N1135" t="s">
        <v>27</v>
      </c>
      <c r="O1135" t="s">
        <v>52</v>
      </c>
      <c r="P1135">
        <v>10.368</v>
      </c>
    </row>
    <row r="1136" spans="1:16">
      <c r="A1136" s="4">
        <v>2017</v>
      </c>
      <c r="B1136" s="4">
        <v>144547</v>
      </c>
      <c r="C1136" t="s">
        <v>277</v>
      </c>
      <c r="D1136" t="s">
        <v>315</v>
      </c>
      <c r="E1136" t="s">
        <v>18</v>
      </c>
      <c r="F1136" t="s">
        <v>3351</v>
      </c>
      <c r="G1136" t="s">
        <v>3352</v>
      </c>
      <c r="H1136" t="s">
        <v>33</v>
      </c>
      <c r="I1136" t="s">
        <v>97</v>
      </c>
      <c r="J1136" t="s">
        <v>183</v>
      </c>
      <c r="K1136" t="s">
        <v>35</v>
      </c>
      <c r="L1136" t="s">
        <v>36</v>
      </c>
      <c r="M1136" t="s">
        <v>3353</v>
      </c>
      <c r="N1136" t="s">
        <v>38</v>
      </c>
      <c r="O1136" t="s">
        <v>68</v>
      </c>
      <c r="P1136">
        <v>279.94400000000002</v>
      </c>
    </row>
    <row r="1137" spans="1:16">
      <c r="A1137" s="4">
        <v>2017</v>
      </c>
      <c r="B1137" s="4">
        <v>150350</v>
      </c>
      <c r="C1137" t="s">
        <v>1824</v>
      </c>
      <c r="D1137" t="s">
        <v>3354</v>
      </c>
      <c r="E1137" t="s">
        <v>18</v>
      </c>
      <c r="F1137" t="s">
        <v>3351</v>
      </c>
      <c r="G1137" t="s">
        <v>3352</v>
      </c>
      <c r="H1137" t="s">
        <v>33</v>
      </c>
      <c r="I1137" t="s">
        <v>97</v>
      </c>
      <c r="J1137" t="s">
        <v>271</v>
      </c>
      <c r="K1137" t="s">
        <v>165</v>
      </c>
      <c r="L1137" t="s">
        <v>66</v>
      </c>
      <c r="M1137" t="s">
        <v>2057</v>
      </c>
      <c r="N1137" t="s">
        <v>38</v>
      </c>
      <c r="O1137" t="s">
        <v>39</v>
      </c>
      <c r="P1137">
        <v>837.6</v>
      </c>
    </row>
    <row r="1138" spans="1:16">
      <c r="A1138" s="4">
        <v>2015</v>
      </c>
      <c r="B1138" s="4">
        <v>119032</v>
      </c>
      <c r="C1138" t="s">
        <v>2483</v>
      </c>
      <c r="D1138" t="s">
        <v>458</v>
      </c>
      <c r="E1138" t="s">
        <v>18</v>
      </c>
      <c r="F1138" t="s">
        <v>3351</v>
      </c>
      <c r="G1138" t="s">
        <v>3352</v>
      </c>
      <c r="H1138" t="s">
        <v>33</v>
      </c>
      <c r="I1138" t="s">
        <v>97</v>
      </c>
      <c r="J1138" t="s">
        <v>49</v>
      </c>
      <c r="K1138" t="s">
        <v>50</v>
      </c>
      <c r="L1138" t="s">
        <v>25</v>
      </c>
      <c r="M1138" t="s">
        <v>3355</v>
      </c>
      <c r="N1138" t="s">
        <v>27</v>
      </c>
      <c r="O1138" t="s">
        <v>452</v>
      </c>
      <c r="P1138">
        <v>3.76</v>
      </c>
    </row>
    <row r="1139" spans="1:16">
      <c r="A1139" s="4">
        <v>2017</v>
      </c>
      <c r="B1139" s="4">
        <v>108959</v>
      </c>
      <c r="C1139" t="s">
        <v>1126</v>
      </c>
      <c r="D1139" t="s">
        <v>2417</v>
      </c>
      <c r="E1139" t="s">
        <v>144</v>
      </c>
      <c r="F1139" t="s">
        <v>3356</v>
      </c>
      <c r="G1139" t="s">
        <v>3357</v>
      </c>
      <c r="H1139" t="s">
        <v>33</v>
      </c>
      <c r="I1139" t="s">
        <v>22</v>
      </c>
      <c r="J1139" t="s">
        <v>595</v>
      </c>
      <c r="K1139" t="s">
        <v>136</v>
      </c>
      <c r="L1139" t="s">
        <v>66</v>
      </c>
      <c r="M1139" t="s">
        <v>3358</v>
      </c>
      <c r="N1139" t="s">
        <v>27</v>
      </c>
      <c r="O1139" t="s">
        <v>58</v>
      </c>
      <c r="P1139">
        <v>104.696</v>
      </c>
    </row>
    <row r="1140" spans="1:16">
      <c r="A1140" s="4">
        <v>2016</v>
      </c>
      <c r="B1140" s="4">
        <v>154144</v>
      </c>
      <c r="C1140" t="s">
        <v>600</v>
      </c>
      <c r="D1140" t="s">
        <v>1666</v>
      </c>
      <c r="E1140" t="s">
        <v>18</v>
      </c>
      <c r="F1140" t="s">
        <v>3356</v>
      </c>
      <c r="G1140" t="s">
        <v>3357</v>
      </c>
      <c r="H1140" t="s">
        <v>33</v>
      </c>
      <c r="I1140" t="s">
        <v>22</v>
      </c>
      <c r="J1140" t="s">
        <v>3359</v>
      </c>
      <c r="K1140" t="s">
        <v>50</v>
      </c>
      <c r="L1140" t="s">
        <v>25</v>
      </c>
      <c r="M1140" t="s">
        <v>3360</v>
      </c>
      <c r="N1140" t="s">
        <v>27</v>
      </c>
      <c r="O1140" t="s">
        <v>52</v>
      </c>
      <c r="P1140">
        <v>55.48</v>
      </c>
    </row>
    <row r="1141" spans="1:16">
      <c r="A1141" s="4">
        <v>2015</v>
      </c>
      <c r="B1141" s="4">
        <v>124429</v>
      </c>
      <c r="C1141" t="s">
        <v>402</v>
      </c>
      <c r="D1141" t="s">
        <v>402</v>
      </c>
      <c r="E1141" t="s">
        <v>132</v>
      </c>
      <c r="F1141" t="s">
        <v>3356</v>
      </c>
      <c r="G1141" t="s">
        <v>3357</v>
      </c>
      <c r="H1141" t="s">
        <v>33</v>
      </c>
      <c r="I1141" t="s">
        <v>22</v>
      </c>
      <c r="J1141" t="s">
        <v>630</v>
      </c>
      <c r="K1141" t="s">
        <v>65</v>
      </c>
      <c r="L1141" t="s">
        <v>66</v>
      </c>
      <c r="M1141" t="s">
        <v>3361</v>
      </c>
      <c r="N1141" t="s">
        <v>79</v>
      </c>
      <c r="O1141" t="s">
        <v>347</v>
      </c>
      <c r="P1141">
        <v>567.12</v>
      </c>
    </row>
    <row r="1142" spans="1:16">
      <c r="A1142" s="4">
        <v>2018</v>
      </c>
      <c r="B1142" s="4">
        <v>163020</v>
      </c>
      <c r="C1142" t="s">
        <v>702</v>
      </c>
      <c r="D1142" t="s">
        <v>926</v>
      </c>
      <c r="E1142" t="s">
        <v>18</v>
      </c>
      <c r="F1142" t="s">
        <v>3362</v>
      </c>
      <c r="G1142" t="s">
        <v>3363</v>
      </c>
      <c r="H1142" t="s">
        <v>33</v>
      </c>
      <c r="I1142" t="s">
        <v>63</v>
      </c>
      <c r="J1142" t="s">
        <v>49</v>
      </c>
      <c r="K1142" t="s">
        <v>50</v>
      </c>
      <c r="L1142" t="s">
        <v>25</v>
      </c>
      <c r="M1142" t="s">
        <v>3364</v>
      </c>
      <c r="N1142" t="s">
        <v>79</v>
      </c>
      <c r="O1142" t="s">
        <v>80</v>
      </c>
      <c r="P1142">
        <v>35.56</v>
      </c>
    </row>
    <row r="1143" spans="1:16">
      <c r="A1143" s="4">
        <v>2016</v>
      </c>
      <c r="B1143" s="4">
        <v>139094</v>
      </c>
      <c r="C1143" t="s">
        <v>418</v>
      </c>
      <c r="D1143" t="s">
        <v>1096</v>
      </c>
      <c r="E1143" t="s">
        <v>18</v>
      </c>
      <c r="F1143" t="s">
        <v>3362</v>
      </c>
      <c r="G1143" t="s">
        <v>3363</v>
      </c>
      <c r="H1143" t="s">
        <v>33</v>
      </c>
      <c r="I1143" t="s">
        <v>63</v>
      </c>
      <c r="J1143" t="s">
        <v>738</v>
      </c>
      <c r="K1143" t="s">
        <v>35</v>
      </c>
      <c r="L1143" t="s">
        <v>36</v>
      </c>
      <c r="M1143" t="s">
        <v>3365</v>
      </c>
      <c r="N1143" t="s">
        <v>79</v>
      </c>
      <c r="O1143" t="s">
        <v>347</v>
      </c>
      <c r="P1143">
        <v>206.96199999999999</v>
      </c>
    </row>
    <row r="1144" spans="1:16">
      <c r="A1144" s="4">
        <v>2017</v>
      </c>
      <c r="B1144" s="4">
        <v>128727</v>
      </c>
      <c r="C1144" t="s">
        <v>69</v>
      </c>
      <c r="D1144" t="s">
        <v>1516</v>
      </c>
      <c r="E1144" t="s">
        <v>18</v>
      </c>
      <c r="F1144" t="s">
        <v>3362</v>
      </c>
      <c r="G1144" t="s">
        <v>3363</v>
      </c>
      <c r="H1144" t="s">
        <v>33</v>
      </c>
      <c r="I1144" t="s">
        <v>63</v>
      </c>
      <c r="J1144" t="s">
        <v>49</v>
      </c>
      <c r="K1144" t="s">
        <v>50</v>
      </c>
      <c r="L1144" t="s">
        <v>25</v>
      </c>
      <c r="M1144" t="s">
        <v>2215</v>
      </c>
      <c r="N1144" t="s">
        <v>38</v>
      </c>
      <c r="O1144" t="s">
        <v>118</v>
      </c>
      <c r="P1144">
        <v>22</v>
      </c>
    </row>
    <row r="1145" spans="1:16">
      <c r="A1145" s="4">
        <v>2018</v>
      </c>
      <c r="B1145" s="4">
        <v>157931</v>
      </c>
      <c r="C1145" t="s">
        <v>212</v>
      </c>
      <c r="D1145" t="s">
        <v>698</v>
      </c>
      <c r="E1145" t="s">
        <v>144</v>
      </c>
      <c r="F1145" t="s">
        <v>3362</v>
      </c>
      <c r="G1145" t="s">
        <v>3363</v>
      </c>
      <c r="H1145" t="s">
        <v>33</v>
      </c>
      <c r="I1145" t="s">
        <v>63</v>
      </c>
      <c r="J1145" t="s">
        <v>1774</v>
      </c>
      <c r="K1145" t="s">
        <v>86</v>
      </c>
      <c r="L1145" t="s">
        <v>45</v>
      </c>
      <c r="M1145" t="s">
        <v>3366</v>
      </c>
      <c r="N1145" t="s">
        <v>79</v>
      </c>
      <c r="O1145" t="s">
        <v>138</v>
      </c>
      <c r="P1145">
        <v>723.92</v>
      </c>
    </row>
    <row r="1146" spans="1:16">
      <c r="A1146" s="4">
        <v>2016</v>
      </c>
      <c r="B1146" s="4">
        <v>133025</v>
      </c>
      <c r="C1146" t="s">
        <v>1124</v>
      </c>
      <c r="D1146" t="s">
        <v>1279</v>
      </c>
      <c r="E1146" t="s">
        <v>144</v>
      </c>
      <c r="F1146" t="s">
        <v>3362</v>
      </c>
      <c r="G1146" t="s">
        <v>3363</v>
      </c>
      <c r="H1146" t="s">
        <v>33</v>
      </c>
      <c r="I1146" t="s">
        <v>63</v>
      </c>
      <c r="J1146" t="s">
        <v>64</v>
      </c>
      <c r="K1146" t="s">
        <v>65</v>
      </c>
      <c r="L1146" t="s">
        <v>66</v>
      </c>
      <c r="M1146" t="s">
        <v>1899</v>
      </c>
      <c r="N1146" t="s">
        <v>27</v>
      </c>
      <c r="O1146" t="s">
        <v>52</v>
      </c>
      <c r="P1146">
        <v>32.4</v>
      </c>
    </row>
    <row r="1147" spans="1:16">
      <c r="A1147" s="4">
        <v>2018</v>
      </c>
      <c r="B1147" s="4">
        <v>106663</v>
      </c>
      <c r="C1147" t="s">
        <v>3367</v>
      </c>
      <c r="D1147" t="s">
        <v>776</v>
      </c>
      <c r="E1147" t="s">
        <v>18</v>
      </c>
      <c r="F1147" t="s">
        <v>3362</v>
      </c>
      <c r="G1147" t="s">
        <v>3363</v>
      </c>
      <c r="H1147" t="s">
        <v>33</v>
      </c>
      <c r="I1147" t="s">
        <v>63</v>
      </c>
      <c r="J1147" t="s">
        <v>108</v>
      </c>
      <c r="K1147" t="s">
        <v>109</v>
      </c>
      <c r="L1147" t="s">
        <v>36</v>
      </c>
      <c r="M1147" t="s">
        <v>3368</v>
      </c>
      <c r="N1147" t="s">
        <v>79</v>
      </c>
      <c r="O1147" t="s">
        <v>80</v>
      </c>
      <c r="P1147">
        <v>23.975999999999999</v>
      </c>
    </row>
    <row r="1148" spans="1:16">
      <c r="A1148" s="4">
        <v>2017</v>
      </c>
      <c r="B1148" s="4">
        <v>104157</v>
      </c>
      <c r="C1148" t="s">
        <v>1338</v>
      </c>
      <c r="D1148" t="s">
        <v>3009</v>
      </c>
      <c r="E1148" t="s">
        <v>18</v>
      </c>
      <c r="F1148" t="s">
        <v>3369</v>
      </c>
      <c r="G1148" t="s">
        <v>3370</v>
      </c>
      <c r="H1148" t="s">
        <v>33</v>
      </c>
      <c r="I1148" t="s">
        <v>97</v>
      </c>
      <c r="J1148" t="s">
        <v>854</v>
      </c>
      <c r="K1148" t="s">
        <v>1444</v>
      </c>
      <c r="L1148" t="s">
        <v>45</v>
      </c>
      <c r="M1148" t="s">
        <v>3371</v>
      </c>
      <c r="N1148" t="s">
        <v>27</v>
      </c>
      <c r="O1148" t="s">
        <v>58</v>
      </c>
      <c r="P1148">
        <v>7.89</v>
      </c>
    </row>
    <row r="1149" spans="1:16">
      <c r="A1149" s="4">
        <v>2016</v>
      </c>
      <c r="B1149" s="4">
        <v>105312</v>
      </c>
      <c r="C1149" t="s">
        <v>2538</v>
      </c>
      <c r="D1149" t="s">
        <v>93</v>
      </c>
      <c r="E1149" t="s">
        <v>42</v>
      </c>
      <c r="F1149" t="s">
        <v>3369</v>
      </c>
      <c r="G1149" t="s">
        <v>3370</v>
      </c>
      <c r="H1149" t="s">
        <v>33</v>
      </c>
      <c r="I1149" t="s">
        <v>97</v>
      </c>
      <c r="J1149" t="s">
        <v>547</v>
      </c>
      <c r="K1149" t="s">
        <v>136</v>
      </c>
      <c r="L1149" t="s">
        <v>66</v>
      </c>
      <c r="M1149" t="s">
        <v>3372</v>
      </c>
      <c r="N1149" t="s">
        <v>27</v>
      </c>
      <c r="O1149" t="s">
        <v>501</v>
      </c>
      <c r="P1149">
        <v>7.08</v>
      </c>
    </row>
    <row r="1150" spans="1:16">
      <c r="A1150" s="4">
        <v>2015</v>
      </c>
      <c r="B1150" s="4">
        <v>135405</v>
      </c>
      <c r="C1150" t="s">
        <v>3373</v>
      </c>
      <c r="D1150" t="s">
        <v>3374</v>
      </c>
      <c r="E1150" t="s">
        <v>18</v>
      </c>
      <c r="F1150" t="s">
        <v>3375</v>
      </c>
      <c r="G1150" t="s">
        <v>3376</v>
      </c>
      <c r="H1150" t="s">
        <v>21</v>
      </c>
      <c r="I1150" t="s">
        <v>97</v>
      </c>
      <c r="J1150" t="s">
        <v>3377</v>
      </c>
      <c r="K1150" t="s">
        <v>35</v>
      </c>
      <c r="L1150" t="s">
        <v>36</v>
      </c>
      <c r="M1150" t="s">
        <v>3378</v>
      </c>
      <c r="N1150" t="s">
        <v>27</v>
      </c>
      <c r="O1150" t="s">
        <v>28</v>
      </c>
      <c r="P1150">
        <v>9.3439999999999994</v>
      </c>
    </row>
    <row r="1151" spans="1:16">
      <c r="A1151" s="4">
        <v>2017</v>
      </c>
      <c r="B1151" s="4">
        <v>116337</v>
      </c>
      <c r="C1151" t="s">
        <v>1388</v>
      </c>
      <c r="D1151" t="s">
        <v>1354</v>
      </c>
      <c r="E1151" t="s">
        <v>18</v>
      </c>
      <c r="F1151" t="s">
        <v>3379</v>
      </c>
      <c r="G1151" t="s">
        <v>3380</v>
      </c>
      <c r="H1151" t="s">
        <v>33</v>
      </c>
      <c r="I1151" t="s">
        <v>97</v>
      </c>
      <c r="J1151" t="s">
        <v>627</v>
      </c>
      <c r="K1151" t="s">
        <v>35</v>
      </c>
      <c r="L1151" t="s">
        <v>36</v>
      </c>
      <c r="M1151" t="s">
        <v>3381</v>
      </c>
      <c r="N1151" t="s">
        <v>79</v>
      </c>
      <c r="O1151" t="s">
        <v>80</v>
      </c>
      <c r="P1151">
        <v>44.46</v>
      </c>
    </row>
    <row r="1152" spans="1:16">
      <c r="A1152" s="4">
        <v>2017</v>
      </c>
      <c r="B1152" s="4">
        <v>146143</v>
      </c>
      <c r="C1152" t="s">
        <v>1533</v>
      </c>
      <c r="D1152" t="s">
        <v>2090</v>
      </c>
      <c r="E1152" t="s">
        <v>18</v>
      </c>
      <c r="F1152" t="s">
        <v>3379</v>
      </c>
      <c r="G1152" t="s">
        <v>3380</v>
      </c>
      <c r="H1152" t="s">
        <v>33</v>
      </c>
      <c r="I1152" t="s">
        <v>97</v>
      </c>
      <c r="J1152" t="s">
        <v>854</v>
      </c>
      <c r="K1152" t="s">
        <v>1444</v>
      </c>
      <c r="L1152" t="s">
        <v>45</v>
      </c>
      <c r="M1152" t="s">
        <v>3382</v>
      </c>
      <c r="N1152" t="s">
        <v>79</v>
      </c>
      <c r="O1152" t="s">
        <v>80</v>
      </c>
      <c r="P1152">
        <v>133.38</v>
      </c>
    </row>
    <row r="1153" spans="1:16">
      <c r="A1153" s="4">
        <v>2018</v>
      </c>
      <c r="B1153" s="4">
        <v>128447</v>
      </c>
      <c r="C1153" t="s">
        <v>1346</v>
      </c>
      <c r="D1153" t="s">
        <v>1312</v>
      </c>
      <c r="E1153" t="s">
        <v>18</v>
      </c>
      <c r="F1153" t="s">
        <v>3379</v>
      </c>
      <c r="G1153" t="s">
        <v>3380</v>
      </c>
      <c r="H1153" t="s">
        <v>33</v>
      </c>
      <c r="I1153" t="s">
        <v>97</v>
      </c>
      <c r="J1153" t="s">
        <v>3383</v>
      </c>
      <c r="K1153" t="s">
        <v>165</v>
      </c>
      <c r="L1153" t="s">
        <v>66</v>
      </c>
      <c r="M1153" t="s">
        <v>3241</v>
      </c>
      <c r="N1153" t="s">
        <v>27</v>
      </c>
      <c r="O1153" t="s">
        <v>228</v>
      </c>
      <c r="P1153">
        <v>400.8</v>
      </c>
    </row>
    <row r="1154" spans="1:16">
      <c r="A1154" s="4">
        <v>2018</v>
      </c>
      <c r="B1154" s="4">
        <v>102638</v>
      </c>
      <c r="C1154" t="s">
        <v>425</v>
      </c>
      <c r="D1154" t="s">
        <v>2498</v>
      </c>
      <c r="E1154" t="s">
        <v>42</v>
      </c>
      <c r="F1154" t="s">
        <v>3379</v>
      </c>
      <c r="G1154" t="s">
        <v>3380</v>
      </c>
      <c r="H1154" t="s">
        <v>33</v>
      </c>
      <c r="I1154" t="s">
        <v>97</v>
      </c>
      <c r="J1154" t="s">
        <v>49</v>
      </c>
      <c r="K1154" t="s">
        <v>50</v>
      </c>
      <c r="L1154" t="s">
        <v>25</v>
      </c>
      <c r="M1154" t="s">
        <v>3384</v>
      </c>
      <c r="N1154" t="s">
        <v>27</v>
      </c>
      <c r="O1154" t="s">
        <v>452</v>
      </c>
      <c r="P1154">
        <v>6.03</v>
      </c>
    </row>
    <row r="1155" spans="1:16">
      <c r="A1155" s="4">
        <v>2015</v>
      </c>
      <c r="B1155" s="4">
        <v>157784</v>
      </c>
      <c r="C1155" t="s">
        <v>2393</v>
      </c>
      <c r="D1155" t="s">
        <v>1931</v>
      </c>
      <c r="E1155" t="s">
        <v>42</v>
      </c>
      <c r="F1155" t="s">
        <v>3379</v>
      </c>
      <c r="G1155" t="s">
        <v>3380</v>
      </c>
      <c r="H1155" t="s">
        <v>33</v>
      </c>
      <c r="I1155" t="s">
        <v>97</v>
      </c>
      <c r="J1155" t="s">
        <v>854</v>
      </c>
      <c r="K1155" t="s">
        <v>1444</v>
      </c>
      <c r="L1155" t="s">
        <v>45</v>
      </c>
      <c r="M1155" t="s">
        <v>3385</v>
      </c>
      <c r="N1155" t="s">
        <v>38</v>
      </c>
      <c r="O1155" t="s">
        <v>68</v>
      </c>
      <c r="P1155">
        <v>479.97</v>
      </c>
    </row>
    <row r="1156" spans="1:16">
      <c r="A1156" s="4">
        <v>2018</v>
      </c>
      <c r="B1156" s="4">
        <v>148446</v>
      </c>
      <c r="C1156" t="s">
        <v>299</v>
      </c>
      <c r="D1156" t="s">
        <v>432</v>
      </c>
      <c r="E1156" t="s">
        <v>144</v>
      </c>
      <c r="F1156" t="s">
        <v>3379</v>
      </c>
      <c r="G1156" t="s">
        <v>3380</v>
      </c>
      <c r="H1156" t="s">
        <v>33</v>
      </c>
      <c r="I1156" t="s">
        <v>97</v>
      </c>
      <c r="J1156" t="s">
        <v>2475</v>
      </c>
      <c r="K1156" t="s">
        <v>91</v>
      </c>
      <c r="L1156" t="s">
        <v>66</v>
      </c>
      <c r="M1156" t="s">
        <v>3386</v>
      </c>
      <c r="N1156" t="s">
        <v>79</v>
      </c>
      <c r="O1156" t="s">
        <v>347</v>
      </c>
      <c r="P1156">
        <v>1669.6</v>
      </c>
    </row>
    <row r="1157" spans="1:16">
      <c r="A1157" s="4">
        <v>2018</v>
      </c>
      <c r="B1157" s="4">
        <v>104024</v>
      </c>
      <c r="C1157" t="s">
        <v>2322</v>
      </c>
      <c r="D1157" t="s">
        <v>625</v>
      </c>
      <c r="E1157" t="s">
        <v>144</v>
      </c>
      <c r="F1157" t="s">
        <v>3387</v>
      </c>
      <c r="G1157" t="s">
        <v>3388</v>
      </c>
      <c r="H1157" t="s">
        <v>21</v>
      </c>
      <c r="I1157" t="s">
        <v>22</v>
      </c>
      <c r="J1157" t="s">
        <v>23</v>
      </c>
      <c r="K1157" t="s">
        <v>24</v>
      </c>
      <c r="L1157" t="s">
        <v>25</v>
      </c>
      <c r="M1157" t="s">
        <v>2057</v>
      </c>
      <c r="N1157" t="s">
        <v>27</v>
      </c>
      <c r="O1157" t="s">
        <v>28</v>
      </c>
      <c r="P1157">
        <v>9.4079999999999995</v>
      </c>
    </row>
    <row r="1158" spans="1:16">
      <c r="A1158" s="4">
        <v>2017</v>
      </c>
      <c r="B1158" s="4">
        <v>131499</v>
      </c>
      <c r="C1158" t="s">
        <v>485</v>
      </c>
      <c r="D1158" t="s">
        <v>486</v>
      </c>
      <c r="E1158" t="s">
        <v>42</v>
      </c>
      <c r="F1158" t="s">
        <v>3389</v>
      </c>
      <c r="G1158" t="s">
        <v>3390</v>
      </c>
      <c r="H1158" t="s">
        <v>33</v>
      </c>
      <c r="I1158" t="s">
        <v>63</v>
      </c>
      <c r="J1158" t="s">
        <v>49</v>
      </c>
      <c r="K1158" t="s">
        <v>50</v>
      </c>
      <c r="L1158" t="s">
        <v>25</v>
      </c>
      <c r="M1158" t="s">
        <v>3391</v>
      </c>
      <c r="N1158" t="s">
        <v>27</v>
      </c>
      <c r="O1158" t="s">
        <v>228</v>
      </c>
      <c r="P1158">
        <v>207.48</v>
      </c>
    </row>
    <row r="1159" spans="1:16">
      <c r="A1159" s="4">
        <v>2016</v>
      </c>
      <c r="B1159" s="4">
        <v>124975</v>
      </c>
      <c r="C1159" t="s">
        <v>3021</v>
      </c>
      <c r="D1159" t="s">
        <v>167</v>
      </c>
      <c r="E1159" t="s">
        <v>42</v>
      </c>
      <c r="F1159" t="s">
        <v>3389</v>
      </c>
      <c r="G1159" t="s">
        <v>3390</v>
      </c>
      <c r="H1159" t="s">
        <v>33</v>
      </c>
      <c r="I1159" t="s">
        <v>63</v>
      </c>
      <c r="J1159" t="s">
        <v>1482</v>
      </c>
      <c r="K1159" t="s">
        <v>109</v>
      </c>
      <c r="L1159" t="s">
        <v>36</v>
      </c>
      <c r="M1159" t="s">
        <v>3392</v>
      </c>
      <c r="N1159" t="s">
        <v>79</v>
      </c>
      <c r="O1159" t="s">
        <v>347</v>
      </c>
      <c r="P1159">
        <v>796.42499999999995</v>
      </c>
    </row>
    <row r="1160" spans="1:16">
      <c r="A1160" s="4">
        <v>2018</v>
      </c>
      <c r="B1160" s="4">
        <v>136672</v>
      </c>
      <c r="C1160" t="s">
        <v>3393</v>
      </c>
      <c r="D1160" t="s">
        <v>3394</v>
      </c>
      <c r="E1160" t="s">
        <v>18</v>
      </c>
      <c r="F1160" t="s">
        <v>3395</v>
      </c>
      <c r="G1160" t="s">
        <v>3396</v>
      </c>
      <c r="H1160" t="s">
        <v>33</v>
      </c>
      <c r="I1160" t="s">
        <v>63</v>
      </c>
      <c r="J1160" t="s">
        <v>907</v>
      </c>
      <c r="K1160" t="s">
        <v>706</v>
      </c>
      <c r="L1160" t="s">
        <v>25</v>
      </c>
      <c r="M1160" t="s">
        <v>3397</v>
      </c>
      <c r="N1160" t="s">
        <v>38</v>
      </c>
      <c r="O1160" t="s">
        <v>68</v>
      </c>
      <c r="P1160">
        <v>49.08</v>
      </c>
    </row>
    <row r="1161" spans="1:16">
      <c r="A1161" s="4">
        <v>2015</v>
      </c>
      <c r="B1161" s="4">
        <v>118276</v>
      </c>
      <c r="C1161" t="s">
        <v>569</v>
      </c>
      <c r="D1161" t="s">
        <v>570</v>
      </c>
      <c r="E1161" t="s">
        <v>18</v>
      </c>
      <c r="F1161" t="s">
        <v>3395</v>
      </c>
      <c r="G1161" t="s">
        <v>3396</v>
      </c>
      <c r="H1161" t="s">
        <v>33</v>
      </c>
      <c r="I1161" t="s">
        <v>63</v>
      </c>
      <c r="J1161" t="s">
        <v>937</v>
      </c>
      <c r="K1161" t="s">
        <v>109</v>
      </c>
      <c r="L1161" t="s">
        <v>36</v>
      </c>
      <c r="M1161" t="s">
        <v>3398</v>
      </c>
      <c r="N1161" t="s">
        <v>79</v>
      </c>
      <c r="O1161" t="s">
        <v>80</v>
      </c>
      <c r="P1161">
        <v>8.7360000000000007</v>
      </c>
    </row>
    <row r="1162" spans="1:16">
      <c r="A1162" s="4">
        <v>2017</v>
      </c>
      <c r="B1162" s="4">
        <v>154053</v>
      </c>
      <c r="C1162" t="s">
        <v>3098</v>
      </c>
      <c r="D1162" t="s">
        <v>1126</v>
      </c>
      <c r="E1162" t="s">
        <v>18</v>
      </c>
      <c r="F1162" t="s">
        <v>3395</v>
      </c>
      <c r="G1162" t="s">
        <v>3396</v>
      </c>
      <c r="H1162" t="s">
        <v>33</v>
      </c>
      <c r="I1162" t="s">
        <v>63</v>
      </c>
      <c r="J1162" t="s">
        <v>630</v>
      </c>
      <c r="K1162" t="s">
        <v>65</v>
      </c>
      <c r="L1162" t="s">
        <v>66</v>
      </c>
      <c r="M1162" t="s">
        <v>3334</v>
      </c>
      <c r="N1162" t="s">
        <v>27</v>
      </c>
      <c r="O1162" t="s">
        <v>28</v>
      </c>
      <c r="P1162">
        <v>16.989999999999998</v>
      </c>
    </row>
    <row r="1163" spans="1:16">
      <c r="A1163" s="4">
        <v>2017</v>
      </c>
      <c r="B1163" s="4">
        <v>155516</v>
      </c>
      <c r="C1163" t="s">
        <v>1498</v>
      </c>
      <c r="D1163" t="s">
        <v>1498</v>
      </c>
      <c r="E1163" t="s">
        <v>132</v>
      </c>
      <c r="F1163" t="s">
        <v>3399</v>
      </c>
      <c r="G1163" t="s">
        <v>3400</v>
      </c>
      <c r="H1163" t="s">
        <v>33</v>
      </c>
      <c r="I1163" t="s">
        <v>22</v>
      </c>
      <c r="J1163" t="s">
        <v>3401</v>
      </c>
      <c r="K1163" t="s">
        <v>390</v>
      </c>
      <c r="L1163" t="s">
        <v>25</v>
      </c>
      <c r="M1163" t="s">
        <v>3402</v>
      </c>
      <c r="N1163" t="s">
        <v>27</v>
      </c>
      <c r="O1163" t="s">
        <v>101</v>
      </c>
      <c r="P1163">
        <v>23.2</v>
      </c>
    </row>
    <row r="1164" spans="1:16">
      <c r="A1164" s="4">
        <v>2018</v>
      </c>
      <c r="B1164" s="4">
        <v>100580</v>
      </c>
      <c r="C1164" t="s">
        <v>3403</v>
      </c>
      <c r="D1164" t="s">
        <v>3155</v>
      </c>
      <c r="E1164" t="s">
        <v>18</v>
      </c>
      <c r="F1164" t="s">
        <v>3399</v>
      </c>
      <c r="G1164" t="s">
        <v>3400</v>
      </c>
      <c r="H1164" t="s">
        <v>33</v>
      </c>
      <c r="I1164" t="s">
        <v>22</v>
      </c>
      <c r="J1164" t="s">
        <v>630</v>
      </c>
      <c r="K1164" t="s">
        <v>65</v>
      </c>
      <c r="L1164" t="s">
        <v>66</v>
      </c>
      <c r="M1164" t="s">
        <v>1461</v>
      </c>
      <c r="N1164" t="s">
        <v>27</v>
      </c>
      <c r="O1164" t="s">
        <v>101</v>
      </c>
      <c r="P1164">
        <v>36.024000000000001</v>
      </c>
    </row>
    <row r="1165" spans="1:16">
      <c r="A1165" s="4">
        <v>2018</v>
      </c>
      <c r="B1165" s="4">
        <v>128160</v>
      </c>
      <c r="C1165" t="s">
        <v>374</v>
      </c>
      <c r="D1165" t="s">
        <v>424</v>
      </c>
      <c r="E1165" t="s">
        <v>144</v>
      </c>
      <c r="F1165" t="s">
        <v>3404</v>
      </c>
      <c r="G1165" t="s">
        <v>3405</v>
      </c>
      <c r="H1165" t="s">
        <v>33</v>
      </c>
      <c r="I1165" t="s">
        <v>97</v>
      </c>
      <c r="J1165" t="s">
        <v>226</v>
      </c>
      <c r="K1165" t="s">
        <v>65</v>
      </c>
      <c r="L1165" t="s">
        <v>66</v>
      </c>
      <c r="M1165" t="s">
        <v>3406</v>
      </c>
      <c r="N1165" t="s">
        <v>27</v>
      </c>
      <c r="O1165" t="s">
        <v>101</v>
      </c>
      <c r="P1165">
        <v>36.671999999999997</v>
      </c>
    </row>
    <row r="1166" spans="1:16">
      <c r="A1166" s="4">
        <v>2018</v>
      </c>
      <c r="B1166" s="4">
        <v>164329</v>
      </c>
      <c r="C1166" t="s">
        <v>794</v>
      </c>
      <c r="D1166" t="s">
        <v>794</v>
      </c>
      <c r="E1166" t="s">
        <v>132</v>
      </c>
      <c r="F1166" t="s">
        <v>3404</v>
      </c>
      <c r="G1166" t="s">
        <v>3405</v>
      </c>
      <c r="H1166" t="s">
        <v>33</v>
      </c>
      <c r="I1166" t="s">
        <v>97</v>
      </c>
      <c r="J1166" t="s">
        <v>226</v>
      </c>
      <c r="K1166" t="s">
        <v>65</v>
      </c>
      <c r="L1166" t="s">
        <v>66</v>
      </c>
      <c r="M1166" t="s">
        <v>3407</v>
      </c>
      <c r="N1166" t="s">
        <v>27</v>
      </c>
      <c r="O1166" t="s">
        <v>58</v>
      </c>
      <c r="P1166">
        <v>129.30000000000001</v>
      </c>
    </row>
    <row r="1167" spans="1:16">
      <c r="A1167" s="4">
        <v>2018</v>
      </c>
      <c r="B1167" s="4">
        <v>117394</v>
      </c>
      <c r="C1167" t="s">
        <v>2414</v>
      </c>
      <c r="D1167" t="s">
        <v>3011</v>
      </c>
      <c r="E1167" t="s">
        <v>18</v>
      </c>
      <c r="F1167" t="s">
        <v>3404</v>
      </c>
      <c r="G1167" t="s">
        <v>3405</v>
      </c>
      <c r="H1167" t="s">
        <v>33</v>
      </c>
      <c r="I1167" t="s">
        <v>97</v>
      </c>
      <c r="J1167" t="s">
        <v>23</v>
      </c>
      <c r="K1167" t="s">
        <v>24</v>
      </c>
      <c r="L1167" t="s">
        <v>25</v>
      </c>
      <c r="M1167" t="s">
        <v>3408</v>
      </c>
      <c r="N1167" t="s">
        <v>38</v>
      </c>
      <c r="O1167" t="s">
        <v>68</v>
      </c>
      <c r="P1167">
        <v>19.04</v>
      </c>
    </row>
    <row r="1168" spans="1:16">
      <c r="A1168" s="4">
        <v>2017</v>
      </c>
      <c r="B1168" s="4">
        <v>101329</v>
      </c>
      <c r="C1168" t="s">
        <v>1224</v>
      </c>
      <c r="D1168" t="s">
        <v>2755</v>
      </c>
      <c r="E1168" t="s">
        <v>18</v>
      </c>
      <c r="F1168" t="s">
        <v>3404</v>
      </c>
      <c r="G1168" t="s">
        <v>3405</v>
      </c>
      <c r="H1168" t="s">
        <v>33</v>
      </c>
      <c r="I1168" t="s">
        <v>97</v>
      </c>
      <c r="J1168" t="s">
        <v>3409</v>
      </c>
      <c r="K1168" t="s">
        <v>50</v>
      </c>
      <c r="L1168" t="s">
        <v>25</v>
      </c>
      <c r="M1168" t="s">
        <v>3410</v>
      </c>
      <c r="N1168" t="s">
        <v>27</v>
      </c>
      <c r="O1168" t="s">
        <v>28</v>
      </c>
      <c r="P1168">
        <v>32.130000000000003</v>
      </c>
    </row>
    <row r="1169" spans="1:16">
      <c r="A1169" s="4">
        <v>2016</v>
      </c>
      <c r="B1169" s="4">
        <v>157154</v>
      </c>
      <c r="C1169" t="s">
        <v>3411</v>
      </c>
      <c r="D1169" t="s">
        <v>3412</v>
      </c>
      <c r="E1169" t="s">
        <v>18</v>
      </c>
      <c r="F1169" t="s">
        <v>3404</v>
      </c>
      <c r="G1169" t="s">
        <v>3405</v>
      </c>
      <c r="H1169" t="s">
        <v>33</v>
      </c>
      <c r="I1169" t="s">
        <v>97</v>
      </c>
      <c r="J1169" t="s">
        <v>49</v>
      </c>
      <c r="K1169" t="s">
        <v>50</v>
      </c>
      <c r="L1169" t="s">
        <v>25</v>
      </c>
      <c r="M1169" t="s">
        <v>3413</v>
      </c>
      <c r="N1169" t="s">
        <v>79</v>
      </c>
      <c r="O1169" t="s">
        <v>347</v>
      </c>
      <c r="P1169">
        <v>1018.104</v>
      </c>
    </row>
    <row r="1170" spans="1:16">
      <c r="A1170" s="4">
        <v>2018</v>
      </c>
      <c r="B1170" s="4">
        <v>123659</v>
      </c>
      <c r="C1170" t="s">
        <v>3414</v>
      </c>
      <c r="D1170" t="s">
        <v>1064</v>
      </c>
      <c r="E1170" t="s">
        <v>42</v>
      </c>
      <c r="F1170" t="s">
        <v>3415</v>
      </c>
      <c r="G1170" t="s">
        <v>3416</v>
      </c>
      <c r="H1170" t="s">
        <v>33</v>
      </c>
      <c r="I1170" t="s">
        <v>97</v>
      </c>
      <c r="J1170" t="s">
        <v>907</v>
      </c>
      <c r="K1170" t="s">
        <v>706</v>
      </c>
      <c r="L1170" t="s">
        <v>25</v>
      </c>
      <c r="M1170" t="s">
        <v>3417</v>
      </c>
      <c r="N1170" t="s">
        <v>27</v>
      </c>
      <c r="O1170" t="s">
        <v>52</v>
      </c>
      <c r="P1170">
        <v>23.12</v>
      </c>
    </row>
    <row r="1171" spans="1:16">
      <c r="A1171" s="4">
        <v>2018</v>
      </c>
      <c r="B1171" s="4">
        <v>165204</v>
      </c>
      <c r="C1171" t="s">
        <v>1331</v>
      </c>
      <c r="D1171" t="s">
        <v>1235</v>
      </c>
      <c r="E1171" t="s">
        <v>144</v>
      </c>
      <c r="F1171" t="s">
        <v>3415</v>
      </c>
      <c r="G1171" t="s">
        <v>3416</v>
      </c>
      <c r="H1171" t="s">
        <v>33</v>
      </c>
      <c r="I1171" t="s">
        <v>97</v>
      </c>
      <c r="J1171" t="s">
        <v>2534</v>
      </c>
      <c r="K1171" t="s">
        <v>206</v>
      </c>
      <c r="L1171" t="s">
        <v>45</v>
      </c>
      <c r="M1171" t="s">
        <v>511</v>
      </c>
      <c r="N1171" t="s">
        <v>27</v>
      </c>
      <c r="O1171" t="s">
        <v>52</v>
      </c>
      <c r="P1171">
        <v>8.9039999999999999</v>
      </c>
    </row>
    <row r="1172" spans="1:16">
      <c r="A1172" s="4">
        <v>2016</v>
      </c>
      <c r="B1172" s="4">
        <v>122140</v>
      </c>
      <c r="C1172" t="s">
        <v>161</v>
      </c>
      <c r="D1172" t="s">
        <v>3418</v>
      </c>
      <c r="E1172" t="s">
        <v>18</v>
      </c>
      <c r="F1172" t="s">
        <v>3419</v>
      </c>
      <c r="G1172" t="s">
        <v>3420</v>
      </c>
      <c r="H1172" t="s">
        <v>21</v>
      </c>
      <c r="I1172" t="s">
        <v>97</v>
      </c>
      <c r="J1172" t="s">
        <v>627</v>
      </c>
      <c r="K1172" t="s">
        <v>35</v>
      </c>
      <c r="L1172" t="s">
        <v>36</v>
      </c>
      <c r="M1172" t="s">
        <v>3421</v>
      </c>
      <c r="N1172" t="s">
        <v>27</v>
      </c>
      <c r="O1172" t="s">
        <v>228</v>
      </c>
      <c r="P1172">
        <v>32.192</v>
      </c>
    </row>
    <row r="1173" spans="1:16">
      <c r="A1173" s="4">
        <v>2018</v>
      </c>
      <c r="B1173" s="4">
        <v>125388</v>
      </c>
      <c r="C1173" t="s">
        <v>659</v>
      </c>
      <c r="D1173" t="s">
        <v>2696</v>
      </c>
      <c r="E1173" t="s">
        <v>18</v>
      </c>
      <c r="F1173" t="s">
        <v>3422</v>
      </c>
      <c r="G1173" t="s">
        <v>3423</v>
      </c>
      <c r="H1173" t="s">
        <v>33</v>
      </c>
      <c r="I1173" t="s">
        <v>22</v>
      </c>
      <c r="J1173" t="s">
        <v>952</v>
      </c>
      <c r="K1173" t="s">
        <v>284</v>
      </c>
      <c r="L1173" t="s">
        <v>25</v>
      </c>
      <c r="M1173" t="s">
        <v>3424</v>
      </c>
      <c r="N1173" t="s">
        <v>79</v>
      </c>
      <c r="O1173" t="s">
        <v>80</v>
      </c>
      <c r="P1173">
        <v>56.56</v>
      </c>
    </row>
    <row r="1174" spans="1:16">
      <c r="A1174" s="4">
        <v>2017</v>
      </c>
      <c r="B1174" s="4">
        <v>139689</v>
      </c>
      <c r="C1174" t="s">
        <v>1092</v>
      </c>
      <c r="D1174" t="s">
        <v>3425</v>
      </c>
      <c r="E1174" t="s">
        <v>18</v>
      </c>
      <c r="F1174" t="s">
        <v>3422</v>
      </c>
      <c r="G1174" t="s">
        <v>3423</v>
      </c>
      <c r="H1174" t="s">
        <v>33</v>
      </c>
      <c r="I1174" t="s">
        <v>22</v>
      </c>
      <c r="J1174" t="s">
        <v>1154</v>
      </c>
      <c r="K1174" t="s">
        <v>206</v>
      </c>
      <c r="L1174" t="s">
        <v>45</v>
      </c>
      <c r="M1174" t="s">
        <v>3426</v>
      </c>
      <c r="N1174" t="s">
        <v>27</v>
      </c>
      <c r="O1174" t="s">
        <v>101</v>
      </c>
      <c r="P1174">
        <v>38.088000000000001</v>
      </c>
    </row>
    <row r="1175" spans="1:16">
      <c r="A1175" s="4">
        <v>2017</v>
      </c>
      <c r="B1175" s="4">
        <v>142335</v>
      </c>
      <c r="C1175" t="s">
        <v>3182</v>
      </c>
      <c r="D1175" t="s">
        <v>2090</v>
      </c>
      <c r="E1175" t="s">
        <v>18</v>
      </c>
      <c r="F1175" t="s">
        <v>3422</v>
      </c>
      <c r="G1175" t="s">
        <v>3423</v>
      </c>
      <c r="H1175" t="s">
        <v>33</v>
      </c>
      <c r="I1175" t="s">
        <v>22</v>
      </c>
      <c r="J1175" t="s">
        <v>879</v>
      </c>
      <c r="K1175" t="s">
        <v>855</v>
      </c>
      <c r="L1175" t="s">
        <v>36</v>
      </c>
      <c r="M1175" t="s">
        <v>3427</v>
      </c>
      <c r="N1175" t="s">
        <v>79</v>
      </c>
      <c r="O1175" t="s">
        <v>347</v>
      </c>
      <c r="P1175">
        <v>1652.94</v>
      </c>
    </row>
    <row r="1176" spans="1:16">
      <c r="A1176" s="4">
        <v>2018</v>
      </c>
      <c r="B1176" s="4">
        <v>155152</v>
      </c>
      <c r="C1176" t="s">
        <v>525</v>
      </c>
      <c r="D1176" t="s">
        <v>2160</v>
      </c>
      <c r="E1176" t="s">
        <v>144</v>
      </c>
      <c r="F1176" t="s">
        <v>3422</v>
      </c>
      <c r="G1176" t="s">
        <v>3423</v>
      </c>
      <c r="H1176" t="s">
        <v>33</v>
      </c>
      <c r="I1176" t="s">
        <v>22</v>
      </c>
      <c r="J1176" t="s">
        <v>1306</v>
      </c>
      <c r="K1176" t="s">
        <v>838</v>
      </c>
      <c r="L1176" t="s">
        <v>25</v>
      </c>
      <c r="M1176" t="s">
        <v>2308</v>
      </c>
      <c r="N1176" t="s">
        <v>38</v>
      </c>
      <c r="O1176" t="s">
        <v>68</v>
      </c>
      <c r="P1176">
        <v>252</v>
      </c>
    </row>
    <row r="1177" spans="1:16">
      <c r="A1177" s="4">
        <v>2016</v>
      </c>
      <c r="B1177" s="4">
        <v>149629</v>
      </c>
      <c r="C1177" t="s">
        <v>2646</v>
      </c>
      <c r="D1177" t="s">
        <v>3428</v>
      </c>
      <c r="E1177" t="s">
        <v>144</v>
      </c>
      <c r="F1177" t="s">
        <v>3422</v>
      </c>
      <c r="G1177" t="s">
        <v>3423</v>
      </c>
      <c r="H1177" t="s">
        <v>33</v>
      </c>
      <c r="I1177" t="s">
        <v>22</v>
      </c>
      <c r="J1177" t="s">
        <v>3429</v>
      </c>
      <c r="K1177" t="s">
        <v>196</v>
      </c>
      <c r="L1177" t="s">
        <v>45</v>
      </c>
      <c r="M1177" t="s">
        <v>3430</v>
      </c>
      <c r="N1177" t="s">
        <v>79</v>
      </c>
      <c r="O1177" t="s">
        <v>286</v>
      </c>
      <c r="P1177">
        <v>231.92</v>
      </c>
    </row>
    <row r="1178" spans="1:16">
      <c r="A1178" s="4">
        <v>2015</v>
      </c>
      <c r="B1178" s="4">
        <v>116757</v>
      </c>
      <c r="C1178" t="s">
        <v>581</v>
      </c>
      <c r="D1178" t="s">
        <v>3431</v>
      </c>
      <c r="E1178" t="s">
        <v>18</v>
      </c>
      <c r="F1178" t="s">
        <v>3432</v>
      </c>
      <c r="G1178" t="s">
        <v>3433</v>
      </c>
      <c r="H1178" t="s">
        <v>33</v>
      </c>
      <c r="I1178" t="s">
        <v>22</v>
      </c>
      <c r="J1178" t="s">
        <v>183</v>
      </c>
      <c r="K1178" t="s">
        <v>35</v>
      </c>
      <c r="L1178" t="s">
        <v>36</v>
      </c>
      <c r="M1178" t="s">
        <v>3434</v>
      </c>
      <c r="N1178" t="s">
        <v>27</v>
      </c>
      <c r="O1178" t="s">
        <v>52</v>
      </c>
      <c r="P1178">
        <v>25.92</v>
      </c>
    </row>
    <row r="1179" spans="1:16">
      <c r="A1179" s="4">
        <v>2016</v>
      </c>
      <c r="B1179" s="4">
        <v>101007</v>
      </c>
      <c r="C1179" t="s">
        <v>2135</v>
      </c>
      <c r="D1179" t="s">
        <v>2477</v>
      </c>
      <c r="E1179" t="s">
        <v>144</v>
      </c>
      <c r="F1179" t="s">
        <v>3432</v>
      </c>
      <c r="G1179" t="s">
        <v>3433</v>
      </c>
      <c r="H1179" t="s">
        <v>33</v>
      </c>
      <c r="I1179" t="s">
        <v>22</v>
      </c>
      <c r="J1179" t="s">
        <v>627</v>
      </c>
      <c r="K1179" t="s">
        <v>35</v>
      </c>
      <c r="L1179" t="s">
        <v>36</v>
      </c>
      <c r="M1179" t="s">
        <v>3435</v>
      </c>
      <c r="N1179" t="s">
        <v>38</v>
      </c>
      <c r="O1179" t="s">
        <v>68</v>
      </c>
      <c r="P1179">
        <v>20.8</v>
      </c>
    </row>
    <row r="1180" spans="1:16">
      <c r="A1180" s="4">
        <v>2016</v>
      </c>
      <c r="B1180" s="4">
        <v>153906</v>
      </c>
      <c r="C1180" t="s">
        <v>1321</v>
      </c>
      <c r="D1180" t="s">
        <v>717</v>
      </c>
      <c r="E1180" t="s">
        <v>18</v>
      </c>
      <c r="F1180" t="s">
        <v>3432</v>
      </c>
      <c r="G1180" t="s">
        <v>3433</v>
      </c>
      <c r="H1180" t="s">
        <v>33</v>
      </c>
      <c r="I1180" t="s">
        <v>22</v>
      </c>
      <c r="J1180" t="s">
        <v>49</v>
      </c>
      <c r="K1180" t="s">
        <v>50</v>
      </c>
      <c r="L1180" t="s">
        <v>25</v>
      </c>
      <c r="M1180" t="s">
        <v>3436</v>
      </c>
      <c r="N1180" t="s">
        <v>38</v>
      </c>
      <c r="O1180" t="s">
        <v>118</v>
      </c>
      <c r="P1180">
        <v>85.9</v>
      </c>
    </row>
    <row r="1181" spans="1:16">
      <c r="A1181" s="4">
        <v>2015</v>
      </c>
      <c r="B1181" s="4">
        <v>133704</v>
      </c>
      <c r="C1181" t="s">
        <v>1863</v>
      </c>
      <c r="D1181" t="s">
        <v>1335</v>
      </c>
      <c r="E1181" t="s">
        <v>18</v>
      </c>
      <c r="F1181" t="s">
        <v>3437</v>
      </c>
      <c r="G1181" t="s">
        <v>3438</v>
      </c>
      <c r="H1181" t="s">
        <v>33</v>
      </c>
      <c r="I1181" t="s">
        <v>63</v>
      </c>
      <c r="J1181" t="s">
        <v>64</v>
      </c>
      <c r="K1181" t="s">
        <v>65</v>
      </c>
      <c r="L1181" t="s">
        <v>66</v>
      </c>
      <c r="M1181" t="s">
        <v>3439</v>
      </c>
      <c r="N1181" t="s">
        <v>27</v>
      </c>
      <c r="O1181" t="s">
        <v>228</v>
      </c>
      <c r="P1181">
        <v>43.92</v>
      </c>
    </row>
    <row r="1182" spans="1:16">
      <c r="A1182" s="4">
        <v>2015</v>
      </c>
      <c r="B1182" s="4">
        <v>132010</v>
      </c>
      <c r="C1182" t="s">
        <v>1917</v>
      </c>
      <c r="D1182" t="s">
        <v>463</v>
      </c>
      <c r="E1182" t="s">
        <v>42</v>
      </c>
      <c r="F1182" t="s">
        <v>3437</v>
      </c>
      <c r="G1182" t="s">
        <v>3438</v>
      </c>
      <c r="H1182" t="s">
        <v>33</v>
      </c>
      <c r="I1182" t="s">
        <v>63</v>
      </c>
      <c r="J1182" t="s">
        <v>1011</v>
      </c>
      <c r="K1182" t="s">
        <v>56</v>
      </c>
      <c r="L1182" t="s">
        <v>45</v>
      </c>
      <c r="M1182" t="s">
        <v>3440</v>
      </c>
      <c r="N1182" t="s">
        <v>27</v>
      </c>
      <c r="O1182" t="s">
        <v>501</v>
      </c>
      <c r="P1182">
        <v>36.4</v>
      </c>
    </row>
    <row r="1183" spans="1:16">
      <c r="A1183" s="4">
        <v>2016</v>
      </c>
      <c r="B1183" s="4">
        <v>169278</v>
      </c>
      <c r="C1183" t="s">
        <v>3441</v>
      </c>
      <c r="D1183" t="s">
        <v>2858</v>
      </c>
      <c r="E1183" t="s">
        <v>18</v>
      </c>
      <c r="F1183" t="s">
        <v>3442</v>
      </c>
      <c r="G1183" t="s">
        <v>3443</v>
      </c>
      <c r="H1183" t="s">
        <v>33</v>
      </c>
      <c r="I1183" t="s">
        <v>22</v>
      </c>
      <c r="J1183" t="s">
        <v>271</v>
      </c>
      <c r="K1183" t="s">
        <v>165</v>
      </c>
      <c r="L1183" t="s">
        <v>66</v>
      </c>
      <c r="M1183" t="s">
        <v>3444</v>
      </c>
      <c r="N1183" t="s">
        <v>27</v>
      </c>
      <c r="O1183" t="s">
        <v>101</v>
      </c>
      <c r="P1183">
        <v>26.975999999999999</v>
      </c>
    </row>
    <row r="1184" spans="1:16">
      <c r="A1184" s="4">
        <v>2015</v>
      </c>
      <c r="B1184" s="4">
        <v>116932</v>
      </c>
      <c r="C1184" t="s">
        <v>3445</v>
      </c>
      <c r="D1184" t="s">
        <v>3446</v>
      </c>
      <c r="E1184" t="s">
        <v>18</v>
      </c>
      <c r="F1184" t="s">
        <v>3442</v>
      </c>
      <c r="G1184" t="s">
        <v>3443</v>
      </c>
      <c r="H1184" t="s">
        <v>33</v>
      </c>
      <c r="I1184" t="s">
        <v>22</v>
      </c>
      <c r="J1184" t="s">
        <v>226</v>
      </c>
      <c r="K1184" t="s">
        <v>65</v>
      </c>
      <c r="L1184" t="s">
        <v>66</v>
      </c>
      <c r="M1184" t="s">
        <v>3447</v>
      </c>
      <c r="N1184" t="s">
        <v>27</v>
      </c>
      <c r="O1184" t="s">
        <v>28</v>
      </c>
      <c r="P1184">
        <v>99.2</v>
      </c>
    </row>
    <row r="1185" spans="1:16">
      <c r="A1185" s="4">
        <v>2016</v>
      </c>
      <c r="B1185" s="4">
        <v>148635</v>
      </c>
      <c r="C1185" t="s">
        <v>3448</v>
      </c>
      <c r="D1185" t="s">
        <v>3449</v>
      </c>
      <c r="E1185" t="s">
        <v>144</v>
      </c>
      <c r="F1185" t="s">
        <v>3450</v>
      </c>
      <c r="G1185" t="s">
        <v>3451</v>
      </c>
      <c r="H1185" t="s">
        <v>33</v>
      </c>
      <c r="I1185" t="s">
        <v>97</v>
      </c>
      <c r="J1185" t="s">
        <v>271</v>
      </c>
      <c r="K1185" t="s">
        <v>165</v>
      </c>
      <c r="L1185" t="s">
        <v>66</v>
      </c>
      <c r="M1185" t="s">
        <v>3452</v>
      </c>
      <c r="N1185" t="s">
        <v>27</v>
      </c>
      <c r="O1185" t="s">
        <v>452</v>
      </c>
      <c r="P1185">
        <v>9.42</v>
      </c>
    </row>
    <row r="1186" spans="1:16">
      <c r="A1186" s="4">
        <v>2018</v>
      </c>
      <c r="B1186" s="4">
        <v>125878</v>
      </c>
      <c r="C1186" t="s">
        <v>3453</v>
      </c>
      <c r="D1186" t="s">
        <v>741</v>
      </c>
      <c r="E1186" t="s">
        <v>18</v>
      </c>
      <c r="F1186" t="s">
        <v>3450</v>
      </c>
      <c r="G1186" t="s">
        <v>3451</v>
      </c>
      <c r="H1186" t="s">
        <v>33</v>
      </c>
      <c r="I1186" t="s">
        <v>97</v>
      </c>
      <c r="J1186" t="s">
        <v>108</v>
      </c>
      <c r="K1186" t="s">
        <v>109</v>
      </c>
      <c r="L1186" t="s">
        <v>36</v>
      </c>
      <c r="M1186" t="s">
        <v>3454</v>
      </c>
      <c r="N1186" t="s">
        <v>27</v>
      </c>
      <c r="O1186" t="s">
        <v>101</v>
      </c>
      <c r="P1186">
        <v>1.788</v>
      </c>
    </row>
    <row r="1187" spans="1:16">
      <c r="A1187" s="4">
        <v>2018</v>
      </c>
      <c r="B1187" s="4">
        <v>158953</v>
      </c>
      <c r="C1187" t="s">
        <v>1536</v>
      </c>
      <c r="D1187" t="s">
        <v>1537</v>
      </c>
      <c r="E1187" t="s">
        <v>18</v>
      </c>
      <c r="F1187" t="s">
        <v>3455</v>
      </c>
      <c r="G1187" t="s">
        <v>3456</v>
      </c>
      <c r="H1187" t="s">
        <v>33</v>
      </c>
      <c r="I1187" t="s">
        <v>22</v>
      </c>
      <c r="J1187" t="s">
        <v>3457</v>
      </c>
      <c r="K1187" t="s">
        <v>35</v>
      </c>
      <c r="L1187" t="s">
        <v>36</v>
      </c>
      <c r="M1187" t="s">
        <v>2164</v>
      </c>
      <c r="N1187" t="s">
        <v>27</v>
      </c>
      <c r="O1187" t="s">
        <v>101</v>
      </c>
      <c r="P1187">
        <v>6.37</v>
      </c>
    </row>
    <row r="1188" spans="1:16">
      <c r="A1188" s="4">
        <v>2018</v>
      </c>
      <c r="B1188" s="4">
        <v>168655</v>
      </c>
      <c r="C1188" t="s">
        <v>3323</v>
      </c>
      <c r="D1188" t="s">
        <v>2149</v>
      </c>
      <c r="E1188" t="s">
        <v>18</v>
      </c>
      <c r="F1188" t="s">
        <v>3455</v>
      </c>
      <c r="G1188" t="s">
        <v>3456</v>
      </c>
      <c r="H1188" t="s">
        <v>33</v>
      </c>
      <c r="I1188" t="s">
        <v>22</v>
      </c>
      <c r="J1188" t="s">
        <v>782</v>
      </c>
      <c r="K1188" t="s">
        <v>253</v>
      </c>
      <c r="L1188" t="s">
        <v>66</v>
      </c>
      <c r="M1188" t="s">
        <v>3458</v>
      </c>
      <c r="N1188" t="s">
        <v>38</v>
      </c>
      <c r="O1188" t="s">
        <v>68</v>
      </c>
      <c r="P1188">
        <v>595</v>
      </c>
    </row>
    <row r="1189" spans="1:16">
      <c r="A1189" s="4">
        <v>2018</v>
      </c>
      <c r="B1189" s="4">
        <v>113208</v>
      </c>
      <c r="C1189" t="s">
        <v>1289</v>
      </c>
      <c r="D1189" t="s">
        <v>1195</v>
      </c>
      <c r="E1189" t="s">
        <v>18</v>
      </c>
      <c r="F1189" t="s">
        <v>3455</v>
      </c>
      <c r="G1189" t="s">
        <v>3456</v>
      </c>
      <c r="H1189" t="s">
        <v>33</v>
      </c>
      <c r="I1189" t="s">
        <v>22</v>
      </c>
      <c r="J1189" t="s">
        <v>3459</v>
      </c>
      <c r="K1189" t="s">
        <v>855</v>
      </c>
      <c r="L1189" t="s">
        <v>36</v>
      </c>
      <c r="M1189" t="s">
        <v>3460</v>
      </c>
      <c r="N1189" t="s">
        <v>79</v>
      </c>
      <c r="O1189" t="s">
        <v>80</v>
      </c>
      <c r="P1189">
        <v>60.84</v>
      </c>
    </row>
    <row r="1190" spans="1:16">
      <c r="A1190" s="4">
        <v>2015</v>
      </c>
      <c r="B1190" s="4">
        <v>110555</v>
      </c>
      <c r="C1190" t="s">
        <v>2566</v>
      </c>
      <c r="D1190" t="s">
        <v>757</v>
      </c>
      <c r="E1190" t="s">
        <v>18</v>
      </c>
      <c r="F1190" t="s">
        <v>3461</v>
      </c>
      <c r="G1190" t="s">
        <v>3462</v>
      </c>
      <c r="H1190" t="s">
        <v>33</v>
      </c>
      <c r="I1190" t="s">
        <v>97</v>
      </c>
      <c r="J1190" t="s">
        <v>187</v>
      </c>
      <c r="K1190" t="s">
        <v>188</v>
      </c>
      <c r="L1190" t="s">
        <v>66</v>
      </c>
      <c r="M1190" t="s">
        <v>3463</v>
      </c>
      <c r="N1190" t="s">
        <v>27</v>
      </c>
      <c r="O1190" t="s">
        <v>58</v>
      </c>
      <c r="P1190">
        <v>87.08</v>
      </c>
    </row>
    <row r="1191" spans="1:16">
      <c r="A1191" s="4">
        <v>2018</v>
      </c>
      <c r="B1191" s="4">
        <v>127285</v>
      </c>
      <c r="C1191" t="s">
        <v>2504</v>
      </c>
      <c r="D1191" t="s">
        <v>579</v>
      </c>
      <c r="E1191" t="s">
        <v>18</v>
      </c>
      <c r="F1191" t="s">
        <v>3461</v>
      </c>
      <c r="G1191" t="s">
        <v>3462</v>
      </c>
      <c r="H1191" t="s">
        <v>33</v>
      </c>
      <c r="I1191" t="s">
        <v>97</v>
      </c>
      <c r="J1191" t="s">
        <v>271</v>
      </c>
      <c r="K1191" t="s">
        <v>165</v>
      </c>
      <c r="L1191" t="s">
        <v>66</v>
      </c>
      <c r="M1191" t="s">
        <v>3464</v>
      </c>
      <c r="N1191" t="s">
        <v>27</v>
      </c>
      <c r="O1191" t="s">
        <v>101</v>
      </c>
      <c r="P1191">
        <v>88.751999999999995</v>
      </c>
    </row>
    <row r="1192" spans="1:16">
      <c r="A1192" s="4">
        <v>2018</v>
      </c>
      <c r="B1192" s="4">
        <v>140963</v>
      </c>
      <c r="C1192" t="s">
        <v>775</v>
      </c>
      <c r="D1192" t="s">
        <v>776</v>
      </c>
      <c r="E1192" t="s">
        <v>42</v>
      </c>
      <c r="F1192" t="s">
        <v>3465</v>
      </c>
      <c r="G1192" t="s">
        <v>3466</v>
      </c>
      <c r="H1192" t="s">
        <v>33</v>
      </c>
      <c r="I1192" t="s">
        <v>63</v>
      </c>
      <c r="J1192" t="s">
        <v>64</v>
      </c>
      <c r="K1192" t="s">
        <v>65</v>
      </c>
      <c r="L1192" t="s">
        <v>66</v>
      </c>
      <c r="M1192" t="s">
        <v>3467</v>
      </c>
      <c r="N1192" t="s">
        <v>27</v>
      </c>
      <c r="O1192" t="s">
        <v>111</v>
      </c>
      <c r="P1192">
        <v>29.6</v>
      </c>
    </row>
    <row r="1193" spans="1:16">
      <c r="A1193" s="4">
        <v>2015</v>
      </c>
      <c r="B1193" s="4">
        <v>112914</v>
      </c>
      <c r="C1193" t="s">
        <v>1864</v>
      </c>
      <c r="D1193" t="s">
        <v>770</v>
      </c>
      <c r="E1193" t="s">
        <v>18</v>
      </c>
      <c r="F1193" t="s">
        <v>3465</v>
      </c>
      <c r="G1193" t="s">
        <v>3466</v>
      </c>
      <c r="H1193" t="s">
        <v>33</v>
      </c>
      <c r="I1193" t="s">
        <v>63</v>
      </c>
      <c r="J1193" t="s">
        <v>183</v>
      </c>
      <c r="K1193" t="s">
        <v>35</v>
      </c>
      <c r="L1193" t="s">
        <v>36</v>
      </c>
      <c r="M1193" t="s">
        <v>3468</v>
      </c>
      <c r="N1193" t="s">
        <v>27</v>
      </c>
      <c r="O1193" t="s">
        <v>52</v>
      </c>
      <c r="P1193">
        <v>33.792000000000002</v>
      </c>
    </row>
    <row r="1194" spans="1:16">
      <c r="A1194" s="4">
        <v>2015</v>
      </c>
      <c r="B1194" s="4">
        <v>101602</v>
      </c>
      <c r="C1194" t="s">
        <v>3469</v>
      </c>
      <c r="D1194" t="s">
        <v>3470</v>
      </c>
      <c r="E1194" t="s">
        <v>42</v>
      </c>
      <c r="F1194" t="s">
        <v>3471</v>
      </c>
      <c r="G1194" t="s">
        <v>3472</v>
      </c>
      <c r="H1194" t="s">
        <v>33</v>
      </c>
      <c r="I1194" t="s">
        <v>97</v>
      </c>
      <c r="J1194" t="s">
        <v>1061</v>
      </c>
      <c r="K1194" t="s">
        <v>35</v>
      </c>
      <c r="L1194" t="s">
        <v>36</v>
      </c>
      <c r="M1194" t="s">
        <v>3473</v>
      </c>
      <c r="N1194" t="s">
        <v>38</v>
      </c>
      <c r="O1194" t="s">
        <v>118</v>
      </c>
      <c r="P1194">
        <v>40.68</v>
      </c>
    </row>
    <row r="1195" spans="1:16">
      <c r="A1195" s="4">
        <v>2018</v>
      </c>
      <c r="B1195" s="4">
        <v>126242</v>
      </c>
      <c r="C1195" t="s">
        <v>124</v>
      </c>
      <c r="D1195" t="s">
        <v>2320</v>
      </c>
      <c r="E1195" t="s">
        <v>18</v>
      </c>
      <c r="F1195" t="s">
        <v>3471</v>
      </c>
      <c r="G1195" t="s">
        <v>3472</v>
      </c>
      <c r="H1195" t="s">
        <v>33</v>
      </c>
      <c r="I1195" t="s">
        <v>97</v>
      </c>
      <c r="J1195" t="s">
        <v>64</v>
      </c>
      <c r="K1195" t="s">
        <v>65</v>
      </c>
      <c r="L1195" t="s">
        <v>66</v>
      </c>
      <c r="M1195" t="s">
        <v>1605</v>
      </c>
      <c r="N1195" t="s">
        <v>27</v>
      </c>
      <c r="O1195" t="s">
        <v>58</v>
      </c>
      <c r="P1195">
        <v>305.01</v>
      </c>
    </row>
    <row r="1196" spans="1:16">
      <c r="A1196" s="4">
        <v>2018</v>
      </c>
      <c r="B1196" s="4">
        <v>152807</v>
      </c>
      <c r="C1196" t="s">
        <v>2504</v>
      </c>
      <c r="D1196" t="s">
        <v>1584</v>
      </c>
      <c r="E1196" t="s">
        <v>18</v>
      </c>
      <c r="F1196" t="s">
        <v>3471</v>
      </c>
      <c r="G1196" t="s">
        <v>3472</v>
      </c>
      <c r="H1196" t="s">
        <v>33</v>
      </c>
      <c r="I1196" t="s">
        <v>97</v>
      </c>
      <c r="J1196" t="s">
        <v>23</v>
      </c>
      <c r="K1196" t="s">
        <v>24</v>
      </c>
      <c r="L1196" t="s">
        <v>25</v>
      </c>
      <c r="M1196" t="s">
        <v>3474</v>
      </c>
      <c r="N1196" t="s">
        <v>27</v>
      </c>
      <c r="O1196" t="s">
        <v>52</v>
      </c>
      <c r="P1196">
        <v>20.736000000000001</v>
      </c>
    </row>
    <row r="1197" spans="1:16">
      <c r="A1197" s="4">
        <v>2018</v>
      </c>
      <c r="B1197" s="4">
        <v>114657</v>
      </c>
      <c r="C1197" t="s">
        <v>1235</v>
      </c>
      <c r="D1197" t="s">
        <v>143</v>
      </c>
      <c r="E1197" t="s">
        <v>18</v>
      </c>
      <c r="F1197" t="s">
        <v>3475</v>
      </c>
      <c r="G1197" t="s">
        <v>3476</v>
      </c>
      <c r="H1197" t="s">
        <v>33</v>
      </c>
      <c r="I1197" t="s">
        <v>63</v>
      </c>
      <c r="J1197" t="s">
        <v>3477</v>
      </c>
      <c r="K1197" t="s">
        <v>50</v>
      </c>
      <c r="L1197" t="s">
        <v>25</v>
      </c>
      <c r="M1197" t="s">
        <v>3478</v>
      </c>
      <c r="N1197" t="s">
        <v>38</v>
      </c>
      <c r="O1197" t="s">
        <v>39</v>
      </c>
      <c r="P1197">
        <v>52.44</v>
      </c>
    </row>
    <row r="1198" spans="1:16">
      <c r="A1198" s="4">
        <v>2018</v>
      </c>
      <c r="B1198" s="4">
        <v>114055</v>
      </c>
      <c r="C1198" t="s">
        <v>916</v>
      </c>
      <c r="D1198" t="s">
        <v>425</v>
      </c>
      <c r="E1198" t="s">
        <v>144</v>
      </c>
      <c r="F1198" t="s">
        <v>3475</v>
      </c>
      <c r="G1198" t="s">
        <v>3476</v>
      </c>
      <c r="H1198" t="s">
        <v>33</v>
      </c>
      <c r="I1198" t="s">
        <v>63</v>
      </c>
      <c r="J1198" t="s">
        <v>1079</v>
      </c>
      <c r="K1198" t="s">
        <v>518</v>
      </c>
      <c r="L1198" t="s">
        <v>45</v>
      </c>
      <c r="M1198" t="s">
        <v>3479</v>
      </c>
      <c r="N1198" t="s">
        <v>27</v>
      </c>
      <c r="O1198" t="s">
        <v>52</v>
      </c>
      <c r="P1198">
        <v>96.08</v>
      </c>
    </row>
    <row r="1199" spans="1:16">
      <c r="A1199" s="4">
        <v>2018</v>
      </c>
      <c r="B1199" s="4">
        <v>161088</v>
      </c>
      <c r="C1199" t="s">
        <v>3480</v>
      </c>
      <c r="D1199" t="s">
        <v>2340</v>
      </c>
      <c r="E1199" t="s">
        <v>18</v>
      </c>
      <c r="F1199" t="s">
        <v>3475</v>
      </c>
      <c r="G1199" t="s">
        <v>3476</v>
      </c>
      <c r="H1199" t="s">
        <v>33</v>
      </c>
      <c r="I1199" t="s">
        <v>63</v>
      </c>
      <c r="J1199" t="s">
        <v>473</v>
      </c>
      <c r="K1199" t="s">
        <v>86</v>
      </c>
      <c r="L1199" t="s">
        <v>45</v>
      </c>
      <c r="M1199" t="s">
        <v>1685</v>
      </c>
      <c r="N1199" t="s">
        <v>27</v>
      </c>
      <c r="O1199" t="s">
        <v>101</v>
      </c>
      <c r="P1199">
        <v>29.84</v>
      </c>
    </row>
    <row r="1200" spans="1:16">
      <c r="A1200" s="4">
        <v>2018</v>
      </c>
      <c r="B1200" s="4">
        <v>144638</v>
      </c>
      <c r="C1200" t="s">
        <v>1056</v>
      </c>
      <c r="D1200" t="s">
        <v>3481</v>
      </c>
      <c r="E1200" t="s">
        <v>18</v>
      </c>
      <c r="F1200" t="s">
        <v>3475</v>
      </c>
      <c r="G1200" t="s">
        <v>3476</v>
      </c>
      <c r="H1200" t="s">
        <v>33</v>
      </c>
      <c r="I1200" t="s">
        <v>63</v>
      </c>
      <c r="J1200" t="s">
        <v>3482</v>
      </c>
      <c r="K1200" t="s">
        <v>24</v>
      </c>
      <c r="L1200" t="s">
        <v>25</v>
      </c>
      <c r="M1200" t="s">
        <v>3483</v>
      </c>
      <c r="N1200" t="s">
        <v>27</v>
      </c>
      <c r="O1200" t="s">
        <v>28</v>
      </c>
      <c r="P1200">
        <v>5.2480000000000002</v>
      </c>
    </row>
    <row r="1201" spans="1:16">
      <c r="A1201" s="4">
        <v>2016</v>
      </c>
      <c r="B1201" s="4">
        <v>148432</v>
      </c>
      <c r="C1201" t="s">
        <v>1441</v>
      </c>
      <c r="D1201" t="s">
        <v>208</v>
      </c>
      <c r="E1201" t="s">
        <v>144</v>
      </c>
      <c r="F1201" t="s">
        <v>3484</v>
      </c>
      <c r="G1201" t="s">
        <v>3485</v>
      </c>
      <c r="H1201" t="s">
        <v>33</v>
      </c>
      <c r="I1201" t="s">
        <v>22</v>
      </c>
      <c r="J1201" t="s">
        <v>987</v>
      </c>
      <c r="K1201" t="s">
        <v>1392</v>
      </c>
      <c r="L1201" t="s">
        <v>25</v>
      </c>
      <c r="M1201" t="s">
        <v>3486</v>
      </c>
      <c r="N1201" t="s">
        <v>27</v>
      </c>
      <c r="O1201" t="s">
        <v>452</v>
      </c>
      <c r="P1201">
        <v>26.18</v>
      </c>
    </row>
    <row r="1202" spans="1:16">
      <c r="A1202" s="4">
        <v>2017</v>
      </c>
      <c r="B1202" s="4">
        <v>115504</v>
      </c>
      <c r="C1202" t="s">
        <v>1924</v>
      </c>
      <c r="D1202" t="s">
        <v>3487</v>
      </c>
      <c r="E1202" t="s">
        <v>18</v>
      </c>
      <c r="F1202" t="s">
        <v>3484</v>
      </c>
      <c r="G1202" t="s">
        <v>3485</v>
      </c>
      <c r="H1202" t="s">
        <v>33</v>
      </c>
      <c r="I1202" t="s">
        <v>22</v>
      </c>
      <c r="J1202" t="s">
        <v>3488</v>
      </c>
      <c r="K1202" t="s">
        <v>377</v>
      </c>
      <c r="L1202" t="s">
        <v>45</v>
      </c>
      <c r="M1202" t="s">
        <v>3489</v>
      </c>
      <c r="N1202" t="s">
        <v>27</v>
      </c>
      <c r="O1202" t="s">
        <v>52</v>
      </c>
      <c r="P1202">
        <v>12.96</v>
      </c>
    </row>
    <row r="1203" spans="1:16">
      <c r="A1203" s="4">
        <v>2016</v>
      </c>
      <c r="B1203" s="4">
        <v>138303</v>
      </c>
      <c r="C1203" t="s">
        <v>2577</v>
      </c>
      <c r="D1203" t="s">
        <v>1214</v>
      </c>
      <c r="E1203" t="s">
        <v>18</v>
      </c>
      <c r="F1203" t="s">
        <v>3490</v>
      </c>
      <c r="G1203" t="s">
        <v>3491</v>
      </c>
      <c r="H1203" t="s">
        <v>33</v>
      </c>
      <c r="I1203" t="s">
        <v>97</v>
      </c>
      <c r="J1203" t="s">
        <v>23</v>
      </c>
      <c r="K1203" t="s">
        <v>24</v>
      </c>
      <c r="L1203" t="s">
        <v>25</v>
      </c>
      <c r="M1203" t="s">
        <v>3492</v>
      </c>
      <c r="N1203" t="s">
        <v>27</v>
      </c>
      <c r="O1203" t="s">
        <v>58</v>
      </c>
      <c r="P1203">
        <v>36.335999999999999</v>
      </c>
    </row>
    <row r="1204" spans="1:16">
      <c r="A1204" s="4">
        <v>2018</v>
      </c>
      <c r="B1204" s="4">
        <v>108574</v>
      </c>
      <c r="C1204" t="s">
        <v>1737</v>
      </c>
      <c r="D1204" t="s">
        <v>1177</v>
      </c>
      <c r="E1204" t="s">
        <v>18</v>
      </c>
      <c r="F1204" t="s">
        <v>3490</v>
      </c>
      <c r="G1204" t="s">
        <v>3491</v>
      </c>
      <c r="H1204" t="s">
        <v>33</v>
      </c>
      <c r="I1204" t="s">
        <v>97</v>
      </c>
      <c r="J1204" t="s">
        <v>64</v>
      </c>
      <c r="K1204" t="s">
        <v>65</v>
      </c>
      <c r="L1204" t="s">
        <v>66</v>
      </c>
      <c r="M1204" t="s">
        <v>3493</v>
      </c>
      <c r="N1204" t="s">
        <v>38</v>
      </c>
      <c r="O1204" t="s">
        <v>68</v>
      </c>
      <c r="P1204">
        <v>1115.9100000000001</v>
      </c>
    </row>
    <row r="1205" spans="1:16">
      <c r="A1205" s="4">
        <v>2015</v>
      </c>
      <c r="B1205" s="4">
        <v>150574</v>
      </c>
      <c r="C1205" t="s">
        <v>709</v>
      </c>
      <c r="D1205" t="s">
        <v>2727</v>
      </c>
      <c r="E1205" t="s">
        <v>18</v>
      </c>
      <c r="F1205" t="s">
        <v>3494</v>
      </c>
      <c r="G1205" t="s">
        <v>3495</v>
      </c>
      <c r="H1205" t="s">
        <v>33</v>
      </c>
      <c r="I1205" t="s">
        <v>97</v>
      </c>
      <c r="J1205" t="s">
        <v>43</v>
      </c>
      <c r="K1205" t="s">
        <v>196</v>
      </c>
      <c r="L1205" t="s">
        <v>45</v>
      </c>
      <c r="M1205" t="s">
        <v>3496</v>
      </c>
      <c r="N1205" t="s">
        <v>27</v>
      </c>
      <c r="O1205" t="s">
        <v>101</v>
      </c>
      <c r="P1205">
        <v>4.8120000000000003</v>
      </c>
    </row>
    <row r="1206" spans="1:16">
      <c r="A1206" s="4">
        <v>2017</v>
      </c>
      <c r="B1206" s="4">
        <v>108455</v>
      </c>
      <c r="C1206" t="s">
        <v>219</v>
      </c>
      <c r="D1206" t="s">
        <v>220</v>
      </c>
      <c r="E1206" t="s">
        <v>18</v>
      </c>
      <c r="F1206" t="s">
        <v>3494</v>
      </c>
      <c r="G1206" t="s">
        <v>3495</v>
      </c>
      <c r="H1206" t="s">
        <v>33</v>
      </c>
      <c r="I1206" t="s">
        <v>97</v>
      </c>
      <c r="J1206" t="s">
        <v>226</v>
      </c>
      <c r="K1206" t="s">
        <v>65</v>
      </c>
      <c r="L1206" t="s">
        <v>66</v>
      </c>
      <c r="M1206" t="s">
        <v>2087</v>
      </c>
      <c r="N1206" t="s">
        <v>27</v>
      </c>
      <c r="O1206" t="s">
        <v>52</v>
      </c>
      <c r="P1206">
        <v>25.92</v>
      </c>
    </row>
    <row r="1207" spans="1:16">
      <c r="A1207" s="4">
        <v>2018</v>
      </c>
      <c r="B1207" s="4">
        <v>128755</v>
      </c>
      <c r="C1207" t="s">
        <v>2122</v>
      </c>
      <c r="D1207" t="s">
        <v>1841</v>
      </c>
      <c r="E1207" t="s">
        <v>18</v>
      </c>
      <c r="F1207" t="s">
        <v>3494</v>
      </c>
      <c r="G1207" t="s">
        <v>3495</v>
      </c>
      <c r="H1207" t="s">
        <v>33</v>
      </c>
      <c r="I1207" t="s">
        <v>97</v>
      </c>
      <c r="J1207" t="s">
        <v>2106</v>
      </c>
      <c r="K1207" t="s">
        <v>56</v>
      </c>
      <c r="L1207" t="s">
        <v>45</v>
      </c>
      <c r="M1207" t="s">
        <v>3497</v>
      </c>
      <c r="N1207" t="s">
        <v>27</v>
      </c>
      <c r="O1207" t="s">
        <v>52</v>
      </c>
      <c r="P1207">
        <v>9.11</v>
      </c>
    </row>
    <row r="1208" spans="1:16">
      <c r="A1208" s="4">
        <v>2018</v>
      </c>
      <c r="B1208" s="4">
        <v>169859</v>
      </c>
      <c r="C1208" t="s">
        <v>432</v>
      </c>
      <c r="D1208" t="s">
        <v>16</v>
      </c>
      <c r="E1208" t="s">
        <v>18</v>
      </c>
      <c r="F1208" t="s">
        <v>3498</v>
      </c>
      <c r="G1208" t="s">
        <v>3499</v>
      </c>
      <c r="H1208" t="s">
        <v>21</v>
      </c>
      <c r="I1208" t="s">
        <v>63</v>
      </c>
      <c r="J1208" t="s">
        <v>630</v>
      </c>
      <c r="K1208" t="s">
        <v>65</v>
      </c>
      <c r="L1208" t="s">
        <v>66</v>
      </c>
      <c r="M1208" t="s">
        <v>3492</v>
      </c>
      <c r="N1208" t="s">
        <v>79</v>
      </c>
      <c r="O1208" t="s">
        <v>80</v>
      </c>
      <c r="P1208">
        <v>26.25</v>
      </c>
    </row>
    <row r="1209" spans="1:16">
      <c r="A1209" s="4">
        <v>2018</v>
      </c>
      <c r="B1209" s="4">
        <v>101798</v>
      </c>
      <c r="C1209" t="s">
        <v>1702</v>
      </c>
      <c r="D1209" t="s">
        <v>2434</v>
      </c>
      <c r="E1209" t="s">
        <v>18</v>
      </c>
      <c r="F1209" t="s">
        <v>3500</v>
      </c>
      <c r="G1209" t="s">
        <v>3501</v>
      </c>
      <c r="H1209" t="s">
        <v>21</v>
      </c>
      <c r="I1209" t="s">
        <v>97</v>
      </c>
      <c r="J1209" t="s">
        <v>49</v>
      </c>
      <c r="K1209" t="s">
        <v>50</v>
      </c>
      <c r="L1209" t="s">
        <v>25</v>
      </c>
      <c r="M1209" t="s">
        <v>3502</v>
      </c>
      <c r="N1209" t="s">
        <v>27</v>
      </c>
      <c r="O1209" t="s">
        <v>101</v>
      </c>
      <c r="P1209">
        <v>23.36</v>
      </c>
    </row>
    <row r="1210" spans="1:16">
      <c r="A1210" s="4">
        <v>2015</v>
      </c>
      <c r="B1210" s="4">
        <v>150518</v>
      </c>
      <c r="C1210" t="s">
        <v>178</v>
      </c>
      <c r="D1210" t="s">
        <v>2046</v>
      </c>
      <c r="E1210" t="s">
        <v>18</v>
      </c>
      <c r="F1210" t="s">
        <v>3503</v>
      </c>
      <c r="G1210" t="s">
        <v>3504</v>
      </c>
      <c r="H1210" t="s">
        <v>21</v>
      </c>
      <c r="I1210" t="s">
        <v>97</v>
      </c>
      <c r="J1210" t="s">
        <v>3505</v>
      </c>
      <c r="K1210" t="s">
        <v>372</v>
      </c>
      <c r="L1210" t="s">
        <v>36</v>
      </c>
      <c r="M1210" t="s">
        <v>3506</v>
      </c>
      <c r="N1210" t="s">
        <v>27</v>
      </c>
      <c r="O1210" t="s">
        <v>58</v>
      </c>
      <c r="P1210">
        <v>221.16</v>
      </c>
    </row>
    <row r="1211" spans="1:16">
      <c r="A1211" s="4">
        <v>2015</v>
      </c>
      <c r="B1211" s="4">
        <v>117639</v>
      </c>
      <c r="C1211" t="s">
        <v>3507</v>
      </c>
      <c r="D1211" t="s">
        <v>2519</v>
      </c>
      <c r="E1211" t="s">
        <v>18</v>
      </c>
      <c r="F1211" t="s">
        <v>3508</v>
      </c>
      <c r="G1211" t="s">
        <v>3509</v>
      </c>
      <c r="H1211" t="s">
        <v>21</v>
      </c>
      <c r="I1211" t="s">
        <v>22</v>
      </c>
      <c r="J1211" t="s">
        <v>3510</v>
      </c>
      <c r="K1211" t="s">
        <v>56</v>
      </c>
      <c r="L1211" t="s">
        <v>45</v>
      </c>
      <c r="M1211" t="s">
        <v>3511</v>
      </c>
      <c r="N1211" t="s">
        <v>27</v>
      </c>
      <c r="O1211" t="s">
        <v>101</v>
      </c>
      <c r="P1211">
        <v>2715.93</v>
      </c>
    </row>
    <row r="1212" spans="1:16">
      <c r="A1212" s="4">
        <v>2016</v>
      </c>
      <c r="B1212" s="4">
        <v>119592</v>
      </c>
      <c r="C1212" t="s">
        <v>1889</v>
      </c>
      <c r="D1212" t="s">
        <v>1890</v>
      </c>
      <c r="E1212" t="s">
        <v>144</v>
      </c>
      <c r="F1212" t="s">
        <v>3512</v>
      </c>
      <c r="G1212" t="s">
        <v>3513</v>
      </c>
      <c r="H1212" t="s">
        <v>33</v>
      </c>
      <c r="I1212" t="s">
        <v>22</v>
      </c>
      <c r="J1212" t="s">
        <v>473</v>
      </c>
      <c r="K1212" t="s">
        <v>86</v>
      </c>
      <c r="L1212" t="s">
        <v>45</v>
      </c>
      <c r="M1212" t="s">
        <v>3514</v>
      </c>
      <c r="N1212" t="s">
        <v>27</v>
      </c>
      <c r="O1212" t="s">
        <v>101</v>
      </c>
      <c r="P1212">
        <v>3.76</v>
      </c>
    </row>
    <row r="1213" spans="1:16">
      <c r="A1213" s="4">
        <v>2017</v>
      </c>
      <c r="B1213" s="4">
        <v>134656</v>
      </c>
      <c r="C1213" t="s">
        <v>3515</v>
      </c>
      <c r="D1213" t="s">
        <v>1228</v>
      </c>
      <c r="E1213" t="s">
        <v>42</v>
      </c>
      <c r="F1213" t="s">
        <v>3512</v>
      </c>
      <c r="G1213" t="s">
        <v>3513</v>
      </c>
      <c r="H1213" t="s">
        <v>33</v>
      </c>
      <c r="I1213" t="s">
        <v>22</v>
      </c>
      <c r="J1213" t="s">
        <v>422</v>
      </c>
      <c r="K1213" t="s">
        <v>109</v>
      </c>
      <c r="L1213" t="s">
        <v>36</v>
      </c>
      <c r="M1213" t="s">
        <v>3516</v>
      </c>
      <c r="N1213" t="s">
        <v>27</v>
      </c>
      <c r="O1213" t="s">
        <v>52</v>
      </c>
      <c r="P1213">
        <v>99.135999999999996</v>
      </c>
    </row>
    <row r="1214" spans="1:16">
      <c r="A1214" s="4">
        <v>2017</v>
      </c>
      <c r="B1214" s="4">
        <v>132423</v>
      </c>
      <c r="C1214" t="s">
        <v>842</v>
      </c>
      <c r="D1214" t="s">
        <v>2208</v>
      </c>
      <c r="E1214" t="s">
        <v>18</v>
      </c>
      <c r="F1214" t="s">
        <v>3517</v>
      </c>
      <c r="G1214" t="s">
        <v>3518</v>
      </c>
      <c r="H1214" t="s">
        <v>33</v>
      </c>
      <c r="I1214" t="s">
        <v>22</v>
      </c>
      <c r="J1214" t="s">
        <v>3519</v>
      </c>
      <c r="K1214" t="s">
        <v>35</v>
      </c>
      <c r="L1214" t="s">
        <v>36</v>
      </c>
      <c r="M1214" t="s">
        <v>3520</v>
      </c>
      <c r="N1214" t="s">
        <v>27</v>
      </c>
      <c r="O1214" t="s">
        <v>28</v>
      </c>
      <c r="P1214">
        <v>33.488</v>
      </c>
    </row>
    <row r="1215" spans="1:16">
      <c r="A1215" s="4">
        <v>2015</v>
      </c>
      <c r="B1215" s="4">
        <v>118976</v>
      </c>
      <c r="C1215" t="s">
        <v>3521</v>
      </c>
      <c r="D1215" t="s">
        <v>2794</v>
      </c>
      <c r="E1215" t="s">
        <v>18</v>
      </c>
      <c r="F1215" t="s">
        <v>3517</v>
      </c>
      <c r="G1215" t="s">
        <v>3518</v>
      </c>
      <c r="H1215" t="s">
        <v>33</v>
      </c>
      <c r="I1215" t="s">
        <v>22</v>
      </c>
      <c r="J1215" t="s">
        <v>705</v>
      </c>
      <c r="K1215" t="s">
        <v>706</v>
      </c>
      <c r="L1215" t="s">
        <v>25</v>
      </c>
      <c r="M1215" t="s">
        <v>3522</v>
      </c>
      <c r="N1215" t="s">
        <v>27</v>
      </c>
      <c r="O1215" t="s">
        <v>101</v>
      </c>
      <c r="P1215">
        <v>20.86</v>
      </c>
    </row>
    <row r="1216" spans="1:16">
      <c r="A1216" s="4">
        <v>2015</v>
      </c>
      <c r="B1216" s="4">
        <v>105984</v>
      </c>
      <c r="C1216" t="s">
        <v>2046</v>
      </c>
      <c r="D1216" t="s">
        <v>2046</v>
      </c>
      <c r="E1216" t="s">
        <v>132</v>
      </c>
      <c r="F1216" t="s">
        <v>3517</v>
      </c>
      <c r="G1216" t="s">
        <v>3518</v>
      </c>
      <c r="H1216" t="s">
        <v>33</v>
      </c>
      <c r="I1216" t="s">
        <v>22</v>
      </c>
      <c r="J1216" t="s">
        <v>473</v>
      </c>
      <c r="K1216" t="s">
        <v>237</v>
      </c>
      <c r="L1216" t="s">
        <v>25</v>
      </c>
      <c r="M1216" t="s">
        <v>3523</v>
      </c>
      <c r="N1216" t="s">
        <v>38</v>
      </c>
      <c r="O1216" t="s">
        <v>118</v>
      </c>
      <c r="P1216">
        <v>1049.97</v>
      </c>
    </row>
    <row r="1217" spans="1:16">
      <c r="A1217" s="4">
        <v>2017</v>
      </c>
      <c r="B1217" s="4">
        <v>139549</v>
      </c>
      <c r="C1217" t="s">
        <v>3524</v>
      </c>
      <c r="D1217" t="s">
        <v>3525</v>
      </c>
      <c r="E1217" t="s">
        <v>18</v>
      </c>
      <c r="F1217" t="s">
        <v>3517</v>
      </c>
      <c r="G1217" t="s">
        <v>3518</v>
      </c>
      <c r="H1217" t="s">
        <v>33</v>
      </c>
      <c r="I1217" t="s">
        <v>22</v>
      </c>
      <c r="J1217" t="s">
        <v>3526</v>
      </c>
      <c r="K1217" t="s">
        <v>65</v>
      </c>
      <c r="L1217" t="s">
        <v>66</v>
      </c>
      <c r="M1217" t="s">
        <v>3527</v>
      </c>
      <c r="N1217" t="s">
        <v>79</v>
      </c>
      <c r="O1217" t="s">
        <v>138</v>
      </c>
      <c r="P1217">
        <v>387.13600000000002</v>
      </c>
    </row>
    <row r="1218" spans="1:16">
      <c r="A1218" s="4">
        <v>2018</v>
      </c>
      <c r="B1218" s="4">
        <v>133067</v>
      </c>
      <c r="C1218" t="s">
        <v>2122</v>
      </c>
      <c r="D1218" t="s">
        <v>3528</v>
      </c>
      <c r="E1218" t="s">
        <v>18</v>
      </c>
      <c r="F1218" t="s">
        <v>3517</v>
      </c>
      <c r="G1218" t="s">
        <v>3518</v>
      </c>
      <c r="H1218" t="s">
        <v>33</v>
      </c>
      <c r="I1218" t="s">
        <v>22</v>
      </c>
      <c r="J1218" t="s">
        <v>23</v>
      </c>
      <c r="K1218" t="s">
        <v>24</v>
      </c>
      <c r="L1218" t="s">
        <v>25</v>
      </c>
      <c r="M1218" t="s">
        <v>3529</v>
      </c>
      <c r="N1218" t="s">
        <v>27</v>
      </c>
      <c r="O1218" t="s">
        <v>101</v>
      </c>
      <c r="P1218">
        <v>2.202</v>
      </c>
    </row>
    <row r="1219" spans="1:16">
      <c r="A1219" s="4">
        <v>2017</v>
      </c>
      <c r="B1219" s="4">
        <v>160206</v>
      </c>
      <c r="C1219" t="s">
        <v>674</v>
      </c>
      <c r="D1219" t="s">
        <v>1876</v>
      </c>
      <c r="E1219" t="s">
        <v>18</v>
      </c>
      <c r="F1219" t="s">
        <v>3517</v>
      </c>
      <c r="G1219" t="s">
        <v>3518</v>
      </c>
      <c r="H1219" t="s">
        <v>33</v>
      </c>
      <c r="I1219" t="s">
        <v>22</v>
      </c>
      <c r="J1219" t="s">
        <v>477</v>
      </c>
      <c r="K1219" t="s">
        <v>478</v>
      </c>
      <c r="L1219" t="s">
        <v>36</v>
      </c>
      <c r="M1219" t="s">
        <v>3530</v>
      </c>
      <c r="N1219" t="s">
        <v>38</v>
      </c>
      <c r="O1219" t="s">
        <v>118</v>
      </c>
      <c r="P1219">
        <v>12.99</v>
      </c>
    </row>
    <row r="1220" spans="1:16">
      <c r="A1220" s="4">
        <v>2015</v>
      </c>
      <c r="B1220" s="4">
        <v>117135</v>
      </c>
      <c r="C1220" t="s">
        <v>1250</v>
      </c>
      <c r="D1220" t="s">
        <v>1765</v>
      </c>
      <c r="E1220" t="s">
        <v>144</v>
      </c>
      <c r="F1220" t="s">
        <v>3531</v>
      </c>
      <c r="G1220" t="s">
        <v>3532</v>
      </c>
      <c r="H1220" t="s">
        <v>33</v>
      </c>
      <c r="I1220" t="s">
        <v>97</v>
      </c>
      <c r="J1220" t="s">
        <v>77</v>
      </c>
      <c r="K1220" t="s">
        <v>56</v>
      </c>
      <c r="L1220" t="s">
        <v>45</v>
      </c>
      <c r="M1220" t="s">
        <v>3360</v>
      </c>
      <c r="N1220" t="s">
        <v>79</v>
      </c>
      <c r="O1220" t="s">
        <v>80</v>
      </c>
      <c r="P1220">
        <v>104.01</v>
      </c>
    </row>
    <row r="1221" spans="1:16">
      <c r="A1221" s="4">
        <v>2016</v>
      </c>
      <c r="B1221" s="4">
        <v>143490</v>
      </c>
      <c r="C1221" t="s">
        <v>603</v>
      </c>
      <c r="D1221" t="s">
        <v>3307</v>
      </c>
      <c r="E1221" t="s">
        <v>18</v>
      </c>
      <c r="F1221" t="s">
        <v>3531</v>
      </c>
      <c r="G1221" t="s">
        <v>3532</v>
      </c>
      <c r="H1221" t="s">
        <v>33</v>
      </c>
      <c r="I1221" t="s">
        <v>97</v>
      </c>
      <c r="J1221" t="s">
        <v>630</v>
      </c>
      <c r="K1221" t="s">
        <v>65</v>
      </c>
      <c r="L1221" t="s">
        <v>66</v>
      </c>
      <c r="M1221" t="s">
        <v>3533</v>
      </c>
      <c r="N1221" t="s">
        <v>27</v>
      </c>
      <c r="O1221" t="s">
        <v>28</v>
      </c>
      <c r="P1221">
        <v>120.15</v>
      </c>
    </row>
    <row r="1222" spans="1:16">
      <c r="A1222" s="4">
        <v>2016</v>
      </c>
      <c r="B1222" s="4">
        <v>112452</v>
      </c>
      <c r="C1222" t="s">
        <v>1807</v>
      </c>
      <c r="D1222" t="s">
        <v>1807</v>
      </c>
      <c r="E1222" t="s">
        <v>132</v>
      </c>
      <c r="F1222" t="s">
        <v>3534</v>
      </c>
      <c r="G1222" t="s">
        <v>3535</v>
      </c>
      <c r="H1222" t="s">
        <v>33</v>
      </c>
      <c r="I1222" t="s">
        <v>97</v>
      </c>
      <c r="J1222" t="s">
        <v>2056</v>
      </c>
      <c r="K1222" t="s">
        <v>855</v>
      </c>
      <c r="L1222" t="s">
        <v>36</v>
      </c>
      <c r="M1222" t="s">
        <v>3536</v>
      </c>
      <c r="N1222" t="s">
        <v>27</v>
      </c>
      <c r="O1222" t="s">
        <v>228</v>
      </c>
      <c r="P1222">
        <v>644.07600000000002</v>
      </c>
    </row>
    <row r="1223" spans="1:16">
      <c r="A1223" s="4">
        <v>2018</v>
      </c>
      <c r="B1223" s="4">
        <v>111332</v>
      </c>
      <c r="C1223" t="s">
        <v>3537</v>
      </c>
      <c r="D1223" t="s">
        <v>3538</v>
      </c>
      <c r="E1223" t="s">
        <v>144</v>
      </c>
      <c r="F1223" t="s">
        <v>3534</v>
      </c>
      <c r="G1223" t="s">
        <v>3535</v>
      </c>
      <c r="H1223" t="s">
        <v>33</v>
      </c>
      <c r="I1223" t="s">
        <v>97</v>
      </c>
      <c r="J1223" t="s">
        <v>1328</v>
      </c>
      <c r="K1223" t="s">
        <v>1329</v>
      </c>
      <c r="L1223" t="s">
        <v>36</v>
      </c>
      <c r="M1223" t="s">
        <v>3539</v>
      </c>
      <c r="N1223" t="s">
        <v>27</v>
      </c>
      <c r="O1223" t="s">
        <v>28</v>
      </c>
      <c r="P1223">
        <v>131.94</v>
      </c>
    </row>
    <row r="1224" spans="1:16">
      <c r="A1224" s="4">
        <v>2017</v>
      </c>
      <c r="B1224" s="4">
        <v>124485</v>
      </c>
      <c r="C1224" t="s">
        <v>359</v>
      </c>
      <c r="D1224" t="s">
        <v>1240</v>
      </c>
      <c r="E1224" t="s">
        <v>42</v>
      </c>
      <c r="F1224" t="s">
        <v>3534</v>
      </c>
      <c r="G1224" t="s">
        <v>3535</v>
      </c>
      <c r="H1224" t="s">
        <v>33</v>
      </c>
      <c r="I1224" t="s">
        <v>97</v>
      </c>
      <c r="J1224" t="s">
        <v>49</v>
      </c>
      <c r="K1224" t="s">
        <v>50</v>
      </c>
      <c r="L1224" t="s">
        <v>25</v>
      </c>
      <c r="M1224" t="s">
        <v>3540</v>
      </c>
      <c r="N1224" t="s">
        <v>27</v>
      </c>
      <c r="O1224" t="s">
        <v>101</v>
      </c>
      <c r="P1224">
        <v>17.216000000000001</v>
      </c>
    </row>
    <row r="1225" spans="1:16">
      <c r="A1225" s="4">
        <v>2016</v>
      </c>
      <c r="B1225" s="4">
        <v>130519</v>
      </c>
      <c r="C1225" t="s">
        <v>150</v>
      </c>
      <c r="D1225" t="s">
        <v>150</v>
      </c>
      <c r="E1225" t="s">
        <v>132</v>
      </c>
      <c r="F1225" t="s">
        <v>3541</v>
      </c>
      <c r="G1225" t="s">
        <v>3542</v>
      </c>
      <c r="H1225" t="s">
        <v>33</v>
      </c>
      <c r="I1225" t="s">
        <v>22</v>
      </c>
      <c r="J1225" t="s">
        <v>3543</v>
      </c>
      <c r="K1225" t="s">
        <v>196</v>
      </c>
      <c r="L1225" t="s">
        <v>45</v>
      </c>
      <c r="M1225" t="s">
        <v>3544</v>
      </c>
      <c r="N1225" t="s">
        <v>27</v>
      </c>
      <c r="O1225" t="s">
        <v>52</v>
      </c>
      <c r="P1225">
        <v>15.552</v>
      </c>
    </row>
    <row r="1226" spans="1:16">
      <c r="A1226" s="4">
        <v>2018</v>
      </c>
      <c r="B1226" s="4">
        <v>116659</v>
      </c>
      <c r="C1226" t="s">
        <v>976</v>
      </c>
      <c r="D1226" t="s">
        <v>976</v>
      </c>
      <c r="E1226" t="s">
        <v>132</v>
      </c>
      <c r="F1226" t="s">
        <v>3541</v>
      </c>
      <c r="G1226" t="s">
        <v>3542</v>
      </c>
      <c r="H1226" t="s">
        <v>33</v>
      </c>
      <c r="I1226" t="s">
        <v>22</v>
      </c>
      <c r="J1226" t="s">
        <v>987</v>
      </c>
      <c r="K1226" t="s">
        <v>237</v>
      </c>
      <c r="L1226" t="s">
        <v>25</v>
      </c>
      <c r="M1226" t="s">
        <v>1685</v>
      </c>
      <c r="N1226" t="s">
        <v>38</v>
      </c>
      <c r="O1226" t="s">
        <v>118</v>
      </c>
      <c r="P1226">
        <v>370.78199999999998</v>
      </c>
    </row>
    <row r="1227" spans="1:16">
      <c r="A1227" s="4">
        <v>2018</v>
      </c>
      <c r="B1227" s="4">
        <v>117947</v>
      </c>
      <c r="C1227" t="s">
        <v>1833</v>
      </c>
      <c r="D1227" t="s">
        <v>3545</v>
      </c>
      <c r="E1227" t="s">
        <v>144</v>
      </c>
      <c r="F1227" t="s">
        <v>3541</v>
      </c>
      <c r="G1227" t="s">
        <v>3542</v>
      </c>
      <c r="H1227" t="s">
        <v>33</v>
      </c>
      <c r="I1227" t="s">
        <v>22</v>
      </c>
      <c r="J1227" t="s">
        <v>49</v>
      </c>
      <c r="K1227" t="s">
        <v>50</v>
      </c>
      <c r="L1227" t="s">
        <v>25</v>
      </c>
      <c r="M1227" t="s">
        <v>3536</v>
      </c>
      <c r="N1227" t="s">
        <v>79</v>
      </c>
      <c r="O1227" t="s">
        <v>80</v>
      </c>
      <c r="P1227">
        <v>40.479999999999997</v>
      </c>
    </row>
    <row r="1228" spans="1:16">
      <c r="A1228" s="4">
        <v>2015</v>
      </c>
      <c r="B1228" s="4">
        <v>148915</v>
      </c>
      <c r="C1228" t="s">
        <v>3546</v>
      </c>
      <c r="D1228" t="s">
        <v>3547</v>
      </c>
      <c r="E1228" t="s">
        <v>18</v>
      </c>
      <c r="F1228" t="s">
        <v>3548</v>
      </c>
      <c r="G1228" t="s">
        <v>3549</v>
      </c>
      <c r="H1228" t="s">
        <v>33</v>
      </c>
      <c r="I1228" t="s">
        <v>97</v>
      </c>
      <c r="J1228" t="s">
        <v>1734</v>
      </c>
      <c r="K1228" t="s">
        <v>323</v>
      </c>
      <c r="L1228" t="s">
        <v>66</v>
      </c>
      <c r="M1228" t="s">
        <v>1465</v>
      </c>
      <c r="N1228" t="s">
        <v>27</v>
      </c>
      <c r="O1228" t="s">
        <v>58</v>
      </c>
      <c r="P1228">
        <v>443.92</v>
      </c>
    </row>
    <row r="1229" spans="1:16">
      <c r="A1229" s="4">
        <v>2017</v>
      </c>
      <c r="B1229" s="4">
        <v>145247</v>
      </c>
      <c r="C1229" t="s">
        <v>686</v>
      </c>
      <c r="D1229" t="s">
        <v>1027</v>
      </c>
      <c r="E1229" t="s">
        <v>42</v>
      </c>
      <c r="F1229" t="s">
        <v>3548</v>
      </c>
      <c r="G1229" t="s">
        <v>3549</v>
      </c>
      <c r="H1229" t="s">
        <v>33</v>
      </c>
      <c r="I1229" t="s">
        <v>97</v>
      </c>
      <c r="J1229" t="s">
        <v>617</v>
      </c>
      <c r="K1229" t="s">
        <v>126</v>
      </c>
      <c r="L1229" t="s">
        <v>45</v>
      </c>
      <c r="M1229" t="s">
        <v>3550</v>
      </c>
      <c r="N1229" t="s">
        <v>27</v>
      </c>
      <c r="O1229" t="s">
        <v>52</v>
      </c>
      <c r="P1229">
        <v>79.14</v>
      </c>
    </row>
    <row r="1230" spans="1:16">
      <c r="A1230" s="4">
        <v>2017</v>
      </c>
      <c r="B1230" s="4">
        <v>130778</v>
      </c>
      <c r="C1230" t="s">
        <v>1446</v>
      </c>
      <c r="D1230" t="s">
        <v>2131</v>
      </c>
      <c r="E1230" t="s">
        <v>18</v>
      </c>
      <c r="F1230" t="s">
        <v>3548</v>
      </c>
      <c r="G1230" t="s">
        <v>3549</v>
      </c>
      <c r="H1230" t="s">
        <v>33</v>
      </c>
      <c r="I1230" t="s">
        <v>97</v>
      </c>
      <c r="J1230" t="s">
        <v>1130</v>
      </c>
      <c r="K1230" t="s">
        <v>50</v>
      </c>
      <c r="L1230" t="s">
        <v>25</v>
      </c>
      <c r="M1230" t="s">
        <v>1844</v>
      </c>
      <c r="N1230" t="s">
        <v>27</v>
      </c>
      <c r="O1230" t="s">
        <v>228</v>
      </c>
      <c r="P1230">
        <v>8.74</v>
      </c>
    </row>
    <row r="1231" spans="1:16">
      <c r="A1231" s="4">
        <v>2018</v>
      </c>
      <c r="B1231" s="4">
        <v>155705</v>
      </c>
      <c r="C1231" t="s">
        <v>2317</v>
      </c>
      <c r="D1231" t="s">
        <v>3545</v>
      </c>
      <c r="E1231" t="s">
        <v>144</v>
      </c>
      <c r="F1231" t="s">
        <v>3551</v>
      </c>
      <c r="G1231" t="s">
        <v>3552</v>
      </c>
      <c r="H1231" t="s">
        <v>33</v>
      </c>
      <c r="I1231" t="s">
        <v>97</v>
      </c>
      <c r="J1231" t="s">
        <v>854</v>
      </c>
      <c r="K1231" t="s">
        <v>1444</v>
      </c>
      <c r="L1231" t="s">
        <v>45</v>
      </c>
      <c r="M1231" t="s">
        <v>3553</v>
      </c>
      <c r="N1231" t="s">
        <v>79</v>
      </c>
      <c r="O1231" t="s">
        <v>138</v>
      </c>
      <c r="P1231">
        <v>866.4</v>
      </c>
    </row>
    <row r="1232" spans="1:16">
      <c r="A1232" s="4">
        <v>2017</v>
      </c>
      <c r="B1232" s="4">
        <v>157945</v>
      </c>
      <c r="C1232" t="s">
        <v>1054</v>
      </c>
      <c r="D1232" t="s">
        <v>1228</v>
      </c>
      <c r="E1232" t="s">
        <v>18</v>
      </c>
      <c r="F1232" t="s">
        <v>3551</v>
      </c>
      <c r="G1232" t="s">
        <v>3552</v>
      </c>
      <c r="H1232" t="s">
        <v>33</v>
      </c>
      <c r="I1232" t="s">
        <v>97</v>
      </c>
      <c r="J1232" t="s">
        <v>158</v>
      </c>
      <c r="K1232" t="s">
        <v>109</v>
      </c>
      <c r="L1232" t="s">
        <v>36</v>
      </c>
      <c r="M1232" t="s">
        <v>3554</v>
      </c>
      <c r="N1232" t="s">
        <v>79</v>
      </c>
      <c r="O1232" t="s">
        <v>138</v>
      </c>
      <c r="P1232">
        <v>747.55799999999999</v>
      </c>
    </row>
    <row r="1233" spans="1:16">
      <c r="A1233" s="4">
        <v>2016</v>
      </c>
      <c r="B1233" s="4">
        <v>102582</v>
      </c>
      <c r="C1233" t="s">
        <v>150</v>
      </c>
      <c r="D1233" t="s">
        <v>1279</v>
      </c>
      <c r="E1233" t="s">
        <v>18</v>
      </c>
      <c r="F1233" t="s">
        <v>3555</v>
      </c>
      <c r="G1233" t="s">
        <v>3556</v>
      </c>
      <c r="H1233" t="s">
        <v>33</v>
      </c>
      <c r="I1233" t="s">
        <v>97</v>
      </c>
      <c r="J1233" t="s">
        <v>3262</v>
      </c>
      <c r="K1233" t="s">
        <v>518</v>
      </c>
      <c r="L1233" t="s">
        <v>45</v>
      </c>
      <c r="M1233" t="s">
        <v>3557</v>
      </c>
      <c r="N1233" t="s">
        <v>79</v>
      </c>
      <c r="O1233" t="s">
        <v>347</v>
      </c>
      <c r="P1233">
        <v>801.96</v>
      </c>
    </row>
    <row r="1234" spans="1:16">
      <c r="A1234" s="4">
        <v>2016</v>
      </c>
      <c r="B1234" s="4">
        <v>115511</v>
      </c>
      <c r="C1234" t="s">
        <v>980</v>
      </c>
      <c r="D1234" t="s">
        <v>973</v>
      </c>
      <c r="E1234" t="s">
        <v>18</v>
      </c>
      <c r="F1234" t="s">
        <v>3555</v>
      </c>
      <c r="G1234" t="s">
        <v>3556</v>
      </c>
      <c r="H1234" t="s">
        <v>33</v>
      </c>
      <c r="I1234" t="s">
        <v>97</v>
      </c>
      <c r="J1234" t="s">
        <v>2763</v>
      </c>
      <c r="K1234" t="s">
        <v>91</v>
      </c>
      <c r="L1234" t="s">
        <v>66</v>
      </c>
      <c r="M1234" t="s">
        <v>3558</v>
      </c>
      <c r="N1234" t="s">
        <v>79</v>
      </c>
      <c r="O1234" t="s">
        <v>286</v>
      </c>
      <c r="P1234">
        <v>141.96</v>
      </c>
    </row>
    <row r="1235" spans="1:16">
      <c r="A1235" s="4">
        <v>2015</v>
      </c>
      <c r="B1235" s="4">
        <v>138317</v>
      </c>
      <c r="C1235" t="s">
        <v>1250</v>
      </c>
      <c r="D1235" t="s">
        <v>1635</v>
      </c>
      <c r="E1235" t="s">
        <v>18</v>
      </c>
      <c r="F1235" t="s">
        <v>3555</v>
      </c>
      <c r="G1235" t="s">
        <v>3556</v>
      </c>
      <c r="H1235" t="s">
        <v>33</v>
      </c>
      <c r="I1235" t="s">
        <v>97</v>
      </c>
      <c r="J1235" t="s">
        <v>23</v>
      </c>
      <c r="K1235" t="s">
        <v>24</v>
      </c>
      <c r="L1235" t="s">
        <v>25</v>
      </c>
      <c r="M1235" t="s">
        <v>1930</v>
      </c>
      <c r="N1235" t="s">
        <v>27</v>
      </c>
      <c r="O1235" t="s">
        <v>501</v>
      </c>
      <c r="P1235">
        <v>24.896000000000001</v>
      </c>
    </row>
    <row r="1236" spans="1:16">
      <c r="A1236" s="4">
        <v>2017</v>
      </c>
      <c r="B1236" s="4">
        <v>156503</v>
      </c>
      <c r="C1236" t="s">
        <v>723</v>
      </c>
      <c r="D1236" t="s">
        <v>3524</v>
      </c>
      <c r="E1236" t="s">
        <v>18</v>
      </c>
      <c r="F1236" t="s">
        <v>3559</v>
      </c>
      <c r="G1236" t="s">
        <v>3560</v>
      </c>
      <c r="H1236" t="s">
        <v>33</v>
      </c>
      <c r="I1236" t="s">
        <v>97</v>
      </c>
      <c r="J1236" t="s">
        <v>43</v>
      </c>
      <c r="K1236" t="s">
        <v>44</v>
      </c>
      <c r="L1236" t="s">
        <v>45</v>
      </c>
      <c r="M1236" t="s">
        <v>3561</v>
      </c>
      <c r="N1236" t="s">
        <v>79</v>
      </c>
      <c r="O1236" t="s">
        <v>138</v>
      </c>
      <c r="P1236">
        <v>102.592</v>
      </c>
    </row>
    <row r="1237" spans="1:16">
      <c r="A1237" s="4">
        <v>2015</v>
      </c>
      <c r="B1237" s="4">
        <v>135755</v>
      </c>
      <c r="C1237" t="s">
        <v>2794</v>
      </c>
      <c r="D1237" t="s">
        <v>2307</v>
      </c>
      <c r="E1237" t="s">
        <v>18</v>
      </c>
      <c r="F1237" t="s">
        <v>3559</v>
      </c>
      <c r="G1237" t="s">
        <v>3560</v>
      </c>
      <c r="H1237" t="s">
        <v>33</v>
      </c>
      <c r="I1237" t="s">
        <v>97</v>
      </c>
      <c r="J1237" t="s">
        <v>3477</v>
      </c>
      <c r="K1237" t="s">
        <v>50</v>
      </c>
      <c r="L1237" t="s">
        <v>25</v>
      </c>
      <c r="M1237" t="s">
        <v>3562</v>
      </c>
      <c r="N1237" t="s">
        <v>27</v>
      </c>
      <c r="O1237" t="s">
        <v>101</v>
      </c>
      <c r="P1237">
        <v>40.176000000000002</v>
      </c>
    </row>
    <row r="1238" spans="1:16">
      <c r="A1238" s="4">
        <v>2015</v>
      </c>
      <c r="B1238" s="4">
        <v>115973</v>
      </c>
      <c r="C1238" t="s">
        <v>2046</v>
      </c>
      <c r="D1238" t="s">
        <v>2047</v>
      </c>
      <c r="E1238" t="s">
        <v>42</v>
      </c>
      <c r="F1238" t="s">
        <v>3563</v>
      </c>
      <c r="G1238" t="s">
        <v>3564</v>
      </c>
      <c r="H1238" t="s">
        <v>33</v>
      </c>
      <c r="I1238" t="s">
        <v>97</v>
      </c>
      <c r="J1238" t="s">
        <v>341</v>
      </c>
      <c r="K1238" t="s">
        <v>237</v>
      </c>
      <c r="L1238" t="s">
        <v>25</v>
      </c>
      <c r="M1238" t="s">
        <v>3565</v>
      </c>
      <c r="N1238" t="s">
        <v>27</v>
      </c>
      <c r="O1238" t="s">
        <v>28</v>
      </c>
      <c r="P1238">
        <v>2.6240000000000001</v>
      </c>
    </row>
    <row r="1239" spans="1:16">
      <c r="A1239" s="4">
        <v>2018</v>
      </c>
      <c r="B1239" s="4">
        <v>130386</v>
      </c>
      <c r="C1239" t="s">
        <v>976</v>
      </c>
      <c r="D1239" t="s">
        <v>608</v>
      </c>
      <c r="E1239" t="s">
        <v>18</v>
      </c>
      <c r="F1239" t="s">
        <v>3563</v>
      </c>
      <c r="G1239" t="s">
        <v>3564</v>
      </c>
      <c r="H1239" t="s">
        <v>33</v>
      </c>
      <c r="I1239" t="s">
        <v>97</v>
      </c>
      <c r="J1239" t="s">
        <v>34</v>
      </c>
      <c r="K1239" t="s">
        <v>35</v>
      </c>
      <c r="L1239" t="s">
        <v>36</v>
      </c>
      <c r="M1239" t="s">
        <v>3566</v>
      </c>
      <c r="N1239" t="s">
        <v>27</v>
      </c>
      <c r="O1239" t="s">
        <v>52</v>
      </c>
      <c r="P1239">
        <v>16.056000000000001</v>
      </c>
    </row>
    <row r="1240" spans="1:16">
      <c r="A1240" s="4">
        <v>2015</v>
      </c>
      <c r="B1240" s="4">
        <v>122749</v>
      </c>
      <c r="C1240" t="s">
        <v>458</v>
      </c>
      <c r="D1240" t="s">
        <v>1676</v>
      </c>
      <c r="E1240" t="s">
        <v>18</v>
      </c>
      <c r="F1240" t="s">
        <v>3563</v>
      </c>
      <c r="G1240" t="s">
        <v>3564</v>
      </c>
      <c r="H1240" t="s">
        <v>33</v>
      </c>
      <c r="I1240" t="s">
        <v>97</v>
      </c>
      <c r="J1240" t="s">
        <v>648</v>
      </c>
      <c r="K1240" t="s">
        <v>152</v>
      </c>
      <c r="L1240" t="s">
        <v>36</v>
      </c>
      <c r="M1240" t="s">
        <v>919</v>
      </c>
      <c r="N1240" t="s">
        <v>38</v>
      </c>
      <c r="O1240" t="s">
        <v>118</v>
      </c>
      <c r="P1240">
        <v>479.96</v>
      </c>
    </row>
    <row r="1241" spans="1:16">
      <c r="A1241" s="4">
        <v>2015</v>
      </c>
      <c r="B1241" s="4">
        <v>164973</v>
      </c>
      <c r="C1241" t="s">
        <v>2287</v>
      </c>
      <c r="D1241" t="s">
        <v>2631</v>
      </c>
      <c r="E1241" t="s">
        <v>18</v>
      </c>
      <c r="F1241" t="s">
        <v>3567</v>
      </c>
      <c r="G1241" t="s">
        <v>3568</v>
      </c>
      <c r="H1241" t="s">
        <v>21</v>
      </c>
      <c r="I1241" t="s">
        <v>63</v>
      </c>
      <c r="J1241" t="s">
        <v>49</v>
      </c>
      <c r="K1241" t="s">
        <v>50</v>
      </c>
      <c r="L1241" t="s">
        <v>25</v>
      </c>
      <c r="M1241" t="s">
        <v>3569</v>
      </c>
      <c r="N1241" t="s">
        <v>79</v>
      </c>
      <c r="O1241" t="s">
        <v>138</v>
      </c>
      <c r="P1241">
        <v>135.88200000000001</v>
      </c>
    </row>
    <row r="1242" spans="1:16">
      <c r="A1242" s="4">
        <v>2018</v>
      </c>
      <c r="B1242" s="4">
        <v>127803</v>
      </c>
      <c r="C1242" t="s">
        <v>528</v>
      </c>
      <c r="D1242" t="s">
        <v>529</v>
      </c>
      <c r="E1242" t="s">
        <v>18</v>
      </c>
      <c r="F1242" t="s">
        <v>3570</v>
      </c>
      <c r="G1242" t="s">
        <v>3571</v>
      </c>
      <c r="H1242" t="s">
        <v>33</v>
      </c>
      <c r="I1242" t="s">
        <v>22</v>
      </c>
      <c r="J1242" t="s">
        <v>1079</v>
      </c>
      <c r="K1242" t="s">
        <v>518</v>
      </c>
      <c r="L1242" t="s">
        <v>45</v>
      </c>
      <c r="M1242" t="s">
        <v>3572</v>
      </c>
      <c r="N1242" t="s">
        <v>27</v>
      </c>
      <c r="O1242" t="s">
        <v>101</v>
      </c>
      <c r="P1242">
        <v>26.16</v>
      </c>
    </row>
    <row r="1243" spans="1:16">
      <c r="A1243" s="4">
        <v>2016</v>
      </c>
      <c r="B1243" s="4">
        <v>140851</v>
      </c>
      <c r="C1243" t="s">
        <v>1390</v>
      </c>
      <c r="D1243" t="s">
        <v>3573</v>
      </c>
      <c r="E1243" t="s">
        <v>144</v>
      </c>
      <c r="F1243" t="s">
        <v>3570</v>
      </c>
      <c r="G1243" t="s">
        <v>3571</v>
      </c>
      <c r="H1243" t="s">
        <v>33</v>
      </c>
      <c r="I1243" t="s">
        <v>22</v>
      </c>
      <c r="J1243" t="s">
        <v>2733</v>
      </c>
      <c r="K1243" t="s">
        <v>86</v>
      </c>
      <c r="L1243" t="s">
        <v>45</v>
      </c>
      <c r="M1243" t="s">
        <v>3574</v>
      </c>
      <c r="N1243" t="s">
        <v>27</v>
      </c>
      <c r="O1243" t="s">
        <v>52</v>
      </c>
      <c r="P1243">
        <v>38.880000000000003</v>
      </c>
    </row>
    <row r="1244" spans="1:16">
      <c r="A1244" s="4">
        <v>2018</v>
      </c>
      <c r="B1244" s="4">
        <v>107167</v>
      </c>
      <c r="C1244" t="s">
        <v>775</v>
      </c>
      <c r="D1244" t="s">
        <v>3575</v>
      </c>
      <c r="E1244" t="s">
        <v>18</v>
      </c>
      <c r="F1244" t="s">
        <v>3570</v>
      </c>
      <c r="G1244" t="s">
        <v>3571</v>
      </c>
      <c r="H1244" t="s">
        <v>33</v>
      </c>
      <c r="I1244" t="s">
        <v>22</v>
      </c>
      <c r="J1244" t="s">
        <v>43</v>
      </c>
      <c r="K1244" t="s">
        <v>196</v>
      </c>
      <c r="L1244" t="s">
        <v>45</v>
      </c>
      <c r="M1244" t="s">
        <v>3576</v>
      </c>
      <c r="N1244" t="s">
        <v>27</v>
      </c>
      <c r="O1244" t="s">
        <v>58</v>
      </c>
      <c r="P1244">
        <v>1347.52</v>
      </c>
    </row>
    <row r="1245" spans="1:16">
      <c r="A1245" s="4">
        <v>2017</v>
      </c>
      <c r="B1245" s="4">
        <v>162404</v>
      </c>
      <c r="C1245" t="s">
        <v>2583</v>
      </c>
      <c r="D1245" t="s">
        <v>1132</v>
      </c>
      <c r="E1245" t="s">
        <v>18</v>
      </c>
      <c r="F1245" t="s">
        <v>3577</v>
      </c>
      <c r="G1245" t="s">
        <v>3578</v>
      </c>
      <c r="H1245" t="s">
        <v>33</v>
      </c>
      <c r="I1245" t="s">
        <v>63</v>
      </c>
      <c r="J1245" t="s">
        <v>1566</v>
      </c>
      <c r="K1245" t="s">
        <v>109</v>
      </c>
      <c r="L1245" t="s">
        <v>36</v>
      </c>
      <c r="M1245" t="s">
        <v>3579</v>
      </c>
      <c r="N1245" t="s">
        <v>27</v>
      </c>
      <c r="O1245" t="s">
        <v>101</v>
      </c>
      <c r="P1245">
        <v>11.416</v>
      </c>
    </row>
    <row r="1246" spans="1:16">
      <c r="A1246" s="4">
        <v>2015</v>
      </c>
      <c r="B1246" s="4">
        <v>132745</v>
      </c>
      <c r="C1246" t="s">
        <v>2956</v>
      </c>
      <c r="D1246" t="s">
        <v>771</v>
      </c>
      <c r="E1246" t="s">
        <v>18</v>
      </c>
      <c r="F1246" t="s">
        <v>3577</v>
      </c>
      <c r="G1246" t="s">
        <v>3578</v>
      </c>
      <c r="H1246" t="s">
        <v>33</v>
      </c>
      <c r="I1246" t="s">
        <v>63</v>
      </c>
      <c r="J1246" t="s">
        <v>2989</v>
      </c>
      <c r="K1246" t="s">
        <v>91</v>
      </c>
      <c r="L1246" t="s">
        <v>66</v>
      </c>
      <c r="M1246" t="s">
        <v>3580</v>
      </c>
      <c r="N1246" t="s">
        <v>27</v>
      </c>
      <c r="O1246" t="s">
        <v>452</v>
      </c>
      <c r="P1246">
        <v>4.71</v>
      </c>
    </row>
    <row r="1247" spans="1:16">
      <c r="A1247" s="4">
        <v>2018</v>
      </c>
      <c r="B1247" s="4">
        <v>126536</v>
      </c>
      <c r="C1247" t="s">
        <v>3323</v>
      </c>
      <c r="D1247" t="s">
        <v>799</v>
      </c>
      <c r="E1247" t="s">
        <v>42</v>
      </c>
      <c r="F1247" t="s">
        <v>3581</v>
      </c>
      <c r="G1247" t="s">
        <v>3582</v>
      </c>
      <c r="H1247" t="s">
        <v>33</v>
      </c>
      <c r="I1247" t="s">
        <v>63</v>
      </c>
      <c r="J1247" t="s">
        <v>226</v>
      </c>
      <c r="K1247" t="s">
        <v>65</v>
      </c>
      <c r="L1247" t="s">
        <v>66</v>
      </c>
      <c r="M1247" t="s">
        <v>3583</v>
      </c>
      <c r="N1247" t="s">
        <v>38</v>
      </c>
      <c r="O1247" t="s">
        <v>68</v>
      </c>
      <c r="P1247">
        <v>0.99</v>
      </c>
    </row>
    <row r="1248" spans="1:16">
      <c r="A1248" s="4">
        <v>2018</v>
      </c>
      <c r="B1248" s="4">
        <v>148166</v>
      </c>
      <c r="C1248" t="s">
        <v>544</v>
      </c>
      <c r="D1248" t="s">
        <v>3584</v>
      </c>
      <c r="E1248" t="s">
        <v>18</v>
      </c>
      <c r="F1248" t="s">
        <v>3581</v>
      </c>
      <c r="G1248" t="s">
        <v>3582</v>
      </c>
      <c r="H1248" t="s">
        <v>33</v>
      </c>
      <c r="I1248" t="s">
        <v>63</v>
      </c>
      <c r="J1248" t="s">
        <v>3585</v>
      </c>
      <c r="K1248" t="s">
        <v>196</v>
      </c>
      <c r="L1248" t="s">
        <v>45</v>
      </c>
      <c r="M1248" t="s">
        <v>3586</v>
      </c>
      <c r="N1248" t="s">
        <v>27</v>
      </c>
      <c r="O1248" t="s">
        <v>28</v>
      </c>
      <c r="P1248">
        <v>17.856000000000002</v>
      </c>
    </row>
    <row r="1249" spans="1:16">
      <c r="A1249" s="4">
        <v>2017</v>
      </c>
      <c r="B1249" s="4">
        <v>141586</v>
      </c>
      <c r="C1249" t="s">
        <v>3587</v>
      </c>
      <c r="D1249" t="s">
        <v>3524</v>
      </c>
      <c r="E1249" t="s">
        <v>42</v>
      </c>
      <c r="F1249" t="s">
        <v>3581</v>
      </c>
      <c r="G1249" t="s">
        <v>3582</v>
      </c>
      <c r="H1249" t="s">
        <v>33</v>
      </c>
      <c r="I1249" t="s">
        <v>63</v>
      </c>
      <c r="J1249" t="s">
        <v>226</v>
      </c>
      <c r="K1249" t="s">
        <v>65</v>
      </c>
      <c r="L1249" t="s">
        <v>66</v>
      </c>
      <c r="M1249" t="s">
        <v>1248</v>
      </c>
      <c r="N1249" t="s">
        <v>27</v>
      </c>
      <c r="O1249" t="s">
        <v>101</v>
      </c>
      <c r="P1249">
        <v>18.16</v>
      </c>
    </row>
    <row r="1250" spans="1:16">
      <c r="A1250" s="4">
        <v>2016</v>
      </c>
      <c r="B1250" s="4">
        <v>118948</v>
      </c>
      <c r="C1250" t="s">
        <v>2067</v>
      </c>
      <c r="D1250" t="s">
        <v>2758</v>
      </c>
      <c r="E1250" t="s">
        <v>18</v>
      </c>
      <c r="F1250" t="s">
        <v>3581</v>
      </c>
      <c r="G1250" t="s">
        <v>3582</v>
      </c>
      <c r="H1250" t="s">
        <v>33</v>
      </c>
      <c r="I1250" t="s">
        <v>63</v>
      </c>
      <c r="J1250" t="s">
        <v>271</v>
      </c>
      <c r="K1250" t="s">
        <v>165</v>
      </c>
      <c r="L1250" t="s">
        <v>66</v>
      </c>
      <c r="M1250" t="s">
        <v>3588</v>
      </c>
      <c r="N1250" t="s">
        <v>27</v>
      </c>
      <c r="O1250" t="s">
        <v>28</v>
      </c>
      <c r="P1250">
        <v>6.63</v>
      </c>
    </row>
    <row r="1251" spans="1:16">
      <c r="A1251" s="4">
        <v>2018</v>
      </c>
      <c r="B1251" s="4">
        <v>107636</v>
      </c>
      <c r="C1251" t="s">
        <v>453</v>
      </c>
      <c r="D1251" t="s">
        <v>3589</v>
      </c>
      <c r="E1251" t="s">
        <v>42</v>
      </c>
      <c r="F1251" t="s">
        <v>3590</v>
      </c>
      <c r="G1251" t="s">
        <v>3591</v>
      </c>
      <c r="H1251" t="s">
        <v>33</v>
      </c>
      <c r="I1251" t="s">
        <v>97</v>
      </c>
      <c r="J1251" t="s">
        <v>3401</v>
      </c>
      <c r="K1251" t="s">
        <v>390</v>
      </c>
      <c r="L1251" t="s">
        <v>25</v>
      </c>
      <c r="M1251" t="s">
        <v>3592</v>
      </c>
      <c r="N1251" t="s">
        <v>27</v>
      </c>
      <c r="O1251" t="s">
        <v>111</v>
      </c>
      <c r="P1251">
        <v>5.76</v>
      </c>
    </row>
    <row r="1252" spans="1:16">
      <c r="A1252" s="4">
        <v>2016</v>
      </c>
      <c r="B1252" s="4">
        <v>162166</v>
      </c>
      <c r="C1252" t="s">
        <v>2578</v>
      </c>
      <c r="D1252" t="s">
        <v>1215</v>
      </c>
      <c r="E1252" t="s">
        <v>42</v>
      </c>
      <c r="F1252" t="s">
        <v>3590</v>
      </c>
      <c r="G1252" t="s">
        <v>3591</v>
      </c>
      <c r="H1252" t="s">
        <v>33</v>
      </c>
      <c r="I1252" t="s">
        <v>97</v>
      </c>
      <c r="J1252" t="s">
        <v>3593</v>
      </c>
      <c r="K1252" t="s">
        <v>65</v>
      </c>
      <c r="L1252" t="s">
        <v>66</v>
      </c>
      <c r="M1252" t="s">
        <v>3594</v>
      </c>
      <c r="N1252" t="s">
        <v>27</v>
      </c>
      <c r="O1252" t="s">
        <v>52</v>
      </c>
      <c r="P1252">
        <v>26.4</v>
      </c>
    </row>
    <row r="1253" spans="1:16">
      <c r="A1253" s="4">
        <v>2017</v>
      </c>
      <c r="B1253" s="4">
        <v>112340</v>
      </c>
      <c r="C1253" t="s">
        <v>1498</v>
      </c>
      <c r="D1253" t="s">
        <v>3595</v>
      </c>
      <c r="E1253" t="s">
        <v>18</v>
      </c>
      <c r="F1253" t="s">
        <v>3590</v>
      </c>
      <c r="G1253" t="s">
        <v>3591</v>
      </c>
      <c r="H1253" t="s">
        <v>33</v>
      </c>
      <c r="I1253" t="s">
        <v>97</v>
      </c>
      <c r="J1253" t="s">
        <v>3596</v>
      </c>
      <c r="K1253" t="s">
        <v>65</v>
      </c>
      <c r="L1253" t="s">
        <v>66</v>
      </c>
      <c r="M1253" t="s">
        <v>3597</v>
      </c>
      <c r="N1253" t="s">
        <v>27</v>
      </c>
      <c r="O1253" t="s">
        <v>52</v>
      </c>
      <c r="P1253">
        <v>22.92</v>
      </c>
    </row>
    <row r="1254" spans="1:16">
      <c r="A1254" s="4">
        <v>2017</v>
      </c>
      <c r="B1254" s="4">
        <v>153598</v>
      </c>
      <c r="C1254" t="s">
        <v>1139</v>
      </c>
      <c r="D1254" t="s">
        <v>2019</v>
      </c>
      <c r="E1254" t="s">
        <v>42</v>
      </c>
      <c r="F1254" t="s">
        <v>3590</v>
      </c>
      <c r="G1254" t="s">
        <v>3591</v>
      </c>
      <c r="H1254" t="s">
        <v>33</v>
      </c>
      <c r="I1254" t="s">
        <v>97</v>
      </c>
      <c r="J1254" t="s">
        <v>64</v>
      </c>
      <c r="K1254" t="s">
        <v>65</v>
      </c>
      <c r="L1254" t="s">
        <v>66</v>
      </c>
      <c r="M1254" t="s">
        <v>3598</v>
      </c>
      <c r="N1254" t="s">
        <v>38</v>
      </c>
      <c r="O1254" t="s">
        <v>68</v>
      </c>
      <c r="P1254">
        <v>1649.95</v>
      </c>
    </row>
    <row r="1255" spans="1:16">
      <c r="A1255" s="4">
        <v>2016</v>
      </c>
      <c r="B1255" s="4">
        <v>105676</v>
      </c>
      <c r="C1255" t="s">
        <v>2071</v>
      </c>
      <c r="D1255" t="s">
        <v>1811</v>
      </c>
      <c r="E1255" t="s">
        <v>132</v>
      </c>
      <c r="F1255" t="s">
        <v>3590</v>
      </c>
      <c r="G1255" t="s">
        <v>3591</v>
      </c>
      <c r="H1255" t="s">
        <v>33</v>
      </c>
      <c r="I1255" t="s">
        <v>97</v>
      </c>
      <c r="J1255" t="s">
        <v>183</v>
      </c>
      <c r="K1255" t="s">
        <v>35</v>
      </c>
      <c r="L1255" t="s">
        <v>36</v>
      </c>
      <c r="M1255" t="s">
        <v>3599</v>
      </c>
      <c r="N1255" t="s">
        <v>79</v>
      </c>
      <c r="O1255" t="s">
        <v>80</v>
      </c>
      <c r="P1255">
        <v>6.6879999999999997</v>
      </c>
    </row>
    <row r="1256" spans="1:16">
      <c r="A1256" s="4">
        <v>2018</v>
      </c>
      <c r="B1256" s="4">
        <v>149881</v>
      </c>
      <c r="C1256" t="s">
        <v>3245</v>
      </c>
      <c r="D1256" t="s">
        <v>2931</v>
      </c>
      <c r="E1256" t="s">
        <v>42</v>
      </c>
      <c r="F1256" t="s">
        <v>3600</v>
      </c>
      <c r="G1256" t="s">
        <v>3601</v>
      </c>
      <c r="H1256" t="s">
        <v>33</v>
      </c>
      <c r="I1256" t="s">
        <v>22</v>
      </c>
      <c r="J1256" t="s">
        <v>226</v>
      </c>
      <c r="K1256" t="s">
        <v>65</v>
      </c>
      <c r="L1256" t="s">
        <v>66</v>
      </c>
      <c r="M1256" t="s">
        <v>3602</v>
      </c>
      <c r="N1256" t="s">
        <v>79</v>
      </c>
      <c r="O1256" t="s">
        <v>286</v>
      </c>
      <c r="P1256">
        <v>482.66399999999999</v>
      </c>
    </row>
    <row r="1257" spans="1:16">
      <c r="A1257" s="4">
        <v>2017</v>
      </c>
      <c r="B1257" s="4">
        <v>131674</v>
      </c>
      <c r="C1257" t="s">
        <v>1118</v>
      </c>
      <c r="D1257" t="s">
        <v>360</v>
      </c>
      <c r="E1257" t="s">
        <v>144</v>
      </c>
      <c r="F1257" t="s">
        <v>3600</v>
      </c>
      <c r="G1257" t="s">
        <v>3601</v>
      </c>
      <c r="H1257" t="s">
        <v>33</v>
      </c>
      <c r="I1257" t="s">
        <v>22</v>
      </c>
      <c r="J1257" t="s">
        <v>627</v>
      </c>
      <c r="K1257" t="s">
        <v>35</v>
      </c>
      <c r="L1257" t="s">
        <v>36</v>
      </c>
      <c r="M1257" t="s">
        <v>78</v>
      </c>
      <c r="N1257" t="s">
        <v>38</v>
      </c>
      <c r="O1257" t="s">
        <v>68</v>
      </c>
      <c r="P1257">
        <v>58.415999999999997</v>
      </c>
    </row>
    <row r="1258" spans="1:16">
      <c r="A1258" s="4">
        <v>2015</v>
      </c>
      <c r="B1258" s="4">
        <v>106229</v>
      </c>
      <c r="C1258" t="s">
        <v>714</v>
      </c>
      <c r="D1258" t="s">
        <v>3603</v>
      </c>
      <c r="E1258" t="s">
        <v>144</v>
      </c>
      <c r="F1258" t="s">
        <v>3604</v>
      </c>
      <c r="G1258" t="s">
        <v>3605</v>
      </c>
      <c r="H1258" t="s">
        <v>33</v>
      </c>
      <c r="I1258" t="s">
        <v>97</v>
      </c>
      <c r="J1258" t="s">
        <v>1482</v>
      </c>
      <c r="K1258" t="s">
        <v>109</v>
      </c>
      <c r="L1258" t="s">
        <v>36</v>
      </c>
      <c r="M1258" t="s">
        <v>3606</v>
      </c>
      <c r="N1258" t="s">
        <v>79</v>
      </c>
      <c r="O1258" t="s">
        <v>347</v>
      </c>
      <c r="P1258">
        <v>268.935</v>
      </c>
    </row>
    <row r="1259" spans="1:16">
      <c r="A1259" s="4">
        <v>2015</v>
      </c>
      <c r="B1259" s="4">
        <v>112851</v>
      </c>
      <c r="C1259" t="s">
        <v>538</v>
      </c>
      <c r="D1259" t="s">
        <v>539</v>
      </c>
      <c r="E1259" t="s">
        <v>18</v>
      </c>
      <c r="F1259" t="s">
        <v>3604</v>
      </c>
      <c r="G1259" t="s">
        <v>3605</v>
      </c>
      <c r="H1259" t="s">
        <v>33</v>
      </c>
      <c r="I1259" t="s">
        <v>97</v>
      </c>
      <c r="J1259" t="s">
        <v>3607</v>
      </c>
      <c r="K1259" t="s">
        <v>65</v>
      </c>
      <c r="L1259" t="s">
        <v>66</v>
      </c>
      <c r="M1259" t="s">
        <v>3608</v>
      </c>
      <c r="N1259" t="s">
        <v>27</v>
      </c>
      <c r="O1259" t="s">
        <v>501</v>
      </c>
      <c r="P1259">
        <v>182.94</v>
      </c>
    </row>
    <row r="1260" spans="1:16">
      <c r="A1260" s="4">
        <v>2017</v>
      </c>
      <c r="B1260" s="4">
        <v>110772</v>
      </c>
      <c r="C1260" t="s">
        <v>339</v>
      </c>
      <c r="D1260" t="s">
        <v>359</v>
      </c>
      <c r="E1260" t="s">
        <v>144</v>
      </c>
      <c r="F1260" t="s">
        <v>3609</v>
      </c>
      <c r="G1260" t="s">
        <v>3610</v>
      </c>
      <c r="H1260" t="s">
        <v>33</v>
      </c>
      <c r="I1260" t="s">
        <v>63</v>
      </c>
      <c r="J1260" t="s">
        <v>473</v>
      </c>
      <c r="K1260" t="s">
        <v>237</v>
      </c>
      <c r="L1260" t="s">
        <v>25</v>
      </c>
      <c r="M1260" t="s">
        <v>3611</v>
      </c>
      <c r="N1260" t="s">
        <v>27</v>
      </c>
      <c r="O1260" t="s">
        <v>452</v>
      </c>
      <c r="P1260">
        <v>19.096</v>
      </c>
    </row>
    <row r="1261" spans="1:16">
      <c r="A1261" s="4">
        <v>2018</v>
      </c>
      <c r="B1261" s="4">
        <v>154676</v>
      </c>
      <c r="C1261" t="s">
        <v>2075</v>
      </c>
      <c r="D1261" t="s">
        <v>3612</v>
      </c>
      <c r="E1261" t="s">
        <v>42</v>
      </c>
      <c r="F1261" t="s">
        <v>3609</v>
      </c>
      <c r="G1261" t="s">
        <v>3610</v>
      </c>
      <c r="H1261" t="s">
        <v>33</v>
      </c>
      <c r="I1261" t="s">
        <v>63</v>
      </c>
      <c r="J1261" t="s">
        <v>183</v>
      </c>
      <c r="K1261" t="s">
        <v>35</v>
      </c>
      <c r="L1261" t="s">
        <v>36</v>
      </c>
      <c r="M1261" t="s">
        <v>3613</v>
      </c>
      <c r="N1261" t="s">
        <v>27</v>
      </c>
      <c r="O1261" t="s">
        <v>58</v>
      </c>
      <c r="P1261">
        <v>151.05600000000001</v>
      </c>
    </row>
    <row r="1262" spans="1:16">
      <c r="A1262" s="4">
        <v>2018</v>
      </c>
      <c r="B1262" s="4">
        <v>148054</v>
      </c>
      <c r="C1262" t="s">
        <v>368</v>
      </c>
      <c r="D1262" t="s">
        <v>1177</v>
      </c>
      <c r="E1262" t="s">
        <v>18</v>
      </c>
      <c r="F1262" t="s">
        <v>3609</v>
      </c>
      <c r="G1262" t="s">
        <v>3610</v>
      </c>
      <c r="H1262" t="s">
        <v>33</v>
      </c>
      <c r="I1262" t="s">
        <v>63</v>
      </c>
      <c r="J1262" t="s">
        <v>3614</v>
      </c>
      <c r="K1262" t="s">
        <v>3615</v>
      </c>
      <c r="L1262" t="s">
        <v>66</v>
      </c>
      <c r="M1262" t="s">
        <v>3616</v>
      </c>
      <c r="N1262" t="s">
        <v>79</v>
      </c>
      <c r="O1262" t="s">
        <v>80</v>
      </c>
      <c r="P1262">
        <v>41.96</v>
      </c>
    </row>
    <row r="1263" spans="1:16">
      <c r="A1263" s="4">
        <v>2015</v>
      </c>
      <c r="B1263" s="4">
        <v>106299</v>
      </c>
      <c r="C1263" t="s">
        <v>48</v>
      </c>
      <c r="D1263" t="s">
        <v>807</v>
      </c>
      <c r="E1263" t="s">
        <v>18</v>
      </c>
      <c r="F1263" t="s">
        <v>3609</v>
      </c>
      <c r="G1263" t="s">
        <v>3610</v>
      </c>
      <c r="H1263" t="s">
        <v>33</v>
      </c>
      <c r="I1263" t="s">
        <v>63</v>
      </c>
      <c r="J1263" t="s">
        <v>98</v>
      </c>
      <c r="K1263" t="s">
        <v>99</v>
      </c>
      <c r="L1263" t="s">
        <v>36</v>
      </c>
      <c r="M1263" t="s">
        <v>3617</v>
      </c>
      <c r="N1263" t="s">
        <v>27</v>
      </c>
      <c r="O1263" t="s">
        <v>101</v>
      </c>
      <c r="P1263">
        <v>26.7</v>
      </c>
    </row>
    <row r="1264" spans="1:16">
      <c r="A1264" s="4">
        <v>2016</v>
      </c>
      <c r="B1264" s="4">
        <v>144267</v>
      </c>
      <c r="C1264" t="s">
        <v>1680</v>
      </c>
      <c r="D1264" t="s">
        <v>3618</v>
      </c>
      <c r="E1264" t="s">
        <v>42</v>
      </c>
      <c r="F1264" t="s">
        <v>3609</v>
      </c>
      <c r="G1264" t="s">
        <v>3610</v>
      </c>
      <c r="H1264" t="s">
        <v>33</v>
      </c>
      <c r="I1264" t="s">
        <v>63</v>
      </c>
      <c r="J1264" t="s">
        <v>226</v>
      </c>
      <c r="K1264" t="s">
        <v>65</v>
      </c>
      <c r="L1264" t="s">
        <v>66</v>
      </c>
      <c r="M1264" t="s">
        <v>1661</v>
      </c>
      <c r="N1264" t="s">
        <v>79</v>
      </c>
      <c r="O1264" t="s">
        <v>138</v>
      </c>
      <c r="P1264">
        <v>544.00800000000004</v>
      </c>
    </row>
    <row r="1265" spans="1:16">
      <c r="A1265" s="4">
        <v>2016</v>
      </c>
      <c r="B1265" s="4">
        <v>110667</v>
      </c>
      <c r="C1265" t="s">
        <v>1807</v>
      </c>
      <c r="D1265" t="s">
        <v>3619</v>
      </c>
      <c r="E1265" t="s">
        <v>18</v>
      </c>
      <c r="F1265" t="s">
        <v>3620</v>
      </c>
      <c r="G1265" t="s">
        <v>3621</v>
      </c>
      <c r="H1265" t="s">
        <v>21</v>
      </c>
      <c r="I1265" t="s">
        <v>63</v>
      </c>
      <c r="J1265" t="s">
        <v>49</v>
      </c>
      <c r="K1265" t="s">
        <v>50</v>
      </c>
      <c r="L1265" t="s">
        <v>25</v>
      </c>
      <c r="M1265" t="s">
        <v>3622</v>
      </c>
      <c r="N1265" t="s">
        <v>27</v>
      </c>
      <c r="O1265" t="s">
        <v>28</v>
      </c>
      <c r="P1265">
        <v>11.16</v>
      </c>
    </row>
    <row r="1266" spans="1:16">
      <c r="A1266" s="4">
        <v>2016</v>
      </c>
      <c r="B1266" s="4">
        <v>147102</v>
      </c>
      <c r="C1266" t="s">
        <v>1279</v>
      </c>
      <c r="D1266" t="s">
        <v>1040</v>
      </c>
      <c r="E1266" t="s">
        <v>18</v>
      </c>
      <c r="F1266" t="s">
        <v>3623</v>
      </c>
      <c r="G1266" t="s">
        <v>3624</v>
      </c>
      <c r="H1266" t="s">
        <v>33</v>
      </c>
      <c r="I1266" t="s">
        <v>22</v>
      </c>
      <c r="J1266" t="s">
        <v>473</v>
      </c>
      <c r="K1266" t="s">
        <v>86</v>
      </c>
      <c r="L1266" t="s">
        <v>45</v>
      </c>
      <c r="M1266" t="s">
        <v>3625</v>
      </c>
      <c r="N1266" t="s">
        <v>38</v>
      </c>
      <c r="O1266" t="s">
        <v>68</v>
      </c>
      <c r="P1266">
        <v>66.36</v>
      </c>
    </row>
    <row r="1267" spans="1:16">
      <c r="A1267" s="4">
        <v>2018</v>
      </c>
      <c r="B1267" s="4">
        <v>100384</v>
      </c>
      <c r="C1267" t="s">
        <v>1135</v>
      </c>
      <c r="D1267" t="s">
        <v>3626</v>
      </c>
      <c r="E1267" t="s">
        <v>18</v>
      </c>
      <c r="F1267" t="s">
        <v>3623</v>
      </c>
      <c r="G1267" t="s">
        <v>3624</v>
      </c>
      <c r="H1267" t="s">
        <v>33</v>
      </c>
      <c r="I1267" t="s">
        <v>22</v>
      </c>
      <c r="J1267" t="s">
        <v>3627</v>
      </c>
      <c r="K1267" t="s">
        <v>65</v>
      </c>
      <c r="L1267" t="s">
        <v>66</v>
      </c>
      <c r="M1267" t="s">
        <v>3628</v>
      </c>
      <c r="N1267" t="s">
        <v>27</v>
      </c>
      <c r="O1267" t="s">
        <v>28</v>
      </c>
      <c r="P1267">
        <v>385.6</v>
      </c>
    </row>
    <row r="1268" spans="1:16">
      <c r="A1268" s="4">
        <v>2018</v>
      </c>
      <c r="B1268" s="4">
        <v>122693</v>
      </c>
      <c r="C1268" t="s">
        <v>1519</v>
      </c>
      <c r="D1268" t="s">
        <v>1513</v>
      </c>
      <c r="E1268" t="s">
        <v>144</v>
      </c>
      <c r="F1268" t="s">
        <v>3623</v>
      </c>
      <c r="G1268" t="s">
        <v>3624</v>
      </c>
      <c r="H1268" t="s">
        <v>33</v>
      </c>
      <c r="I1268" t="s">
        <v>22</v>
      </c>
      <c r="J1268" t="s">
        <v>1774</v>
      </c>
      <c r="K1268" t="s">
        <v>86</v>
      </c>
      <c r="L1268" t="s">
        <v>45</v>
      </c>
      <c r="M1268" t="s">
        <v>3629</v>
      </c>
      <c r="N1268" t="s">
        <v>27</v>
      </c>
      <c r="O1268" t="s">
        <v>228</v>
      </c>
      <c r="P1268">
        <v>1245.8599999999999</v>
      </c>
    </row>
    <row r="1269" spans="1:16">
      <c r="A1269" s="4">
        <v>2017</v>
      </c>
      <c r="B1269" s="4">
        <v>100839</v>
      </c>
      <c r="C1269" t="s">
        <v>1883</v>
      </c>
      <c r="D1269" t="s">
        <v>3587</v>
      </c>
      <c r="E1269" t="s">
        <v>18</v>
      </c>
      <c r="F1269" t="s">
        <v>3630</v>
      </c>
      <c r="G1269" t="s">
        <v>3631</v>
      </c>
      <c r="H1269" t="s">
        <v>21</v>
      </c>
      <c r="I1269" t="s">
        <v>22</v>
      </c>
      <c r="J1269" t="s">
        <v>1482</v>
      </c>
      <c r="K1269" t="s">
        <v>222</v>
      </c>
      <c r="L1269" t="s">
        <v>66</v>
      </c>
      <c r="M1269" t="s">
        <v>3632</v>
      </c>
      <c r="N1269" t="s">
        <v>79</v>
      </c>
      <c r="O1269" t="s">
        <v>347</v>
      </c>
      <c r="P1269">
        <v>727.45</v>
      </c>
    </row>
    <row r="1270" spans="1:16">
      <c r="A1270" s="4">
        <v>2015</v>
      </c>
      <c r="B1270" s="4">
        <v>159338</v>
      </c>
      <c r="C1270" t="s">
        <v>1635</v>
      </c>
      <c r="D1270" t="s">
        <v>1488</v>
      </c>
      <c r="E1270" t="s">
        <v>42</v>
      </c>
      <c r="F1270" t="s">
        <v>3633</v>
      </c>
      <c r="G1270" t="s">
        <v>3634</v>
      </c>
      <c r="H1270" t="s">
        <v>33</v>
      </c>
      <c r="I1270" t="s">
        <v>22</v>
      </c>
      <c r="J1270" t="s">
        <v>64</v>
      </c>
      <c r="K1270" t="s">
        <v>65</v>
      </c>
      <c r="L1270" t="s">
        <v>66</v>
      </c>
      <c r="M1270" t="s">
        <v>3041</v>
      </c>
      <c r="N1270" t="s">
        <v>79</v>
      </c>
      <c r="O1270" t="s">
        <v>347</v>
      </c>
      <c r="P1270">
        <v>447.84</v>
      </c>
    </row>
    <row r="1271" spans="1:16">
      <c r="A1271" s="4">
        <v>2018</v>
      </c>
      <c r="B1271" s="4">
        <v>115651</v>
      </c>
      <c r="C1271" t="s">
        <v>2160</v>
      </c>
      <c r="D1271" t="s">
        <v>3635</v>
      </c>
      <c r="E1271" t="s">
        <v>42</v>
      </c>
      <c r="F1271" t="s">
        <v>3633</v>
      </c>
      <c r="G1271" t="s">
        <v>3634</v>
      </c>
      <c r="H1271" t="s">
        <v>33</v>
      </c>
      <c r="I1271" t="s">
        <v>22</v>
      </c>
      <c r="J1271" t="s">
        <v>108</v>
      </c>
      <c r="K1271" t="s">
        <v>109</v>
      </c>
      <c r="L1271" t="s">
        <v>36</v>
      </c>
      <c r="M1271" t="s">
        <v>3636</v>
      </c>
      <c r="N1271" t="s">
        <v>27</v>
      </c>
      <c r="O1271" t="s">
        <v>28</v>
      </c>
      <c r="P1271">
        <v>8.84</v>
      </c>
    </row>
    <row r="1272" spans="1:16">
      <c r="A1272" s="4">
        <v>2017</v>
      </c>
      <c r="B1272" s="4">
        <v>140928</v>
      </c>
      <c r="C1272" t="s">
        <v>2430</v>
      </c>
      <c r="D1272" t="s">
        <v>510</v>
      </c>
      <c r="E1272" t="s">
        <v>18</v>
      </c>
      <c r="F1272" t="s">
        <v>3637</v>
      </c>
      <c r="G1272" t="s">
        <v>3638</v>
      </c>
      <c r="H1272" t="s">
        <v>21</v>
      </c>
      <c r="I1272" t="s">
        <v>22</v>
      </c>
      <c r="J1272" t="s">
        <v>43</v>
      </c>
      <c r="K1272" t="s">
        <v>196</v>
      </c>
      <c r="L1272" t="s">
        <v>45</v>
      </c>
      <c r="M1272" t="s">
        <v>1759</v>
      </c>
      <c r="N1272" t="s">
        <v>79</v>
      </c>
      <c r="O1272" t="s">
        <v>347</v>
      </c>
      <c r="P1272">
        <v>383.43799999999999</v>
      </c>
    </row>
    <row r="1273" spans="1:16">
      <c r="A1273" s="4">
        <v>2016</v>
      </c>
      <c r="B1273" s="4">
        <v>138485</v>
      </c>
      <c r="C1273" t="s">
        <v>3639</v>
      </c>
      <c r="D1273" t="s">
        <v>3640</v>
      </c>
      <c r="E1273" t="s">
        <v>144</v>
      </c>
      <c r="F1273" t="s">
        <v>3641</v>
      </c>
      <c r="G1273" t="s">
        <v>3642</v>
      </c>
      <c r="H1273" t="s">
        <v>33</v>
      </c>
      <c r="I1273" t="s">
        <v>97</v>
      </c>
      <c r="J1273" t="s">
        <v>271</v>
      </c>
      <c r="K1273" t="s">
        <v>165</v>
      </c>
      <c r="L1273" t="s">
        <v>66</v>
      </c>
      <c r="M1273" t="s">
        <v>3643</v>
      </c>
      <c r="N1273" t="s">
        <v>38</v>
      </c>
      <c r="O1273" t="s">
        <v>68</v>
      </c>
      <c r="P1273">
        <v>538.91999999999996</v>
      </c>
    </row>
    <row r="1274" spans="1:16">
      <c r="A1274" s="4">
        <v>2017</v>
      </c>
      <c r="B1274" s="4">
        <v>114104</v>
      </c>
      <c r="C1274" t="s">
        <v>339</v>
      </c>
      <c r="D1274" t="s">
        <v>359</v>
      </c>
      <c r="E1274" t="s">
        <v>18</v>
      </c>
      <c r="F1274" t="s">
        <v>3641</v>
      </c>
      <c r="G1274" t="s">
        <v>3642</v>
      </c>
      <c r="H1274" t="s">
        <v>33</v>
      </c>
      <c r="I1274" t="s">
        <v>97</v>
      </c>
      <c r="J1274" t="s">
        <v>3644</v>
      </c>
      <c r="K1274" t="s">
        <v>152</v>
      </c>
      <c r="L1274" t="s">
        <v>36</v>
      </c>
      <c r="M1274" t="s">
        <v>3645</v>
      </c>
      <c r="N1274" t="s">
        <v>27</v>
      </c>
      <c r="O1274" t="s">
        <v>111</v>
      </c>
      <c r="P1274">
        <v>14.62</v>
      </c>
    </row>
    <row r="1275" spans="1:16">
      <c r="A1275" s="4">
        <v>2017</v>
      </c>
      <c r="B1275" s="4">
        <v>113138</v>
      </c>
      <c r="C1275" t="s">
        <v>1446</v>
      </c>
      <c r="D1275" t="s">
        <v>2131</v>
      </c>
      <c r="E1275" t="s">
        <v>18</v>
      </c>
      <c r="F1275" t="s">
        <v>3646</v>
      </c>
      <c r="G1275" t="s">
        <v>3647</v>
      </c>
      <c r="H1275" t="s">
        <v>33</v>
      </c>
      <c r="I1275" t="s">
        <v>63</v>
      </c>
      <c r="J1275" t="s">
        <v>3648</v>
      </c>
      <c r="K1275" t="s">
        <v>50</v>
      </c>
      <c r="L1275" t="s">
        <v>25</v>
      </c>
      <c r="M1275" t="s">
        <v>3649</v>
      </c>
      <c r="N1275" t="s">
        <v>27</v>
      </c>
      <c r="O1275" t="s">
        <v>28</v>
      </c>
      <c r="P1275">
        <v>17.28</v>
      </c>
    </row>
    <row r="1276" spans="1:16">
      <c r="A1276" s="4">
        <v>2016</v>
      </c>
      <c r="B1276" s="4">
        <v>141768</v>
      </c>
      <c r="C1276" t="s">
        <v>2858</v>
      </c>
      <c r="D1276" t="s">
        <v>3035</v>
      </c>
      <c r="E1276" t="s">
        <v>144</v>
      </c>
      <c r="F1276" t="s">
        <v>3646</v>
      </c>
      <c r="G1276" t="s">
        <v>3647</v>
      </c>
      <c r="H1276" t="s">
        <v>33</v>
      </c>
      <c r="I1276" t="s">
        <v>63</v>
      </c>
      <c r="J1276" t="s">
        <v>226</v>
      </c>
      <c r="K1276" t="s">
        <v>65</v>
      </c>
      <c r="L1276" t="s">
        <v>66</v>
      </c>
      <c r="M1276" t="s">
        <v>2628</v>
      </c>
      <c r="N1276" t="s">
        <v>79</v>
      </c>
      <c r="O1276" t="s">
        <v>80</v>
      </c>
      <c r="P1276">
        <v>14.73</v>
      </c>
    </row>
    <row r="1277" spans="1:16">
      <c r="A1277" s="4">
        <v>2017</v>
      </c>
      <c r="B1277" s="4">
        <v>125094</v>
      </c>
      <c r="C1277" t="s">
        <v>276</v>
      </c>
      <c r="D1277" t="s">
        <v>2093</v>
      </c>
      <c r="E1277" t="s">
        <v>18</v>
      </c>
      <c r="F1277" t="s">
        <v>3650</v>
      </c>
      <c r="G1277" t="s">
        <v>3651</v>
      </c>
      <c r="H1277" t="s">
        <v>33</v>
      </c>
      <c r="I1277" t="s">
        <v>97</v>
      </c>
      <c r="J1277" t="s">
        <v>271</v>
      </c>
      <c r="K1277" t="s">
        <v>165</v>
      </c>
      <c r="L1277" t="s">
        <v>66</v>
      </c>
      <c r="M1277" t="s">
        <v>3652</v>
      </c>
      <c r="N1277" t="s">
        <v>38</v>
      </c>
      <c r="O1277" t="s">
        <v>68</v>
      </c>
      <c r="P1277">
        <v>479.72</v>
      </c>
    </row>
    <row r="1278" spans="1:16">
      <c r="A1278" s="4">
        <v>2015</v>
      </c>
      <c r="B1278" s="4">
        <v>168494</v>
      </c>
      <c r="C1278" t="s">
        <v>3653</v>
      </c>
      <c r="D1278" t="s">
        <v>2811</v>
      </c>
      <c r="E1278" t="s">
        <v>144</v>
      </c>
      <c r="F1278" t="s">
        <v>3650</v>
      </c>
      <c r="G1278" t="s">
        <v>3651</v>
      </c>
      <c r="H1278" t="s">
        <v>33</v>
      </c>
      <c r="I1278" t="s">
        <v>97</v>
      </c>
      <c r="J1278" t="s">
        <v>1292</v>
      </c>
      <c r="K1278" t="s">
        <v>65</v>
      </c>
      <c r="L1278" t="s">
        <v>66</v>
      </c>
      <c r="M1278" t="s">
        <v>3654</v>
      </c>
      <c r="N1278" t="s">
        <v>79</v>
      </c>
      <c r="O1278" t="s">
        <v>347</v>
      </c>
      <c r="P1278">
        <v>764.68799999999999</v>
      </c>
    </row>
    <row r="1279" spans="1:16">
      <c r="A1279" s="4">
        <v>2016</v>
      </c>
      <c r="B1279" s="4">
        <v>161466</v>
      </c>
      <c r="C1279" t="s">
        <v>1721</v>
      </c>
      <c r="D1279" t="s">
        <v>1207</v>
      </c>
      <c r="E1279" t="s">
        <v>144</v>
      </c>
      <c r="F1279" t="s">
        <v>3655</v>
      </c>
      <c r="G1279" t="s">
        <v>3656</v>
      </c>
      <c r="H1279" t="s">
        <v>33</v>
      </c>
      <c r="I1279" t="s">
        <v>22</v>
      </c>
      <c r="J1279" t="s">
        <v>23</v>
      </c>
      <c r="K1279" t="s">
        <v>24</v>
      </c>
      <c r="L1279" t="s">
        <v>25</v>
      </c>
      <c r="M1279" t="s">
        <v>3657</v>
      </c>
      <c r="N1279" t="s">
        <v>27</v>
      </c>
      <c r="O1279" t="s">
        <v>28</v>
      </c>
      <c r="P1279">
        <v>6.8479999999999999</v>
      </c>
    </row>
    <row r="1280" spans="1:16">
      <c r="A1280" s="4">
        <v>2015</v>
      </c>
      <c r="B1280" s="4">
        <v>140039</v>
      </c>
      <c r="C1280" t="s">
        <v>1543</v>
      </c>
      <c r="D1280" t="s">
        <v>538</v>
      </c>
      <c r="E1280" t="s">
        <v>18</v>
      </c>
      <c r="F1280" t="s">
        <v>3655</v>
      </c>
      <c r="G1280" t="s">
        <v>3656</v>
      </c>
      <c r="H1280" t="s">
        <v>33</v>
      </c>
      <c r="I1280" t="s">
        <v>22</v>
      </c>
      <c r="J1280" t="s">
        <v>2035</v>
      </c>
      <c r="K1280" t="s">
        <v>136</v>
      </c>
      <c r="L1280" t="s">
        <v>66</v>
      </c>
      <c r="M1280" t="s">
        <v>3658</v>
      </c>
      <c r="N1280" t="s">
        <v>27</v>
      </c>
      <c r="O1280" t="s">
        <v>58</v>
      </c>
      <c r="P1280">
        <v>79.400000000000006</v>
      </c>
    </row>
    <row r="1281" spans="1:16">
      <c r="A1281" s="4">
        <v>2017</v>
      </c>
      <c r="B1281" s="4">
        <v>118255</v>
      </c>
      <c r="C1281" t="s">
        <v>3659</v>
      </c>
      <c r="D1281" t="s">
        <v>75</v>
      </c>
      <c r="E1281" t="s">
        <v>42</v>
      </c>
      <c r="F1281" t="s">
        <v>3655</v>
      </c>
      <c r="G1281" t="s">
        <v>3656</v>
      </c>
      <c r="H1281" t="s">
        <v>33</v>
      </c>
      <c r="I1281" t="s">
        <v>22</v>
      </c>
      <c r="J1281" t="s">
        <v>1585</v>
      </c>
      <c r="K1281" t="s">
        <v>372</v>
      </c>
      <c r="L1281" t="s">
        <v>36</v>
      </c>
      <c r="M1281" t="s">
        <v>3660</v>
      </c>
      <c r="N1281" t="s">
        <v>38</v>
      </c>
      <c r="O1281" t="s">
        <v>68</v>
      </c>
      <c r="P1281">
        <v>45.98</v>
      </c>
    </row>
    <row r="1282" spans="1:16">
      <c r="A1282" s="4">
        <v>2017</v>
      </c>
      <c r="B1282" s="4">
        <v>151862</v>
      </c>
      <c r="C1282" t="s">
        <v>1550</v>
      </c>
      <c r="D1282" t="s">
        <v>288</v>
      </c>
      <c r="E1282" t="s">
        <v>18</v>
      </c>
      <c r="F1282" t="s">
        <v>3655</v>
      </c>
      <c r="G1282" t="s">
        <v>3656</v>
      </c>
      <c r="H1282" t="s">
        <v>33</v>
      </c>
      <c r="I1282" t="s">
        <v>22</v>
      </c>
      <c r="J1282" t="s">
        <v>636</v>
      </c>
      <c r="K1282" t="s">
        <v>222</v>
      </c>
      <c r="L1282" t="s">
        <v>66</v>
      </c>
      <c r="M1282" t="s">
        <v>1842</v>
      </c>
      <c r="N1282" t="s">
        <v>38</v>
      </c>
      <c r="O1282" t="s">
        <v>118</v>
      </c>
      <c r="P1282">
        <v>159.98400000000001</v>
      </c>
    </row>
    <row r="1283" spans="1:16">
      <c r="A1283" s="4">
        <v>2018</v>
      </c>
      <c r="B1283" s="4">
        <v>115364</v>
      </c>
      <c r="C1283" t="s">
        <v>1253</v>
      </c>
      <c r="D1283" t="s">
        <v>3661</v>
      </c>
      <c r="E1283" t="s">
        <v>18</v>
      </c>
      <c r="F1283" t="s">
        <v>3662</v>
      </c>
      <c r="G1283" t="s">
        <v>3663</v>
      </c>
      <c r="H1283" t="s">
        <v>33</v>
      </c>
      <c r="I1283" t="s">
        <v>97</v>
      </c>
      <c r="J1283" t="s">
        <v>630</v>
      </c>
      <c r="K1283" t="s">
        <v>65</v>
      </c>
      <c r="L1283" t="s">
        <v>66</v>
      </c>
      <c r="M1283" t="s">
        <v>3664</v>
      </c>
      <c r="N1283" t="s">
        <v>27</v>
      </c>
      <c r="O1283" t="s">
        <v>58</v>
      </c>
      <c r="P1283">
        <v>83.76</v>
      </c>
    </row>
    <row r="1284" spans="1:16">
      <c r="A1284" s="4">
        <v>2017</v>
      </c>
      <c r="B1284" s="4">
        <v>113243</v>
      </c>
      <c r="C1284" t="s">
        <v>3665</v>
      </c>
      <c r="D1284" t="s">
        <v>2303</v>
      </c>
      <c r="E1284" t="s">
        <v>18</v>
      </c>
      <c r="F1284" t="s">
        <v>3662</v>
      </c>
      <c r="G1284" t="s">
        <v>3663</v>
      </c>
      <c r="H1284" t="s">
        <v>33</v>
      </c>
      <c r="I1284" t="s">
        <v>97</v>
      </c>
      <c r="J1284" t="s">
        <v>64</v>
      </c>
      <c r="K1284" t="s">
        <v>65</v>
      </c>
      <c r="L1284" t="s">
        <v>66</v>
      </c>
      <c r="M1284" t="s">
        <v>3666</v>
      </c>
      <c r="N1284" t="s">
        <v>27</v>
      </c>
      <c r="O1284" t="s">
        <v>111</v>
      </c>
      <c r="P1284">
        <v>20.7</v>
      </c>
    </row>
    <row r="1285" spans="1:16">
      <c r="A1285" s="4">
        <v>2017</v>
      </c>
      <c r="B1285" s="4">
        <v>105494</v>
      </c>
      <c r="C1285" t="s">
        <v>277</v>
      </c>
      <c r="D1285" t="s">
        <v>1354</v>
      </c>
      <c r="E1285" t="s">
        <v>42</v>
      </c>
      <c r="F1285" t="s">
        <v>3667</v>
      </c>
      <c r="G1285" t="s">
        <v>3668</v>
      </c>
      <c r="H1285" t="s">
        <v>21</v>
      </c>
      <c r="I1285" t="s">
        <v>22</v>
      </c>
      <c r="J1285" t="s">
        <v>226</v>
      </c>
      <c r="K1285" t="s">
        <v>65</v>
      </c>
      <c r="L1285" t="s">
        <v>66</v>
      </c>
      <c r="M1285" t="s">
        <v>3669</v>
      </c>
      <c r="N1285" t="s">
        <v>27</v>
      </c>
      <c r="O1285" t="s">
        <v>58</v>
      </c>
      <c r="P1285">
        <v>155.82</v>
      </c>
    </row>
    <row r="1286" spans="1:16">
      <c r="A1286" s="4">
        <v>2018</v>
      </c>
      <c r="B1286" s="4">
        <v>161018</v>
      </c>
      <c r="C1286" t="s">
        <v>975</v>
      </c>
      <c r="D1286" t="s">
        <v>2021</v>
      </c>
      <c r="E1286" t="s">
        <v>144</v>
      </c>
      <c r="F1286" t="s">
        <v>3670</v>
      </c>
      <c r="G1286" t="s">
        <v>3671</v>
      </c>
      <c r="H1286" t="s">
        <v>33</v>
      </c>
      <c r="I1286" t="s">
        <v>63</v>
      </c>
      <c r="J1286" t="s">
        <v>49</v>
      </c>
      <c r="K1286" t="s">
        <v>50</v>
      </c>
      <c r="L1286" t="s">
        <v>25</v>
      </c>
      <c r="M1286" t="s">
        <v>3672</v>
      </c>
      <c r="N1286" t="s">
        <v>79</v>
      </c>
      <c r="O1286" t="s">
        <v>80</v>
      </c>
      <c r="P1286">
        <v>96.53</v>
      </c>
    </row>
    <row r="1287" spans="1:16">
      <c r="A1287" s="4">
        <v>2018</v>
      </c>
      <c r="B1287" s="4">
        <v>148768</v>
      </c>
      <c r="C1287" t="s">
        <v>82</v>
      </c>
      <c r="D1287" t="s">
        <v>102</v>
      </c>
      <c r="E1287" t="s">
        <v>144</v>
      </c>
      <c r="F1287" t="s">
        <v>3670</v>
      </c>
      <c r="G1287" t="s">
        <v>3671</v>
      </c>
      <c r="H1287" t="s">
        <v>33</v>
      </c>
      <c r="I1287" t="s">
        <v>63</v>
      </c>
      <c r="J1287" t="s">
        <v>437</v>
      </c>
      <c r="K1287" t="s">
        <v>196</v>
      </c>
      <c r="L1287" t="s">
        <v>45</v>
      </c>
      <c r="M1287" t="s">
        <v>3673</v>
      </c>
      <c r="N1287" t="s">
        <v>38</v>
      </c>
      <c r="O1287" t="s">
        <v>118</v>
      </c>
      <c r="P1287">
        <v>71.975999999999999</v>
      </c>
    </row>
    <row r="1288" spans="1:16">
      <c r="A1288" s="4">
        <v>2017</v>
      </c>
      <c r="B1288" s="4">
        <v>118780</v>
      </c>
      <c r="C1288" t="s">
        <v>486</v>
      </c>
      <c r="D1288" t="s">
        <v>506</v>
      </c>
      <c r="E1288" t="s">
        <v>144</v>
      </c>
      <c r="F1288" t="s">
        <v>3670</v>
      </c>
      <c r="G1288" t="s">
        <v>3671</v>
      </c>
      <c r="H1288" t="s">
        <v>33</v>
      </c>
      <c r="I1288" t="s">
        <v>63</v>
      </c>
      <c r="J1288" t="s">
        <v>49</v>
      </c>
      <c r="K1288" t="s">
        <v>50</v>
      </c>
      <c r="L1288" t="s">
        <v>25</v>
      </c>
      <c r="M1288" t="s">
        <v>3674</v>
      </c>
      <c r="N1288" t="s">
        <v>27</v>
      </c>
      <c r="O1288" t="s">
        <v>58</v>
      </c>
      <c r="P1288">
        <v>59.48</v>
      </c>
    </row>
    <row r="1289" spans="1:16">
      <c r="A1289" s="4">
        <v>2018</v>
      </c>
      <c r="B1289" s="4">
        <v>113558</v>
      </c>
      <c r="C1289" t="s">
        <v>544</v>
      </c>
      <c r="D1289" t="s">
        <v>3584</v>
      </c>
      <c r="E1289" t="s">
        <v>18</v>
      </c>
      <c r="F1289" t="s">
        <v>3675</v>
      </c>
      <c r="G1289" t="s">
        <v>3676</v>
      </c>
      <c r="H1289" t="s">
        <v>21</v>
      </c>
      <c r="I1289" t="s">
        <v>63</v>
      </c>
      <c r="J1289" t="s">
        <v>3316</v>
      </c>
      <c r="K1289" t="s">
        <v>196</v>
      </c>
      <c r="L1289" t="s">
        <v>45</v>
      </c>
      <c r="M1289" t="s">
        <v>3677</v>
      </c>
      <c r="N1289" t="s">
        <v>79</v>
      </c>
      <c r="O1289" t="s">
        <v>138</v>
      </c>
      <c r="P1289">
        <v>683.952</v>
      </c>
    </row>
    <row r="1290" spans="1:16">
      <c r="A1290" s="4">
        <v>2017</v>
      </c>
      <c r="B1290" s="4">
        <v>125738</v>
      </c>
      <c r="C1290" t="s">
        <v>1497</v>
      </c>
      <c r="D1290" t="s">
        <v>1498</v>
      </c>
      <c r="E1290" t="s">
        <v>18</v>
      </c>
      <c r="F1290" t="s">
        <v>3678</v>
      </c>
      <c r="G1290" t="s">
        <v>3679</v>
      </c>
      <c r="H1290" t="s">
        <v>21</v>
      </c>
      <c r="I1290" t="s">
        <v>63</v>
      </c>
      <c r="J1290" t="s">
        <v>3680</v>
      </c>
      <c r="K1290" t="s">
        <v>217</v>
      </c>
      <c r="L1290" t="s">
        <v>66</v>
      </c>
      <c r="M1290" t="s">
        <v>3681</v>
      </c>
      <c r="N1290" t="s">
        <v>27</v>
      </c>
      <c r="O1290" t="s">
        <v>52</v>
      </c>
      <c r="P1290">
        <v>45.68</v>
      </c>
    </row>
    <row r="1291" spans="1:16">
      <c r="A1291" s="4">
        <v>2015</v>
      </c>
      <c r="B1291" s="4">
        <v>102071</v>
      </c>
      <c r="C1291" t="s">
        <v>3682</v>
      </c>
      <c r="D1291" t="s">
        <v>262</v>
      </c>
      <c r="E1291" t="s">
        <v>18</v>
      </c>
      <c r="F1291" t="s">
        <v>3683</v>
      </c>
      <c r="G1291" t="s">
        <v>3684</v>
      </c>
      <c r="H1291" t="s">
        <v>33</v>
      </c>
      <c r="I1291" t="s">
        <v>97</v>
      </c>
      <c r="J1291" t="s">
        <v>226</v>
      </c>
      <c r="K1291" t="s">
        <v>65</v>
      </c>
      <c r="L1291" t="s">
        <v>66</v>
      </c>
      <c r="M1291" t="s">
        <v>408</v>
      </c>
      <c r="N1291" t="s">
        <v>38</v>
      </c>
      <c r="O1291" t="s">
        <v>68</v>
      </c>
      <c r="P1291">
        <v>67.8</v>
      </c>
    </row>
    <row r="1292" spans="1:16">
      <c r="A1292" s="4">
        <v>2017</v>
      </c>
      <c r="B1292" s="4">
        <v>162859</v>
      </c>
      <c r="C1292" t="s">
        <v>3685</v>
      </c>
      <c r="D1292" t="s">
        <v>3686</v>
      </c>
      <c r="E1292" t="s">
        <v>18</v>
      </c>
      <c r="F1292" t="s">
        <v>3683</v>
      </c>
      <c r="G1292" t="s">
        <v>3684</v>
      </c>
      <c r="H1292" t="s">
        <v>33</v>
      </c>
      <c r="I1292" t="s">
        <v>97</v>
      </c>
      <c r="J1292" t="s">
        <v>49</v>
      </c>
      <c r="K1292" t="s">
        <v>50</v>
      </c>
      <c r="L1292" t="s">
        <v>25</v>
      </c>
      <c r="M1292" t="s">
        <v>2616</v>
      </c>
      <c r="N1292" t="s">
        <v>27</v>
      </c>
      <c r="O1292" t="s">
        <v>101</v>
      </c>
      <c r="P1292">
        <v>398.35199999999998</v>
      </c>
    </row>
    <row r="1293" spans="1:16">
      <c r="A1293" s="4">
        <v>2017</v>
      </c>
      <c r="B1293" s="4">
        <v>144344</v>
      </c>
      <c r="C1293" t="s">
        <v>273</v>
      </c>
      <c r="D1293" t="s">
        <v>273</v>
      </c>
      <c r="E1293" t="s">
        <v>132</v>
      </c>
      <c r="F1293" t="s">
        <v>3683</v>
      </c>
      <c r="G1293" t="s">
        <v>3684</v>
      </c>
      <c r="H1293" t="s">
        <v>33</v>
      </c>
      <c r="I1293" t="s">
        <v>97</v>
      </c>
      <c r="J1293" t="s">
        <v>455</v>
      </c>
      <c r="K1293" t="s">
        <v>196</v>
      </c>
      <c r="L1293" t="s">
        <v>45</v>
      </c>
      <c r="M1293" t="s">
        <v>3687</v>
      </c>
      <c r="N1293" t="s">
        <v>79</v>
      </c>
      <c r="O1293" t="s">
        <v>80</v>
      </c>
      <c r="P1293">
        <v>47.951999999999998</v>
      </c>
    </row>
    <row r="1294" spans="1:16">
      <c r="A1294" s="4">
        <v>2017</v>
      </c>
      <c r="B1294" s="4">
        <v>106306</v>
      </c>
      <c r="C1294" t="s">
        <v>288</v>
      </c>
      <c r="D1294" t="s">
        <v>288</v>
      </c>
      <c r="E1294" t="s">
        <v>132</v>
      </c>
      <c r="F1294" t="s">
        <v>3683</v>
      </c>
      <c r="G1294" t="s">
        <v>3684</v>
      </c>
      <c r="H1294" t="s">
        <v>33</v>
      </c>
      <c r="I1294" t="s">
        <v>97</v>
      </c>
      <c r="J1294" t="s">
        <v>595</v>
      </c>
      <c r="K1294" t="s">
        <v>136</v>
      </c>
      <c r="L1294" t="s">
        <v>66</v>
      </c>
      <c r="M1294" t="s">
        <v>3688</v>
      </c>
      <c r="N1294" t="s">
        <v>27</v>
      </c>
      <c r="O1294" t="s">
        <v>101</v>
      </c>
      <c r="P1294">
        <v>9.702</v>
      </c>
    </row>
    <row r="1295" spans="1:16">
      <c r="A1295" s="4">
        <v>2016</v>
      </c>
      <c r="B1295" s="4">
        <v>137897</v>
      </c>
      <c r="C1295" t="s">
        <v>1715</v>
      </c>
      <c r="D1295" t="s">
        <v>489</v>
      </c>
      <c r="E1295" t="s">
        <v>18</v>
      </c>
      <c r="F1295" t="s">
        <v>3689</v>
      </c>
      <c r="G1295" t="s">
        <v>3690</v>
      </c>
      <c r="H1295" t="s">
        <v>33</v>
      </c>
      <c r="I1295" t="s">
        <v>22</v>
      </c>
      <c r="J1295" t="s">
        <v>49</v>
      </c>
      <c r="K1295" t="s">
        <v>50</v>
      </c>
      <c r="L1295" t="s">
        <v>25</v>
      </c>
      <c r="M1295" t="s">
        <v>3691</v>
      </c>
      <c r="N1295" t="s">
        <v>38</v>
      </c>
      <c r="O1295" t="s">
        <v>68</v>
      </c>
      <c r="P1295">
        <v>37.6</v>
      </c>
    </row>
    <row r="1296" spans="1:16">
      <c r="A1296" s="4">
        <v>2017</v>
      </c>
      <c r="B1296" s="4">
        <v>112676</v>
      </c>
      <c r="C1296" t="s">
        <v>686</v>
      </c>
      <c r="D1296" t="s">
        <v>1406</v>
      </c>
      <c r="E1296" t="s">
        <v>42</v>
      </c>
      <c r="F1296" t="s">
        <v>3689</v>
      </c>
      <c r="G1296" t="s">
        <v>3690</v>
      </c>
      <c r="H1296" t="s">
        <v>33</v>
      </c>
      <c r="I1296" t="s">
        <v>22</v>
      </c>
      <c r="J1296" t="s">
        <v>1837</v>
      </c>
      <c r="K1296" t="s">
        <v>206</v>
      </c>
      <c r="L1296" t="s">
        <v>45</v>
      </c>
      <c r="M1296" t="s">
        <v>1993</v>
      </c>
      <c r="N1296" t="s">
        <v>27</v>
      </c>
      <c r="O1296" t="s">
        <v>52</v>
      </c>
      <c r="P1296">
        <v>14.352</v>
      </c>
    </row>
    <row r="1297" spans="1:16">
      <c r="A1297" s="4">
        <v>2016</v>
      </c>
      <c r="B1297" s="4">
        <v>154746</v>
      </c>
      <c r="C1297" t="s">
        <v>1715</v>
      </c>
      <c r="D1297" t="s">
        <v>979</v>
      </c>
      <c r="E1297" t="s">
        <v>42</v>
      </c>
      <c r="F1297" t="s">
        <v>3689</v>
      </c>
      <c r="G1297" t="s">
        <v>3690</v>
      </c>
      <c r="H1297" t="s">
        <v>33</v>
      </c>
      <c r="I1297" t="s">
        <v>22</v>
      </c>
      <c r="J1297" t="s">
        <v>98</v>
      </c>
      <c r="K1297" t="s">
        <v>56</v>
      </c>
      <c r="L1297" t="s">
        <v>45</v>
      </c>
      <c r="M1297" t="s">
        <v>3692</v>
      </c>
      <c r="N1297" t="s">
        <v>27</v>
      </c>
      <c r="O1297" t="s">
        <v>501</v>
      </c>
      <c r="P1297">
        <v>33.96</v>
      </c>
    </row>
    <row r="1298" spans="1:16">
      <c r="A1298" s="4">
        <v>2018</v>
      </c>
      <c r="B1298" s="4">
        <v>103009</v>
      </c>
      <c r="C1298" t="s">
        <v>1584</v>
      </c>
      <c r="D1298" t="s">
        <v>198</v>
      </c>
      <c r="E1298" t="s">
        <v>144</v>
      </c>
      <c r="F1298" t="s">
        <v>3689</v>
      </c>
      <c r="G1298" t="s">
        <v>3690</v>
      </c>
      <c r="H1298" t="s">
        <v>33</v>
      </c>
      <c r="I1298" t="s">
        <v>22</v>
      </c>
      <c r="J1298" t="s">
        <v>1011</v>
      </c>
      <c r="K1298" t="s">
        <v>126</v>
      </c>
      <c r="L1298" t="s">
        <v>45</v>
      </c>
      <c r="M1298" t="s">
        <v>2101</v>
      </c>
      <c r="N1298" t="s">
        <v>27</v>
      </c>
      <c r="O1298" t="s">
        <v>52</v>
      </c>
      <c r="P1298">
        <v>26.4</v>
      </c>
    </row>
    <row r="1299" spans="1:16">
      <c r="A1299" s="4">
        <v>2018</v>
      </c>
      <c r="B1299" s="4">
        <v>129021</v>
      </c>
      <c r="C1299" t="s">
        <v>3545</v>
      </c>
      <c r="D1299" t="s">
        <v>3693</v>
      </c>
      <c r="E1299" t="s">
        <v>144</v>
      </c>
      <c r="F1299" t="s">
        <v>3694</v>
      </c>
      <c r="G1299" t="s">
        <v>3695</v>
      </c>
      <c r="H1299" t="s">
        <v>33</v>
      </c>
      <c r="I1299" t="s">
        <v>97</v>
      </c>
      <c r="J1299" t="s">
        <v>2731</v>
      </c>
      <c r="K1299" t="s">
        <v>196</v>
      </c>
      <c r="L1299" t="s">
        <v>45</v>
      </c>
      <c r="M1299" t="s">
        <v>3696</v>
      </c>
      <c r="N1299" t="s">
        <v>38</v>
      </c>
      <c r="O1299" t="s">
        <v>118</v>
      </c>
      <c r="P1299">
        <v>4367.8959999999997</v>
      </c>
    </row>
    <row r="1300" spans="1:16">
      <c r="A1300" s="4">
        <v>2018</v>
      </c>
      <c r="B1300" s="4">
        <v>106705</v>
      </c>
      <c r="C1300" t="s">
        <v>1708</v>
      </c>
      <c r="D1300" t="s">
        <v>2296</v>
      </c>
      <c r="E1300" t="s">
        <v>18</v>
      </c>
      <c r="F1300" t="s">
        <v>3694</v>
      </c>
      <c r="G1300" t="s">
        <v>3695</v>
      </c>
      <c r="H1300" t="s">
        <v>33</v>
      </c>
      <c r="I1300" t="s">
        <v>97</v>
      </c>
      <c r="J1300" t="s">
        <v>2285</v>
      </c>
      <c r="K1300" t="s">
        <v>797</v>
      </c>
      <c r="L1300" t="s">
        <v>36</v>
      </c>
      <c r="M1300" t="s">
        <v>3291</v>
      </c>
      <c r="N1300" t="s">
        <v>27</v>
      </c>
      <c r="O1300" t="s">
        <v>52</v>
      </c>
      <c r="P1300">
        <v>44.75</v>
      </c>
    </row>
    <row r="1301" spans="1:16">
      <c r="A1301" s="4">
        <v>2017</v>
      </c>
      <c r="B1301" s="4">
        <v>141544</v>
      </c>
      <c r="C1301" t="s">
        <v>3354</v>
      </c>
      <c r="D1301" t="s">
        <v>1515</v>
      </c>
      <c r="E1301" t="s">
        <v>42</v>
      </c>
      <c r="F1301" t="s">
        <v>3694</v>
      </c>
      <c r="G1301" t="s">
        <v>3695</v>
      </c>
      <c r="H1301" t="s">
        <v>33</v>
      </c>
      <c r="I1301" t="s">
        <v>97</v>
      </c>
      <c r="J1301" t="s">
        <v>23</v>
      </c>
      <c r="K1301" t="s">
        <v>24</v>
      </c>
      <c r="L1301" t="s">
        <v>25</v>
      </c>
      <c r="M1301" t="s">
        <v>3697</v>
      </c>
      <c r="N1301" t="s">
        <v>38</v>
      </c>
      <c r="O1301" t="s">
        <v>118</v>
      </c>
      <c r="P1301">
        <v>290.89800000000002</v>
      </c>
    </row>
    <row r="1302" spans="1:16">
      <c r="A1302" s="4">
        <v>2018</v>
      </c>
      <c r="B1302" s="4">
        <v>149853</v>
      </c>
      <c r="C1302" t="s">
        <v>367</v>
      </c>
      <c r="D1302" t="s">
        <v>1176</v>
      </c>
      <c r="E1302" t="s">
        <v>18</v>
      </c>
      <c r="F1302" t="s">
        <v>3694</v>
      </c>
      <c r="G1302" t="s">
        <v>3695</v>
      </c>
      <c r="H1302" t="s">
        <v>33</v>
      </c>
      <c r="I1302" t="s">
        <v>97</v>
      </c>
      <c r="J1302" t="s">
        <v>1002</v>
      </c>
      <c r="K1302" t="s">
        <v>196</v>
      </c>
      <c r="L1302" t="s">
        <v>45</v>
      </c>
      <c r="M1302" t="s">
        <v>3698</v>
      </c>
      <c r="N1302" t="s">
        <v>27</v>
      </c>
      <c r="O1302" t="s">
        <v>52</v>
      </c>
      <c r="P1302">
        <v>15.552</v>
      </c>
    </row>
    <row r="1303" spans="1:16">
      <c r="A1303" s="4">
        <v>2018</v>
      </c>
      <c r="B1303" s="4">
        <v>143259</v>
      </c>
      <c r="C1303" t="s">
        <v>1348</v>
      </c>
      <c r="D1303" t="s">
        <v>3699</v>
      </c>
      <c r="E1303" t="s">
        <v>18</v>
      </c>
      <c r="F1303" t="s">
        <v>3700</v>
      </c>
      <c r="G1303" t="s">
        <v>3701</v>
      </c>
      <c r="H1303" t="s">
        <v>33</v>
      </c>
      <c r="I1303" t="s">
        <v>97</v>
      </c>
      <c r="J1303" t="s">
        <v>49</v>
      </c>
      <c r="K1303" t="s">
        <v>50</v>
      </c>
      <c r="L1303" t="s">
        <v>25</v>
      </c>
      <c r="M1303" t="s">
        <v>408</v>
      </c>
      <c r="N1303" t="s">
        <v>79</v>
      </c>
      <c r="O1303" t="s">
        <v>286</v>
      </c>
      <c r="P1303">
        <v>323.13600000000002</v>
      </c>
    </row>
    <row r="1304" spans="1:16">
      <c r="A1304" s="4">
        <v>2018</v>
      </c>
      <c r="B1304" s="4">
        <v>140088</v>
      </c>
      <c r="C1304" t="s">
        <v>3702</v>
      </c>
      <c r="D1304" t="s">
        <v>3703</v>
      </c>
      <c r="E1304" t="s">
        <v>144</v>
      </c>
      <c r="F1304" t="s">
        <v>3700</v>
      </c>
      <c r="G1304" t="s">
        <v>3701</v>
      </c>
      <c r="H1304" t="s">
        <v>33</v>
      </c>
      <c r="I1304" t="s">
        <v>97</v>
      </c>
      <c r="J1304" t="s">
        <v>977</v>
      </c>
      <c r="K1304" t="s">
        <v>1402</v>
      </c>
      <c r="L1304" t="s">
        <v>45</v>
      </c>
      <c r="M1304" t="s">
        <v>3704</v>
      </c>
      <c r="N1304" t="s">
        <v>79</v>
      </c>
      <c r="O1304" t="s">
        <v>138</v>
      </c>
      <c r="P1304">
        <v>301.95999999999998</v>
      </c>
    </row>
    <row r="1305" spans="1:16">
      <c r="A1305" s="4">
        <v>2015</v>
      </c>
      <c r="B1305" s="4">
        <v>146703</v>
      </c>
      <c r="C1305" t="s">
        <v>3705</v>
      </c>
      <c r="D1305" t="s">
        <v>2117</v>
      </c>
      <c r="E1305" t="s">
        <v>144</v>
      </c>
      <c r="F1305" t="s">
        <v>3700</v>
      </c>
      <c r="G1305" t="s">
        <v>3701</v>
      </c>
      <c r="H1305" t="s">
        <v>33</v>
      </c>
      <c r="I1305" t="s">
        <v>97</v>
      </c>
      <c r="J1305" t="s">
        <v>3706</v>
      </c>
      <c r="K1305" t="s">
        <v>855</v>
      </c>
      <c r="L1305" t="s">
        <v>36</v>
      </c>
      <c r="M1305" t="s">
        <v>3707</v>
      </c>
      <c r="N1305" t="s">
        <v>27</v>
      </c>
      <c r="O1305" t="s">
        <v>58</v>
      </c>
      <c r="P1305">
        <v>211.96</v>
      </c>
    </row>
    <row r="1306" spans="1:16">
      <c r="A1306" s="4">
        <v>2016</v>
      </c>
      <c r="B1306" s="4">
        <v>110261</v>
      </c>
      <c r="C1306" t="s">
        <v>2564</v>
      </c>
      <c r="D1306" t="s">
        <v>3708</v>
      </c>
      <c r="E1306" t="s">
        <v>144</v>
      </c>
      <c r="F1306" t="s">
        <v>3709</v>
      </c>
      <c r="G1306" t="s">
        <v>3710</v>
      </c>
      <c r="H1306" t="s">
        <v>21</v>
      </c>
      <c r="I1306" t="s">
        <v>97</v>
      </c>
      <c r="J1306" t="s">
        <v>3711</v>
      </c>
      <c r="K1306" t="s">
        <v>109</v>
      </c>
      <c r="L1306" t="s">
        <v>36</v>
      </c>
      <c r="M1306" t="s">
        <v>3712</v>
      </c>
      <c r="N1306" t="s">
        <v>38</v>
      </c>
      <c r="O1306" t="s">
        <v>118</v>
      </c>
      <c r="P1306">
        <v>158.376</v>
      </c>
    </row>
    <row r="1307" spans="1:16">
      <c r="A1307" s="4">
        <v>2015</v>
      </c>
      <c r="B1307" s="4">
        <v>103849</v>
      </c>
      <c r="C1307" t="s">
        <v>2351</v>
      </c>
      <c r="D1307" t="s">
        <v>3713</v>
      </c>
      <c r="E1307" t="s">
        <v>18</v>
      </c>
      <c r="F1307" t="s">
        <v>3714</v>
      </c>
      <c r="G1307" t="s">
        <v>3715</v>
      </c>
      <c r="H1307" t="s">
        <v>33</v>
      </c>
      <c r="I1307" t="s">
        <v>97</v>
      </c>
      <c r="J1307" t="s">
        <v>1861</v>
      </c>
      <c r="K1307" t="s">
        <v>35</v>
      </c>
      <c r="L1307" t="s">
        <v>36</v>
      </c>
      <c r="M1307" t="s">
        <v>3716</v>
      </c>
      <c r="N1307" t="s">
        <v>38</v>
      </c>
      <c r="O1307" t="s">
        <v>68</v>
      </c>
      <c r="P1307">
        <v>58.112000000000002</v>
      </c>
    </row>
    <row r="1308" spans="1:16">
      <c r="A1308" s="4">
        <v>2018</v>
      </c>
      <c r="B1308" s="4">
        <v>135986</v>
      </c>
      <c r="C1308" t="s">
        <v>1380</v>
      </c>
      <c r="D1308" t="s">
        <v>3717</v>
      </c>
      <c r="E1308" t="s">
        <v>18</v>
      </c>
      <c r="F1308" t="s">
        <v>3714</v>
      </c>
      <c r="G1308" t="s">
        <v>3715</v>
      </c>
      <c r="H1308" t="s">
        <v>33</v>
      </c>
      <c r="I1308" t="s">
        <v>97</v>
      </c>
      <c r="J1308" t="s">
        <v>1011</v>
      </c>
      <c r="K1308" t="s">
        <v>56</v>
      </c>
      <c r="L1308" t="s">
        <v>45</v>
      </c>
      <c r="M1308" t="s">
        <v>3718</v>
      </c>
      <c r="N1308" t="s">
        <v>27</v>
      </c>
      <c r="O1308" t="s">
        <v>52</v>
      </c>
      <c r="P1308">
        <v>32.4</v>
      </c>
    </row>
    <row r="1309" spans="1:16">
      <c r="A1309" s="4">
        <v>2017</v>
      </c>
      <c r="B1309" s="4">
        <v>111010</v>
      </c>
      <c r="C1309" t="s">
        <v>555</v>
      </c>
      <c r="D1309" t="s">
        <v>556</v>
      </c>
      <c r="E1309" t="s">
        <v>18</v>
      </c>
      <c r="F1309" t="s">
        <v>3714</v>
      </c>
      <c r="G1309" t="s">
        <v>3715</v>
      </c>
      <c r="H1309" t="s">
        <v>33</v>
      </c>
      <c r="I1309" t="s">
        <v>97</v>
      </c>
      <c r="J1309" t="s">
        <v>2227</v>
      </c>
      <c r="K1309" t="s">
        <v>869</v>
      </c>
      <c r="L1309" t="s">
        <v>25</v>
      </c>
      <c r="M1309" t="s">
        <v>3719</v>
      </c>
      <c r="N1309" t="s">
        <v>27</v>
      </c>
      <c r="O1309" t="s">
        <v>452</v>
      </c>
      <c r="P1309">
        <v>7.56</v>
      </c>
    </row>
    <row r="1310" spans="1:16">
      <c r="A1310" s="4">
        <v>2017</v>
      </c>
      <c r="B1310" s="4">
        <v>147578</v>
      </c>
      <c r="C1310" t="s">
        <v>1224</v>
      </c>
      <c r="D1310" t="s">
        <v>1776</v>
      </c>
      <c r="E1310" t="s">
        <v>144</v>
      </c>
      <c r="F1310" t="s">
        <v>3714</v>
      </c>
      <c r="G1310" t="s">
        <v>3715</v>
      </c>
      <c r="H1310" t="s">
        <v>33</v>
      </c>
      <c r="I1310" t="s">
        <v>97</v>
      </c>
      <c r="J1310" t="s">
        <v>226</v>
      </c>
      <c r="K1310" t="s">
        <v>65</v>
      </c>
      <c r="L1310" t="s">
        <v>66</v>
      </c>
      <c r="M1310" t="s">
        <v>3413</v>
      </c>
      <c r="N1310" t="s">
        <v>79</v>
      </c>
      <c r="O1310" t="s">
        <v>80</v>
      </c>
      <c r="P1310">
        <v>31.56</v>
      </c>
    </row>
    <row r="1311" spans="1:16">
      <c r="A1311" s="4">
        <v>2018</v>
      </c>
      <c r="B1311" s="4">
        <v>155558</v>
      </c>
      <c r="C1311" t="s">
        <v>3584</v>
      </c>
      <c r="D1311" t="s">
        <v>578</v>
      </c>
      <c r="E1311" t="s">
        <v>18</v>
      </c>
      <c r="F1311" t="s">
        <v>3714</v>
      </c>
      <c r="G1311" t="s">
        <v>3715</v>
      </c>
      <c r="H1311" t="s">
        <v>33</v>
      </c>
      <c r="I1311" t="s">
        <v>97</v>
      </c>
      <c r="J1311" t="s">
        <v>663</v>
      </c>
      <c r="K1311" t="s">
        <v>372</v>
      </c>
      <c r="L1311" t="s">
        <v>36</v>
      </c>
      <c r="M1311" t="s">
        <v>3720</v>
      </c>
      <c r="N1311" t="s">
        <v>38</v>
      </c>
      <c r="O1311" t="s">
        <v>68</v>
      </c>
      <c r="P1311">
        <v>19.989999999999998</v>
      </c>
    </row>
    <row r="1312" spans="1:16">
      <c r="A1312" s="4">
        <v>2017</v>
      </c>
      <c r="B1312" s="4">
        <v>158099</v>
      </c>
      <c r="C1312" t="s">
        <v>70</v>
      </c>
      <c r="D1312" t="s">
        <v>1845</v>
      </c>
      <c r="E1312" t="s">
        <v>42</v>
      </c>
      <c r="F1312" t="s">
        <v>3721</v>
      </c>
      <c r="G1312" t="s">
        <v>3722</v>
      </c>
      <c r="H1312" t="s">
        <v>33</v>
      </c>
      <c r="I1312" t="s">
        <v>63</v>
      </c>
      <c r="J1312" t="s">
        <v>23</v>
      </c>
      <c r="K1312" t="s">
        <v>24</v>
      </c>
      <c r="L1312" t="s">
        <v>25</v>
      </c>
      <c r="M1312" t="s">
        <v>3723</v>
      </c>
      <c r="N1312" t="s">
        <v>27</v>
      </c>
      <c r="O1312" t="s">
        <v>101</v>
      </c>
      <c r="P1312">
        <v>1141.47</v>
      </c>
    </row>
    <row r="1313" spans="1:16">
      <c r="A1313" s="4">
        <v>2015</v>
      </c>
      <c r="B1313" s="4">
        <v>105172</v>
      </c>
      <c r="C1313" t="s">
        <v>3724</v>
      </c>
      <c r="D1313" t="s">
        <v>3725</v>
      </c>
      <c r="E1313" t="s">
        <v>18</v>
      </c>
      <c r="F1313" t="s">
        <v>3721</v>
      </c>
      <c r="G1313" t="s">
        <v>3722</v>
      </c>
      <c r="H1313" t="s">
        <v>33</v>
      </c>
      <c r="I1313" t="s">
        <v>63</v>
      </c>
      <c r="J1313" t="s">
        <v>226</v>
      </c>
      <c r="K1313" t="s">
        <v>65</v>
      </c>
      <c r="L1313" t="s">
        <v>66</v>
      </c>
      <c r="M1313" t="s">
        <v>3726</v>
      </c>
      <c r="N1313" t="s">
        <v>27</v>
      </c>
      <c r="O1313" t="s">
        <v>111</v>
      </c>
      <c r="P1313">
        <v>18.899999999999999</v>
      </c>
    </row>
    <row r="1314" spans="1:16">
      <c r="A1314" s="4">
        <v>2017</v>
      </c>
      <c r="B1314" s="4">
        <v>113509</v>
      </c>
      <c r="C1314" t="s">
        <v>3727</v>
      </c>
      <c r="D1314" t="s">
        <v>895</v>
      </c>
      <c r="E1314" t="s">
        <v>18</v>
      </c>
      <c r="F1314" t="s">
        <v>3728</v>
      </c>
      <c r="G1314" t="s">
        <v>3729</v>
      </c>
      <c r="H1314" t="s">
        <v>33</v>
      </c>
      <c r="I1314" t="s">
        <v>63</v>
      </c>
      <c r="J1314" t="s">
        <v>23</v>
      </c>
      <c r="K1314" t="s">
        <v>24</v>
      </c>
      <c r="L1314" t="s">
        <v>25</v>
      </c>
      <c r="M1314" t="s">
        <v>3730</v>
      </c>
      <c r="N1314" t="s">
        <v>38</v>
      </c>
      <c r="O1314" t="s">
        <v>68</v>
      </c>
      <c r="P1314">
        <v>83.975999999999999</v>
      </c>
    </row>
    <row r="1315" spans="1:16">
      <c r="A1315" s="4">
        <v>2018</v>
      </c>
      <c r="B1315" s="4">
        <v>109946</v>
      </c>
      <c r="C1315" t="s">
        <v>1943</v>
      </c>
      <c r="D1315" t="s">
        <v>2798</v>
      </c>
      <c r="E1315" t="s">
        <v>18</v>
      </c>
      <c r="F1315" t="s">
        <v>3728</v>
      </c>
      <c r="G1315" t="s">
        <v>3729</v>
      </c>
      <c r="H1315" t="s">
        <v>33</v>
      </c>
      <c r="I1315" t="s">
        <v>63</v>
      </c>
      <c r="J1315" t="s">
        <v>108</v>
      </c>
      <c r="K1315" t="s">
        <v>109</v>
      </c>
      <c r="L1315" t="s">
        <v>36</v>
      </c>
      <c r="M1315" t="s">
        <v>3731</v>
      </c>
      <c r="N1315" t="s">
        <v>27</v>
      </c>
      <c r="O1315" t="s">
        <v>28</v>
      </c>
      <c r="P1315">
        <v>16.52</v>
      </c>
    </row>
    <row r="1316" spans="1:16">
      <c r="A1316" s="4">
        <v>2018</v>
      </c>
      <c r="B1316" s="4">
        <v>165757</v>
      </c>
      <c r="C1316" t="s">
        <v>1541</v>
      </c>
      <c r="D1316" t="s">
        <v>1136</v>
      </c>
      <c r="E1316" t="s">
        <v>18</v>
      </c>
      <c r="F1316" t="s">
        <v>3728</v>
      </c>
      <c r="G1316" t="s">
        <v>3729</v>
      </c>
      <c r="H1316" t="s">
        <v>33</v>
      </c>
      <c r="I1316" t="s">
        <v>63</v>
      </c>
      <c r="J1316" t="s">
        <v>23</v>
      </c>
      <c r="K1316" t="s">
        <v>24</v>
      </c>
      <c r="L1316" t="s">
        <v>25</v>
      </c>
      <c r="M1316" t="s">
        <v>3732</v>
      </c>
      <c r="N1316" t="s">
        <v>27</v>
      </c>
      <c r="O1316" t="s">
        <v>101</v>
      </c>
      <c r="P1316">
        <v>10.332000000000001</v>
      </c>
    </row>
    <row r="1317" spans="1:16">
      <c r="A1317" s="4">
        <v>2018</v>
      </c>
      <c r="B1317" s="4">
        <v>117401</v>
      </c>
      <c r="C1317" t="s">
        <v>1611</v>
      </c>
      <c r="D1317" t="s">
        <v>3538</v>
      </c>
      <c r="E1317" t="s">
        <v>144</v>
      </c>
      <c r="F1317" t="s">
        <v>3733</v>
      </c>
      <c r="G1317" t="s">
        <v>3734</v>
      </c>
      <c r="H1317" t="s">
        <v>33</v>
      </c>
      <c r="I1317" t="s">
        <v>63</v>
      </c>
      <c r="J1317" t="s">
        <v>98</v>
      </c>
      <c r="K1317" t="s">
        <v>99</v>
      </c>
      <c r="L1317" t="s">
        <v>36</v>
      </c>
      <c r="M1317" t="s">
        <v>3735</v>
      </c>
      <c r="N1317" t="s">
        <v>27</v>
      </c>
      <c r="O1317" t="s">
        <v>228</v>
      </c>
      <c r="P1317">
        <v>706.86</v>
      </c>
    </row>
    <row r="1318" spans="1:16">
      <c r="A1318" s="4">
        <v>2017</v>
      </c>
      <c r="B1318" s="4">
        <v>108504</v>
      </c>
      <c r="C1318" t="s">
        <v>3736</v>
      </c>
      <c r="D1318" t="s">
        <v>3736</v>
      </c>
      <c r="E1318" t="s">
        <v>132</v>
      </c>
      <c r="F1318" t="s">
        <v>3733</v>
      </c>
      <c r="G1318" t="s">
        <v>3734</v>
      </c>
      <c r="H1318" t="s">
        <v>33</v>
      </c>
      <c r="I1318" t="s">
        <v>63</v>
      </c>
      <c r="J1318" t="s">
        <v>1495</v>
      </c>
      <c r="K1318" t="s">
        <v>86</v>
      </c>
      <c r="L1318" t="s">
        <v>45</v>
      </c>
      <c r="M1318" t="s">
        <v>3737</v>
      </c>
      <c r="N1318" t="s">
        <v>27</v>
      </c>
      <c r="O1318" t="s">
        <v>58</v>
      </c>
      <c r="P1318">
        <v>80.98</v>
      </c>
    </row>
    <row r="1319" spans="1:16">
      <c r="A1319" s="4">
        <v>2017</v>
      </c>
      <c r="B1319" s="4">
        <v>161158</v>
      </c>
      <c r="C1319" t="s">
        <v>687</v>
      </c>
      <c r="D1319" t="s">
        <v>2257</v>
      </c>
      <c r="E1319" t="s">
        <v>18</v>
      </c>
      <c r="F1319" t="s">
        <v>3738</v>
      </c>
      <c r="G1319" t="s">
        <v>3739</v>
      </c>
      <c r="H1319" t="s">
        <v>33</v>
      </c>
      <c r="I1319" t="s">
        <v>63</v>
      </c>
      <c r="J1319" t="s">
        <v>49</v>
      </c>
      <c r="K1319" t="s">
        <v>50</v>
      </c>
      <c r="L1319" t="s">
        <v>25</v>
      </c>
      <c r="M1319" t="s">
        <v>3740</v>
      </c>
      <c r="N1319" t="s">
        <v>27</v>
      </c>
      <c r="O1319" t="s">
        <v>28</v>
      </c>
      <c r="P1319">
        <v>8</v>
      </c>
    </row>
    <row r="1320" spans="1:16">
      <c r="A1320" s="4">
        <v>2016</v>
      </c>
      <c r="B1320" s="4">
        <v>164175</v>
      </c>
      <c r="C1320" t="s">
        <v>3741</v>
      </c>
      <c r="D1320" t="s">
        <v>3742</v>
      </c>
      <c r="E1320" t="s">
        <v>18</v>
      </c>
      <c r="F1320" t="s">
        <v>3738</v>
      </c>
      <c r="G1320" t="s">
        <v>3739</v>
      </c>
      <c r="H1320" t="s">
        <v>33</v>
      </c>
      <c r="I1320" t="s">
        <v>63</v>
      </c>
      <c r="J1320" t="s">
        <v>108</v>
      </c>
      <c r="K1320" t="s">
        <v>109</v>
      </c>
      <c r="L1320" t="s">
        <v>36</v>
      </c>
      <c r="M1320" t="s">
        <v>3743</v>
      </c>
      <c r="N1320" t="s">
        <v>79</v>
      </c>
      <c r="O1320" t="s">
        <v>138</v>
      </c>
      <c r="P1320">
        <v>213.11500000000001</v>
      </c>
    </row>
    <row r="1321" spans="1:16">
      <c r="A1321" s="4">
        <v>2018</v>
      </c>
      <c r="B1321" s="4">
        <v>105914</v>
      </c>
      <c r="C1321" t="s">
        <v>666</v>
      </c>
      <c r="D1321" t="s">
        <v>1977</v>
      </c>
      <c r="E1321" t="s">
        <v>18</v>
      </c>
      <c r="F1321" t="s">
        <v>3744</v>
      </c>
      <c r="G1321" t="s">
        <v>3745</v>
      </c>
      <c r="H1321" t="s">
        <v>33</v>
      </c>
      <c r="I1321" t="s">
        <v>63</v>
      </c>
      <c r="J1321" t="s">
        <v>64</v>
      </c>
      <c r="K1321" t="s">
        <v>65</v>
      </c>
      <c r="L1321" t="s">
        <v>66</v>
      </c>
      <c r="M1321" t="s">
        <v>3746</v>
      </c>
      <c r="N1321" t="s">
        <v>27</v>
      </c>
      <c r="O1321" t="s">
        <v>101</v>
      </c>
      <c r="P1321">
        <v>112.12</v>
      </c>
    </row>
    <row r="1322" spans="1:16">
      <c r="A1322" s="4">
        <v>2017</v>
      </c>
      <c r="B1322" s="4">
        <v>107216</v>
      </c>
      <c r="C1322" t="s">
        <v>1919</v>
      </c>
      <c r="D1322" t="s">
        <v>1470</v>
      </c>
      <c r="E1322" t="s">
        <v>42</v>
      </c>
      <c r="F1322" t="s">
        <v>3744</v>
      </c>
      <c r="G1322" t="s">
        <v>3745</v>
      </c>
      <c r="H1322" t="s">
        <v>33</v>
      </c>
      <c r="I1322" t="s">
        <v>63</v>
      </c>
      <c r="J1322" t="s">
        <v>226</v>
      </c>
      <c r="K1322" t="s">
        <v>65</v>
      </c>
      <c r="L1322" t="s">
        <v>66</v>
      </c>
      <c r="M1322" t="s">
        <v>824</v>
      </c>
      <c r="N1322" t="s">
        <v>27</v>
      </c>
      <c r="O1322" t="s">
        <v>28</v>
      </c>
      <c r="P1322">
        <v>7.04</v>
      </c>
    </row>
    <row r="1323" spans="1:16">
      <c r="A1323" s="4">
        <v>2017</v>
      </c>
      <c r="B1323" s="4">
        <v>119025</v>
      </c>
      <c r="C1323" t="s">
        <v>3686</v>
      </c>
      <c r="D1323" t="s">
        <v>3097</v>
      </c>
      <c r="E1323" t="s">
        <v>18</v>
      </c>
      <c r="F1323" t="s">
        <v>3744</v>
      </c>
      <c r="G1323" t="s">
        <v>3745</v>
      </c>
      <c r="H1323" t="s">
        <v>33</v>
      </c>
      <c r="I1323" t="s">
        <v>63</v>
      </c>
      <c r="J1323" t="s">
        <v>477</v>
      </c>
      <c r="K1323" t="s">
        <v>478</v>
      </c>
      <c r="L1323" t="s">
        <v>36</v>
      </c>
      <c r="M1323" t="s">
        <v>3747</v>
      </c>
      <c r="N1323" t="s">
        <v>27</v>
      </c>
      <c r="O1323" t="s">
        <v>228</v>
      </c>
      <c r="P1323">
        <v>490.32</v>
      </c>
    </row>
    <row r="1324" spans="1:16">
      <c r="A1324" s="4">
        <v>2016</v>
      </c>
      <c r="B1324" s="4">
        <v>153388</v>
      </c>
      <c r="C1324" t="s">
        <v>3748</v>
      </c>
      <c r="D1324" t="s">
        <v>3749</v>
      </c>
      <c r="E1324" t="s">
        <v>18</v>
      </c>
      <c r="F1324" t="s">
        <v>3750</v>
      </c>
      <c r="G1324" t="s">
        <v>3751</v>
      </c>
      <c r="H1324" t="s">
        <v>21</v>
      </c>
      <c r="I1324" t="s">
        <v>63</v>
      </c>
      <c r="J1324" t="s">
        <v>64</v>
      </c>
      <c r="K1324" t="s">
        <v>65</v>
      </c>
      <c r="L1324" t="s">
        <v>66</v>
      </c>
      <c r="M1324" t="s">
        <v>3752</v>
      </c>
      <c r="N1324" t="s">
        <v>27</v>
      </c>
      <c r="O1324" t="s">
        <v>28</v>
      </c>
      <c r="P1324">
        <v>6.72</v>
      </c>
    </row>
    <row r="1325" spans="1:16">
      <c r="A1325" s="4">
        <v>2018</v>
      </c>
      <c r="B1325" s="4">
        <v>151218</v>
      </c>
      <c r="C1325" t="s">
        <v>1380</v>
      </c>
      <c r="D1325" t="s">
        <v>349</v>
      </c>
      <c r="E1325" t="s">
        <v>42</v>
      </c>
      <c r="F1325" t="s">
        <v>3753</v>
      </c>
      <c r="G1325" t="s">
        <v>3754</v>
      </c>
      <c r="H1325" t="s">
        <v>21</v>
      </c>
      <c r="I1325" t="s">
        <v>97</v>
      </c>
      <c r="J1325" t="s">
        <v>437</v>
      </c>
      <c r="K1325" t="s">
        <v>196</v>
      </c>
      <c r="L1325" t="s">
        <v>45</v>
      </c>
      <c r="M1325" t="s">
        <v>3755</v>
      </c>
      <c r="N1325" t="s">
        <v>27</v>
      </c>
      <c r="O1325" t="s">
        <v>58</v>
      </c>
      <c r="P1325">
        <v>4.4640000000000004</v>
      </c>
    </row>
    <row r="1326" spans="1:16">
      <c r="A1326" s="4">
        <v>2018</v>
      </c>
      <c r="B1326" s="4">
        <v>117695</v>
      </c>
      <c r="C1326" t="s">
        <v>2075</v>
      </c>
      <c r="D1326" t="s">
        <v>3612</v>
      </c>
      <c r="E1326" t="s">
        <v>42</v>
      </c>
      <c r="F1326" t="s">
        <v>3756</v>
      </c>
      <c r="G1326" t="s">
        <v>3757</v>
      </c>
      <c r="H1326" t="s">
        <v>21</v>
      </c>
      <c r="I1326" t="s">
        <v>22</v>
      </c>
      <c r="J1326" t="s">
        <v>1011</v>
      </c>
      <c r="K1326" t="s">
        <v>126</v>
      </c>
      <c r="L1326" t="s">
        <v>45</v>
      </c>
      <c r="M1326" t="s">
        <v>3758</v>
      </c>
      <c r="N1326" t="s">
        <v>27</v>
      </c>
      <c r="O1326" t="s">
        <v>52</v>
      </c>
      <c r="P1326">
        <v>13.76</v>
      </c>
    </row>
    <row r="1327" spans="1:16">
      <c r="A1327" s="4">
        <v>2018</v>
      </c>
      <c r="B1327" s="4">
        <v>160423</v>
      </c>
      <c r="C1327" t="s">
        <v>1617</v>
      </c>
      <c r="D1327" t="s">
        <v>3759</v>
      </c>
      <c r="E1327" t="s">
        <v>18</v>
      </c>
      <c r="F1327" t="s">
        <v>3760</v>
      </c>
      <c r="G1327" t="s">
        <v>3761</v>
      </c>
      <c r="H1327" t="s">
        <v>33</v>
      </c>
      <c r="I1327" t="s">
        <v>63</v>
      </c>
      <c r="J1327" t="s">
        <v>1413</v>
      </c>
      <c r="K1327" t="s">
        <v>44</v>
      </c>
      <c r="L1327" t="s">
        <v>45</v>
      </c>
      <c r="M1327" t="s">
        <v>3762</v>
      </c>
      <c r="N1327" t="s">
        <v>27</v>
      </c>
      <c r="O1327" t="s">
        <v>58</v>
      </c>
      <c r="P1327">
        <v>348.20800000000003</v>
      </c>
    </row>
    <row r="1328" spans="1:16">
      <c r="A1328" s="4">
        <v>2015</v>
      </c>
      <c r="B1328" s="4">
        <v>136567</v>
      </c>
      <c r="C1328" t="s">
        <v>119</v>
      </c>
      <c r="D1328" t="s">
        <v>710</v>
      </c>
      <c r="E1328" t="s">
        <v>42</v>
      </c>
      <c r="F1328" t="s">
        <v>3760</v>
      </c>
      <c r="G1328" t="s">
        <v>3761</v>
      </c>
      <c r="H1328" t="s">
        <v>33</v>
      </c>
      <c r="I1328" t="s">
        <v>63</v>
      </c>
      <c r="J1328" t="s">
        <v>3763</v>
      </c>
      <c r="K1328" t="s">
        <v>56</v>
      </c>
      <c r="L1328" t="s">
        <v>45</v>
      </c>
      <c r="M1328" t="s">
        <v>3764</v>
      </c>
      <c r="N1328" t="s">
        <v>27</v>
      </c>
      <c r="O1328" t="s">
        <v>58</v>
      </c>
      <c r="P1328">
        <v>122.48</v>
      </c>
    </row>
    <row r="1329" spans="1:16">
      <c r="A1329" s="4">
        <v>2016</v>
      </c>
      <c r="B1329" s="4">
        <v>105970</v>
      </c>
      <c r="C1329" t="s">
        <v>1644</v>
      </c>
      <c r="D1329" t="s">
        <v>3765</v>
      </c>
      <c r="E1329" t="s">
        <v>18</v>
      </c>
      <c r="F1329" t="s">
        <v>3766</v>
      </c>
      <c r="G1329" t="s">
        <v>3767</v>
      </c>
      <c r="H1329" t="s">
        <v>33</v>
      </c>
      <c r="I1329" t="s">
        <v>63</v>
      </c>
      <c r="J1329" t="s">
        <v>1011</v>
      </c>
      <c r="K1329" t="s">
        <v>122</v>
      </c>
      <c r="L1329" t="s">
        <v>36</v>
      </c>
      <c r="M1329" t="s">
        <v>3768</v>
      </c>
      <c r="N1329" t="s">
        <v>27</v>
      </c>
      <c r="O1329" t="s">
        <v>28</v>
      </c>
      <c r="P1329">
        <v>10.16</v>
      </c>
    </row>
    <row r="1330" spans="1:16">
      <c r="A1330" s="4">
        <v>2016</v>
      </c>
      <c r="B1330" s="4">
        <v>129476</v>
      </c>
      <c r="C1330" t="s">
        <v>2328</v>
      </c>
      <c r="D1330" t="s">
        <v>3769</v>
      </c>
      <c r="E1330" t="s">
        <v>18</v>
      </c>
      <c r="F1330" t="s">
        <v>3766</v>
      </c>
      <c r="G1330" t="s">
        <v>3767</v>
      </c>
      <c r="H1330" t="s">
        <v>33</v>
      </c>
      <c r="I1330" t="s">
        <v>63</v>
      </c>
      <c r="J1330" t="s">
        <v>3770</v>
      </c>
      <c r="K1330" t="s">
        <v>109</v>
      </c>
      <c r="L1330" t="s">
        <v>36</v>
      </c>
      <c r="M1330" t="s">
        <v>3771</v>
      </c>
      <c r="N1330" t="s">
        <v>38</v>
      </c>
      <c r="O1330" t="s">
        <v>68</v>
      </c>
      <c r="P1330">
        <v>339.96</v>
      </c>
    </row>
    <row r="1331" spans="1:16">
      <c r="A1331" s="4">
        <v>2017</v>
      </c>
      <c r="B1331" s="4">
        <v>117387</v>
      </c>
      <c r="C1331" t="s">
        <v>3595</v>
      </c>
      <c r="D1331" t="s">
        <v>3772</v>
      </c>
      <c r="E1331" t="s">
        <v>18</v>
      </c>
      <c r="F1331" t="s">
        <v>3766</v>
      </c>
      <c r="G1331" t="s">
        <v>3767</v>
      </c>
      <c r="H1331" t="s">
        <v>33</v>
      </c>
      <c r="I1331" t="s">
        <v>63</v>
      </c>
      <c r="J1331" t="s">
        <v>226</v>
      </c>
      <c r="K1331" t="s">
        <v>65</v>
      </c>
      <c r="L1331" t="s">
        <v>66</v>
      </c>
      <c r="M1331" t="s">
        <v>3773</v>
      </c>
      <c r="N1331" t="s">
        <v>27</v>
      </c>
      <c r="O1331" t="s">
        <v>101</v>
      </c>
      <c r="P1331">
        <v>67.135999999999996</v>
      </c>
    </row>
    <row r="1332" spans="1:16">
      <c r="A1332" s="4">
        <v>2015</v>
      </c>
      <c r="B1332" s="4">
        <v>148761</v>
      </c>
      <c r="C1332" t="s">
        <v>2959</v>
      </c>
      <c r="D1332" t="s">
        <v>3507</v>
      </c>
      <c r="E1332" t="s">
        <v>18</v>
      </c>
      <c r="F1332" t="s">
        <v>3766</v>
      </c>
      <c r="G1332" t="s">
        <v>3767</v>
      </c>
      <c r="H1332" t="s">
        <v>33</v>
      </c>
      <c r="I1332" t="s">
        <v>63</v>
      </c>
      <c r="J1332" t="s">
        <v>3774</v>
      </c>
      <c r="K1332" t="s">
        <v>478</v>
      </c>
      <c r="L1332" t="s">
        <v>36</v>
      </c>
      <c r="M1332" t="s">
        <v>3775</v>
      </c>
      <c r="N1332" t="s">
        <v>27</v>
      </c>
      <c r="O1332" t="s">
        <v>101</v>
      </c>
      <c r="P1332">
        <v>91.68</v>
      </c>
    </row>
    <row r="1333" spans="1:16">
      <c r="A1333" s="4">
        <v>2018</v>
      </c>
      <c r="B1333" s="4">
        <v>147753</v>
      </c>
      <c r="C1333" t="s">
        <v>3776</v>
      </c>
      <c r="D1333" t="s">
        <v>3776</v>
      </c>
      <c r="E1333" t="s">
        <v>132</v>
      </c>
      <c r="F1333" t="s">
        <v>3777</v>
      </c>
      <c r="G1333" t="s">
        <v>3778</v>
      </c>
      <c r="H1333" t="s">
        <v>33</v>
      </c>
      <c r="I1333" t="s">
        <v>97</v>
      </c>
      <c r="J1333" t="s">
        <v>477</v>
      </c>
      <c r="K1333" t="s">
        <v>478</v>
      </c>
      <c r="L1333" t="s">
        <v>36</v>
      </c>
      <c r="M1333" t="s">
        <v>3779</v>
      </c>
      <c r="N1333" t="s">
        <v>27</v>
      </c>
      <c r="O1333" t="s">
        <v>111</v>
      </c>
      <c r="P1333">
        <v>25.06</v>
      </c>
    </row>
    <row r="1334" spans="1:16">
      <c r="A1334" s="4">
        <v>2017</v>
      </c>
      <c r="B1334" s="4">
        <v>115756</v>
      </c>
      <c r="C1334" t="s">
        <v>1845</v>
      </c>
      <c r="D1334" t="s">
        <v>1846</v>
      </c>
      <c r="E1334" t="s">
        <v>144</v>
      </c>
      <c r="F1334" t="s">
        <v>3777</v>
      </c>
      <c r="G1334" t="s">
        <v>3778</v>
      </c>
      <c r="H1334" t="s">
        <v>33</v>
      </c>
      <c r="I1334" t="s">
        <v>97</v>
      </c>
      <c r="J1334" t="s">
        <v>879</v>
      </c>
      <c r="K1334" t="s">
        <v>855</v>
      </c>
      <c r="L1334" t="s">
        <v>36</v>
      </c>
      <c r="M1334" t="s">
        <v>1951</v>
      </c>
      <c r="N1334" t="s">
        <v>79</v>
      </c>
      <c r="O1334" t="s">
        <v>80</v>
      </c>
      <c r="P1334">
        <v>12.22</v>
      </c>
    </row>
    <row r="1335" spans="1:16">
      <c r="A1335" s="4">
        <v>2015</v>
      </c>
      <c r="B1335" s="4">
        <v>105893</v>
      </c>
      <c r="C1335" t="s">
        <v>2632</v>
      </c>
      <c r="D1335" t="s">
        <v>444</v>
      </c>
      <c r="E1335" t="s">
        <v>18</v>
      </c>
      <c r="F1335" t="s">
        <v>3777</v>
      </c>
      <c r="G1335" t="s">
        <v>3778</v>
      </c>
      <c r="H1335" t="s">
        <v>33</v>
      </c>
      <c r="I1335" t="s">
        <v>97</v>
      </c>
      <c r="J1335" t="s">
        <v>2640</v>
      </c>
      <c r="K1335" t="s">
        <v>478</v>
      </c>
      <c r="L1335" t="s">
        <v>36</v>
      </c>
      <c r="M1335" t="s">
        <v>3780</v>
      </c>
      <c r="N1335" t="s">
        <v>27</v>
      </c>
      <c r="O1335" t="s">
        <v>58</v>
      </c>
      <c r="P1335">
        <v>665.88</v>
      </c>
    </row>
    <row r="1336" spans="1:16">
      <c r="A1336" s="4">
        <v>2015</v>
      </c>
      <c r="B1336" s="4">
        <v>150924</v>
      </c>
      <c r="C1336" t="s">
        <v>735</v>
      </c>
      <c r="D1336" t="s">
        <v>2642</v>
      </c>
      <c r="E1336" t="s">
        <v>144</v>
      </c>
      <c r="F1336" t="s">
        <v>3781</v>
      </c>
      <c r="G1336" t="s">
        <v>3782</v>
      </c>
      <c r="H1336" t="s">
        <v>21</v>
      </c>
      <c r="I1336" t="s">
        <v>97</v>
      </c>
      <c r="J1336" t="s">
        <v>183</v>
      </c>
      <c r="K1336" t="s">
        <v>35</v>
      </c>
      <c r="L1336" t="s">
        <v>36</v>
      </c>
      <c r="M1336" t="s">
        <v>2224</v>
      </c>
      <c r="N1336" t="s">
        <v>27</v>
      </c>
      <c r="O1336" t="s">
        <v>101</v>
      </c>
      <c r="P1336">
        <v>5.18</v>
      </c>
    </row>
    <row r="1337" spans="1:16">
      <c r="A1337" s="4">
        <v>2017</v>
      </c>
      <c r="B1337" s="4">
        <v>150889</v>
      </c>
      <c r="C1337" t="s">
        <v>3783</v>
      </c>
      <c r="D1337" t="s">
        <v>3218</v>
      </c>
      <c r="E1337" t="s">
        <v>144</v>
      </c>
      <c r="F1337" t="s">
        <v>3784</v>
      </c>
      <c r="G1337" t="s">
        <v>3785</v>
      </c>
      <c r="H1337" t="s">
        <v>33</v>
      </c>
      <c r="I1337" t="s">
        <v>97</v>
      </c>
      <c r="J1337" t="s">
        <v>820</v>
      </c>
      <c r="K1337" t="s">
        <v>109</v>
      </c>
      <c r="L1337" t="s">
        <v>36</v>
      </c>
      <c r="M1337" t="s">
        <v>3786</v>
      </c>
      <c r="N1337" t="s">
        <v>38</v>
      </c>
      <c r="O1337" t="s">
        <v>118</v>
      </c>
      <c r="P1337">
        <v>11.992000000000001</v>
      </c>
    </row>
    <row r="1338" spans="1:16">
      <c r="A1338" s="4">
        <v>2015</v>
      </c>
      <c r="B1338" s="4">
        <v>128888</v>
      </c>
      <c r="C1338" t="s">
        <v>1048</v>
      </c>
      <c r="D1338" t="s">
        <v>179</v>
      </c>
      <c r="E1338" t="s">
        <v>18</v>
      </c>
      <c r="F1338" t="s">
        <v>3784</v>
      </c>
      <c r="G1338" t="s">
        <v>3785</v>
      </c>
      <c r="H1338" t="s">
        <v>33</v>
      </c>
      <c r="I1338" t="s">
        <v>97</v>
      </c>
      <c r="J1338" t="s">
        <v>183</v>
      </c>
      <c r="K1338" t="s">
        <v>35</v>
      </c>
      <c r="L1338" t="s">
        <v>36</v>
      </c>
      <c r="M1338" t="s">
        <v>3294</v>
      </c>
      <c r="N1338" t="s">
        <v>27</v>
      </c>
      <c r="O1338" t="s">
        <v>501</v>
      </c>
      <c r="P1338">
        <v>604.65599999999995</v>
      </c>
    </row>
    <row r="1339" spans="1:16">
      <c r="A1339" s="4">
        <v>2016</v>
      </c>
      <c r="B1339" s="4">
        <v>129896</v>
      </c>
      <c r="C1339" t="s">
        <v>379</v>
      </c>
      <c r="D1339" t="s">
        <v>3204</v>
      </c>
      <c r="E1339" t="s">
        <v>18</v>
      </c>
      <c r="F1339" t="s">
        <v>3787</v>
      </c>
      <c r="G1339" t="s">
        <v>3788</v>
      </c>
      <c r="H1339" t="s">
        <v>33</v>
      </c>
      <c r="I1339" t="s">
        <v>97</v>
      </c>
      <c r="J1339" t="s">
        <v>947</v>
      </c>
      <c r="K1339" t="s">
        <v>136</v>
      </c>
      <c r="L1339" t="s">
        <v>66</v>
      </c>
      <c r="M1339" t="s">
        <v>3789</v>
      </c>
      <c r="N1339" t="s">
        <v>27</v>
      </c>
      <c r="O1339" t="s">
        <v>52</v>
      </c>
      <c r="P1339">
        <v>9.5679999999999996</v>
      </c>
    </row>
    <row r="1340" spans="1:16">
      <c r="A1340" s="4">
        <v>2016</v>
      </c>
      <c r="B1340" s="4">
        <v>140025</v>
      </c>
      <c r="C1340" t="s">
        <v>3418</v>
      </c>
      <c r="D1340" t="s">
        <v>1110</v>
      </c>
      <c r="E1340" t="s">
        <v>18</v>
      </c>
      <c r="F1340" t="s">
        <v>3787</v>
      </c>
      <c r="G1340" t="s">
        <v>3788</v>
      </c>
      <c r="H1340" t="s">
        <v>33</v>
      </c>
      <c r="I1340" t="s">
        <v>97</v>
      </c>
      <c r="J1340" t="s">
        <v>738</v>
      </c>
      <c r="K1340" t="s">
        <v>35</v>
      </c>
      <c r="L1340" t="s">
        <v>36</v>
      </c>
      <c r="M1340" t="s">
        <v>3790</v>
      </c>
      <c r="N1340" t="s">
        <v>27</v>
      </c>
      <c r="O1340" t="s">
        <v>228</v>
      </c>
      <c r="P1340">
        <v>463.24799999999999</v>
      </c>
    </row>
    <row r="1341" spans="1:16">
      <c r="A1341" s="4">
        <v>2017</v>
      </c>
      <c r="B1341" s="4">
        <v>149685</v>
      </c>
      <c r="C1341" t="s">
        <v>722</v>
      </c>
      <c r="D1341" t="s">
        <v>1497</v>
      </c>
      <c r="E1341" t="s">
        <v>18</v>
      </c>
      <c r="F1341" t="s">
        <v>3791</v>
      </c>
      <c r="G1341" t="s">
        <v>3792</v>
      </c>
      <c r="H1341" t="s">
        <v>21</v>
      </c>
      <c r="I1341" t="s">
        <v>63</v>
      </c>
      <c r="J1341" t="s">
        <v>738</v>
      </c>
      <c r="K1341" t="s">
        <v>35</v>
      </c>
      <c r="L1341" t="s">
        <v>36</v>
      </c>
      <c r="M1341" t="s">
        <v>3793</v>
      </c>
      <c r="N1341" t="s">
        <v>27</v>
      </c>
      <c r="O1341" t="s">
        <v>111</v>
      </c>
      <c r="P1341">
        <v>60.143999999999998</v>
      </c>
    </row>
    <row r="1342" spans="1:16">
      <c r="A1342" s="4">
        <v>2016</v>
      </c>
      <c r="B1342" s="4">
        <v>167269</v>
      </c>
      <c r="C1342" t="s">
        <v>2777</v>
      </c>
      <c r="D1342" t="s">
        <v>3204</v>
      </c>
      <c r="E1342" t="s">
        <v>18</v>
      </c>
      <c r="F1342" t="s">
        <v>3794</v>
      </c>
      <c r="G1342" t="s">
        <v>3795</v>
      </c>
      <c r="H1342" t="s">
        <v>33</v>
      </c>
      <c r="I1342" t="s">
        <v>97</v>
      </c>
      <c r="J1342" t="s">
        <v>23</v>
      </c>
      <c r="K1342" t="s">
        <v>24</v>
      </c>
      <c r="L1342" t="s">
        <v>25</v>
      </c>
      <c r="M1342" t="s">
        <v>2429</v>
      </c>
      <c r="N1342" t="s">
        <v>27</v>
      </c>
      <c r="O1342" t="s">
        <v>501</v>
      </c>
      <c r="P1342">
        <v>6.2080000000000002</v>
      </c>
    </row>
    <row r="1343" spans="1:16">
      <c r="A1343" s="4">
        <v>2017</v>
      </c>
      <c r="B1343" s="4">
        <v>148796</v>
      </c>
      <c r="C1343" t="s">
        <v>2102</v>
      </c>
      <c r="D1343" t="s">
        <v>1036</v>
      </c>
      <c r="E1343" t="s">
        <v>18</v>
      </c>
      <c r="F1343" t="s">
        <v>3794</v>
      </c>
      <c r="G1343" t="s">
        <v>3795</v>
      </c>
      <c r="H1343" t="s">
        <v>33</v>
      </c>
      <c r="I1343" t="s">
        <v>97</v>
      </c>
      <c r="J1343" t="s">
        <v>64</v>
      </c>
      <c r="K1343" t="s">
        <v>65</v>
      </c>
      <c r="L1343" t="s">
        <v>66</v>
      </c>
      <c r="M1343" t="s">
        <v>3796</v>
      </c>
      <c r="N1343" t="s">
        <v>79</v>
      </c>
      <c r="O1343" t="s">
        <v>138</v>
      </c>
      <c r="P1343">
        <v>383.8</v>
      </c>
    </row>
    <row r="1344" spans="1:16">
      <c r="A1344" s="4">
        <v>2015</v>
      </c>
      <c r="B1344" s="4">
        <v>150532</v>
      </c>
      <c r="C1344" t="s">
        <v>3797</v>
      </c>
      <c r="D1344" t="s">
        <v>3445</v>
      </c>
      <c r="E1344" t="s">
        <v>18</v>
      </c>
      <c r="F1344" t="s">
        <v>3794</v>
      </c>
      <c r="G1344" t="s">
        <v>3795</v>
      </c>
      <c r="H1344" t="s">
        <v>33</v>
      </c>
      <c r="I1344" t="s">
        <v>97</v>
      </c>
      <c r="J1344" t="s">
        <v>1713</v>
      </c>
      <c r="K1344" t="s">
        <v>136</v>
      </c>
      <c r="L1344" t="s">
        <v>66</v>
      </c>
      <c r="M1344" t="s">
        <v>3798</v>
      </c>
      <c r="N1344" t="s">
        <v>27</v>
      </c>
      <c r="O1344" t="s">
        <v>58</v>
      </c>
      <c r="P1344">
        <v>55.92</v>
      </c>
    </row>
    <row r="1345" spans="1:16">
      <c r="A1345" s="4">
        <v>2015</v>
      </c>
      <c r="B1345" s="4">
        <v>134614</v>
      </c>
      <c r="C1345" t="s">
        <v>1863</v>
      </c>
      <c r="D1345" t="s">
        <v>1864</v>
      </c>
      <c r="E1345" t="s">
        <v>18</v>
      </c>
      <c r="F1345" t="s">
        <v>3799</v>
      </c>
      <c r="G1345" t="s">
        <v>3800</v>
      </c>
      <c r="H1345" t="s">
        <v>33</v>
      </c>
      <c r="I1345" t="s">
        <v>97</v>
      </c>
      <c r="J1345" t="s">
        <v>1450</v>
      </c>
      <c r="K1345" t="s">
        <v>109</v>
      </c>
      <c r="L1345" t="s">
        <v>36</v>
      </c>
      <c r="M1345" t="s">
        <v>3801</v>
      </c>
      <c r="N1345" t="s">
        <v>79</v>
      </c>
      <c r="O1345" t="s">
        <v>347</v>
      </c>
      <c r="P1345">
        <v>617.70000000000005</v>
      </c>
    </row>
    <row r="1346" spans="1:16">
      <c r="A1346" s="4">
        <v>2016</v>
      </c>
      <c r="B1346" s="4">
        <v>101707</v>
      </c>
      <c r="C1346" t="s">
        <v>3802</v>
      </c>
      <c r="D1346" t="s">
        <v>1887</v>
      </c>
      <c r="E1346" t="s">
        <v>18</v>
      </c>
      <c r="F1346" t="s">
        <v>3799</v>
      </c>
      <c r="G1346" t="s">
        <v>3800</v>
      </c>
      <c r="H1346" t="s">
        <v>33</v>
      </c>
      <c r="I1346" t="s">
        <v>97</v>
      </c>
      <c r="J1346" t="s">
        <v>630</v>
      </c>
      <c r="K1346" t="s">
        <v>65</v>
      </c>
      <c r="L1346" t="s">
        <v>66</v>
      </c>
      <c r="M1346" t="s">
        <v>3803</v>
      </c>
      <c r="N1346" t="s">
        <v>27</v>
      </c>
      <c r="O1346" t="s">
        <v>74</v>
      </c>
      <c r="P1346">
        <v>32.94</v>
      </c>
    </row>
    <row r="1347" spans="1:16">
      <c r="A1347" s="4">
        <v>2016</v>
      </c>
      <c r="B1347" s="4">
        <v>111458</v>
      </c>
      <c r="C1347" t="s">
        <v>1040</v>
      </c>
      <c r="D1347" t="s">
        <v>3804</v>
      </c>
      <c r="E1347" t="s">
        <v>18</v>
      </c>
      <c r="F1347" t="s">
        <v>3799</v>
      </c>
      <c r="G1347" t="s">
        <v>3800</v>
      </c>
      <c r="H1347" t="s">
        <v>33</v>
      </c>
      <c r="I1347" t="s">
        <v>97</v>
      </c>
      <c r="J1347" t="s">
        <v>49</v>
      </c>
      <c r="K1347" t="s">
        <v>50</v>
      </c>
      <c r="L1347" t="s">
        <v>25</v>
      </c>
      <c r="M1347" t="s">
        <v>295</v>
      </c>
      <c r="N1347" t="s">
        <v>38</v>
      </c>
      <c r="O1347" t="s">
        <v>68</v>
      </c>
      <c r="P1347">
        <v>50</v>
      </c>
    </row>
    <row r="1348" spans="1:16">
      <c r="A1348" s="4">
        <v>2017</v>
      </c>
      <c r="B1348" s="4">
        <v>151148</v>
      </c>
      <c r="C1348" t="s">
        <v>560</v>
      </c>
      <c r="D1348" t="s">
        <v>2264</v>
      </c>
      <c r="E1348" t="s">
        <v>132</v>
      </c>
      <c r="F1348" t="s">
        <v>3805</v>
      </c>
      <c r="G1348" t="s">
        <v>3806</v>
      </c>
      <c r="H1348" t="s">
        <v>33</v>
      </c>
      <c r="I1348" t="s">
        <v>63</v>
      </c>
      <c r="J1348" t="s">
        <v>617</v>
      </c>
      <c r="K1348" t="s">
        <v>222</v>
      </c>
      <c r="L1348" t="s">
        <v>66</v>
      </c>
      <c r="M1348" t="s">
        <v>1849</v>
      </c>
      <c r="N1348" t="s">
        <v>38</v>
      </c>
      <c r="O1348" t="s">
        <v>118</v>
      </c>
      <c r="P1348">
        <v>146.952</v>
      </c>
    </row>
    <row r="1349" spans="1:16">
      <c r="A1349" s="4">
        <v>2016</v>
      </c>
      <c r="B1349" s="4">
        <v>156797</v>
      </c>
      <c r="C1349" t="s">
        <v>3807</v>
      </c>
      <c r="D1349" t="s">
        <v>3808</v>
      </c>
      <c r="E1349" t="s">
        <v>18</v>
      </c>
      <c r="F1349" t="s">
        <v>3805</v>
      </c>
      <c r="G1349" t="s">
        <v>3806</v>
      </c>
      <c r="H1349" t="s">
        <v>33</v>
      </c>
      <c r="I1349" t="s">
        <v>63</v>
      </c>
      <c r="J1349" t="s">
        <v>49</v>
      </c>
      <c r="K1349" t="s">
        <v>50</v>
      </c>
      <c r="L1349" t="s">
        <v>25</v>
      </c>
      <c r="M1349" t="s">
        <v>3809</v>
      </c>
      <c r="N1349" t="s">
        <v>27</v>
      </c>
      <c r="O1349" t="s">
        <v>28</v>
      </c>
      <c r="P1349">
        <v>11.96</v>
      </c>
    </row>
    <row r="1350" spans="1:16">
      <c r="A1350" s="4">
        <v>2017</v>
      </c>
      <c r="B1350" s="4">
        <v>147375</v>
      </c>
      <c r="C1350" t="s">
        <v>1469</v>
      </c>
      <c r="D1350" t="s">
        <v>1919</v>
      </c>
      <c r="E1350" t="s">
        <v>144</v>
      </c>
      <c r="F1350" t="s">
        <v>3805</v>
      </c>
      <c r="G1350" t="s">
        <v>3806</v>
      </c>
      <c r="H1350" t="s">
        <v>33</v>
      </c>
      <c r="I1350" t="s">
        <v>63</v>
      </c>
      <c r="J1350" t="s">
        <v>108</v>
      </c>
      <c r="K1350" t="s">
        <v>109</v>
      </c>
      <c r="L1350" t="s">
        <v>36</v>
      </c>
      <c r="M1350" t="s">
        <v>2573</v>
      </c>
      <c r="N1350" t="s">
        <v>38</v>
      </c>
      <c r="O1350" t="s">
        <v>39</v>
      </c>
      <c r="P1350">
        <v>1007.979</v>
      </c>
    </row>
    <row r="1351" spans="1:16">
      <c r="A1351" s="4">
        <v>2016</v>
      </c>
      <c r="B1351" s="4">
        <v>156335</v>
      </c>
      <c r="C1351" t="s">
        <v>498</v>
      </c>
      <c r="D1351" t="s">
        <v>1722</v>
      </c>
      <c r="E1351" t="s">
        <v>144</v>
      </c>
      <c r="F1351" t="s">
        <v>3810</v>
      </c>
      <c r="G1351" t="s">
        <v>3811</v>
      </c>
      <c r="H1351" t="s">
        <v>33</v>
      </c>
      <c r="I1351" t="s">
        <v>63</v>
      </c>
      <c r="J1351" t="s">
        <v>3812</v>
      </c>
      <c r="K1351" t="s">
        <v>869</v>
      </c>
      <c r="L1351" t="s">
        <v>25</v>
      </c>
      <c r="M1351" t="s">
        <v>3813</v>
      </c>
      <c r="N1351" t="s">
        <v>38</v>
      </c>
      <c r="O1351" t="s">
        <v>68</v>
      </c>
      <c r="P1351">
        <v>63.96</v>
      </c>
    </row>
    <row r="1352" spans="1:16">
      <c r="A1352" s="4">
        <v>2015</v>
      </c>
      <c r="B1352" s="4">
        <v>112326</v>
      </c>
      <c r="C1352" t="s">
        <v>3814</v>
      </c>
      <c r="D1352" t="s">
        <v>3815</v>
      </c>
      <c r="E1352" t="s">
        <v>18</v>
      </c>
      <c r="F1352" t="s">
        <v>3810</v>
      </c>
      <c r="G1352" t="s">
        <v>3811</v>
      </c>
      <c r="H1352" t="s">
        <v>33</v>
      </c>
      <c r="I1352" t="s">
        <v>63</v>
      </c>
      <c r="J1352" t="s">
        <v>2015</v>
      </c>
      <c r="K1352" t="s">
        <v>109</v>
      </c>
      <c r="L1352" t="s">
        <v>36</v>
      </c>
      <c r="M1352" t="s">
        <v>3816</v>
      </c>
      <c r="N1352" t="s">
        <v>27</v>
      </c>
      <c r="O1352" t="s">
        <v>111</v>
      </c>
      <c r="P1352">
        <v>11.784000000000001</v>
      </c>
    </row>
    <row r="1353" spans="1:16">
      <c r="A1353" s="4">
        <v>2017</v>
      </c>
      <c r="B1353" s="4">
        <v>164938</v>
      </c>
      <c r="C1353" t="s">
        <v>1173</v>
      </c>
      <c r="D1353" t="s">
        <v>3817</v>
      </c>
      <c r="E1353" t="s">
        <v>42</v>
      </c>
      <c r="F1353" t="s">
        <v>3818</v>
      </c>
      <c r="G1353" t="s">
        <v>3819</v>
      </c>
      <c r="H1353" t="s">
        <v>21</v>
      </c>
      <c r="I1353" t="s">
        <v>22</v>
      </c>
      <c r="J1353" t="s">
        <v>151</v>
      </c>
      <c r="K1353" t="s">
        <v>152</v>
      </c>
      <c r="L1353" t="s">
        <v>36</v>
      </c>
      <c r="M1353" t="s">
        <v>3820</v>
      </c>
      <c r="N1353" t="s">
        <v>38</v>
      </c>
      <c r="O1353" t="s">
        <v>118</v>
      </c>
      <c r="P1353">
        <v>69.930000000000007</v>
      </c>
    </row>
    <row r="1354" spans="1:16">
      <c r="A1354" s="4">
        <v>2017</v>
      </c>
      <c r="B1354" s="4">
        <v>114972</v>
      </c>
      <c r="C1354" t="s">
        <v>1404</v>
      </c>
      <c r="D1354" t="s">
        <v>3821</v>
      </c>
      <c r="E1354" t="s">
        <v>42</v>
      </c>
      <c r="F1354" t="s">
        <v>3822</v>
      </c>
      <c r="G1354" t="s">
        <v>3823</v>
      </c>
      <c r="H1354" t="s">
        <v>33</v>
      </c>
      <c r="I1354" t="s">
        <v>97</v>
      </c>
      <c r="J1354" t="s">
        <v>64</v>
      </c>
      <c r="K1354" t="s">
        <v>65</v>
      </c>
      <c r="L1354" t="s">
        <v>66</v>
      </c>
      <c r="M1354" t="s">
        <v>3824</v>
      </c>
      <c r="N1354" t="s">
        <v>79</v>
      </c>
      <c r="O1354" t="s">
        <v>138</v>
      </c>
      <c r="P1354">
        <v>217.584</v>
      </c>
    </row>
    <row r="1355" spans="1:16">
      <c r="A1355" s="4">
        <v>2018</v>
      </c>
      <c r="B1355" s="4">
        <v>110380</v>
      </c>
      <c r="C1355" t="s">
        <v>853</v>
      </c>
      <c r="D1355" t="s">
        <v>475</v>
      </c>
      <c r="E1355" t="s">
        <v>18</v>
      </c>
      <c r="F1355" t="s">
        <v>3822</v>
      </c>
      <c r="G1355" t="s">
        <v>3823</v>
      </c>
      <c r="H1355" t="s">
        <v>33</v>
      </c>
      <c r="I1355" t="s">
        <v>97</v>
      </c>
      <c r="J1355" t="s">
        <v>226</v>
      </c>
      <c r="K1355" t="s">
        <v>65</v>
      </c>
      <c r="L1355" t="s">
        <v>66</v>
      </c>
      <c r="M1355" t="s">
        <v>2851</v>
      </c>
      <c r="N1355" t="s">
        <v>27</v>
      </c>
      <c r="O1355" t="s">
        <v>28</v>
      </c>
      <c r="P1355">
        <v>6.57</v>
      </c>
    </row>
    <row r="1356" spans="1:16">
      <c r="A1356" s="4">
        <v>2017</v>
      </c>
      <c r="B1356" s="4">
        <v>120257</v>
      </c>
      <c r="C1356" t="s">
        <v>510</v>
      </c>
      <c r="D1356" t="s">
        <v>3515</v>
      </c>
      <c r="E1356" t="s">
        <v>18</v>
      </c>
      <c r="F1356" t="s">
        <v>3825</v>
      </c>
      <c r="G1356" t="s">
        <v>3826</v>
      </c>
      <c r="H1356" t="s">
        <v>33</v>
      </c>
      <c r="I1356" t="s">
        <v>97</v>
      </c>
      <c r="J1356" t="s">
        <v>23</v>
      </c>
      <c r="K1356" t="s">
        <v>24</v>
      </c>
      <c r="L1356" t="s">
        <v>25</v>
      </c>
      <c r="M1356" t="s">
        <v>3827</v>
      </c>
      <c r="N1356" t="s">
        <v>27</v>
      </c>
      <c r="O1356" t="s">
        <v>28</v>
      </c>
      <c r="P1356">
        <v>7.8719999999999999</v>
      </c>
    </row>
    <row r="1357" spans="1:16">
      <c r="A1357" s="4">
        <v>2015</v>
      </c>
      <c r="B1357" s="4">
        <v>164210</v>
      </c>
      <c r="C1357" t="s">
        <v>444</v>
      </c>
      <c r="D1357" t="s">
        <v>155</v>
      </c>
      <c r="E1357" t="s">
        <v>144</v>
      </c>
      <c r="F1357" t="s">
        <v>3825</v>
      </c>
      <c r="G1357" t="s">
        <v>3826</v>
      </c>
      <c r="H1357" t="s">
        <v>33</v>
      </c>
      <c r="I1357" t="s">
        <v>97</v>
      </c>
      <c r="J1357" t="s">
        <v>617</v>
      </c>
      <c r="K1357" t="s">
        <v>222</v>
      </c>
      <c r="L1357" t="s">
        <v>66</v>
      </c>
      <c r="M1357" t="s">
        <v>3828</v>
      </c>
      <c r="N1357" t="s">
        <v>79</v>
      </c>
      <c r="O1357" t="s">
        <v>347</v>
      </c>
      <c r="P1357">
        <v>145.97999999999999</v>
      </c>
    </row>
    <row r="1358" spans="1:16">
      <c r="A1358" s="4">
        <v>2017</v>
      </c>
      <c r="B1358" s="4">
        <v>131891</v>
      </c>
      <c r="C1358" t="s">
        <v>3009</v>
      </c>
      <c r="D1358" t="s">
        <v>3016</v>
      </c>
      <c r="E1358" t="s">
        <v>42</v>
      </c>
      <c r="F1358" t="s">
        <v>3825</v>
      </c>
      <c r="G1358" t="s">
        <v>3826</v>
      </c>
      <c r="H1358" t="s">
        <v>33</v>
      </c>
      <c r="I1358" t="s">
        <v>97</v>
      </c>
      <c r="J1358" t="s">
        <v>3829</v>
      </c>
      <c r="K1358" t="s">
        <v>196</v>
      </c>
      <c r="L1358" t="s">
        <v>45</v>
      </c>
      <c r="M1358" t="s">
        <v>3830</v>
      </c>
      <c r="N1358" t="s">
        <v>27</v>
      </c>
      <c r="O1358" t="s">
        <v>101</v>
      </c>
      <c r="P1358">
        <v>2.214</v>
      </c>
    </row>
    <row r="1359" spans="1:16">
      <c r="A1359" s="4">
        <v>2018</v>
      </c>
      <c r="B1359" s="4">
        <v>144526</v>
      </c>
      <c r="C1359" t="s">
        <v>453</v>
      </c>
      <c r="D1359" t="s">
        <v>1144</v>
      </c>
      <c r="E1359" t="s">
        <v>18</v>
      </c>
      <c r="F1359" t="s">
        <v>3831</v>
      </c>
      <c r="G1359" t="s">
        <v>3832</v>
      </c>
      <c r="H1359" t="s">
        <v>21</v>
      </c>
      <c r="I1359" t="s">
        <v>22</v>
      </c>
      <c r="J1359" t="s">
        <v>23</v>
      </c>
      <c r="K1359" t="s">
        <v>24</v>
      </c>
      <c r="L1359" t="s">
        <v>25</v>
      </c>
      <c r="M1359" t="s">
        <v>3833</v>
      </c>
      <c r="N1359" t="s">
        <v>38</v>
      </c>
      <c r="O1359" t="s">
        <v>118</v>
      </c>
      <c r="P1359">
        <v>677.58</v>
      </c>
    </row>
    <row r="1360" spans="1:16">
      <c r="A1360" s="4">
        <v>2016</v>
      </c>
      <c r="B1360" s="4">
        <v>148250</v>
      </c>
      <c r="C1360" t="s">
        <v>3307</v>
      </c>
      <c r="D1360" t="s">
        <v>3834</v>
      </c>
      <c r="E1360" t="s">
        <v>18</v>
      </c>
      <c r="F1360" t="s">
        <v>3835</v>
      </c>
      <c r="G1360" t="s">
        <v>3836</v>
      </c>
      <c r="H1360" t="s">
        <v>21</v>
      </c>
      <c r="I1360" t="s">
        <v>22</v>
      </c>
      <c r="J1360" t="s">
        <v>3596</v>
      </c>
      <c r="K1360" t="s">
        <v>65</v>
      </c>
      <c r="L1360" t="s">
        <v>66</v>
      </c>
      <c r="M1360" t="s">
        <v>3837</v>
      </c>
      <c r="N1360" t="s">
        <v>27</v>
      </c>
      <c r="O1360" t="s">
        <v>52</v>
      </c>
      <c r="P1360">
        <v>12.96</v>
      </c>
    </row>
    <row r="1361" spans="1:16">
      <c r="A1361" s="4">
        <v>2018</v>
      </c>
      <c r="B1361" s="4">
        <v>161480</v>
      </c>
      <c r="C1361" t="s">
        <v>916</v>
      </c>
      <c r="D1361" t="s">
        <v>425</v>
      </c>
      <c r="E1361" t="s">
        <v>18</v>
      </c>
      <c r="F1361" t="s">
        <v>3838</v>
      </c>
      <c r="G1361" t="s">
        <v>3839</v>
      </c>
      <c r="H1361" t="s">
        <v>33</v>
      </c>
      <c r="I1361" t="s">
        <v>97</v>
      </c>
      <c r="J1361" t="s">
        <v>49</v>
      </c>
      <c r="K1361" t="s">
        <v>50</v>
      </c>
      <c r="L1361" t="s">
        <v>25</v>
      </c>
      <c r="M1361" t="s">
        <v>3840</v>
      </c>
      <c r="N1361" t="s">
        <v>79</v>
      </c>
      <c r="O1361" t="s">
        <v>286</v>
      </c>
      <c r="P1361">
        <v>191.98400000000001</v>
      </c>
    </row>
    <row r="1362" spans="1:16">
      <c r="A1362" s="4">
        <v>2017</v>
      </c>
      <c r="B1362" s="4">
        <v>128195</v>
      </c>
      <c r="C1362" t="s">
        <v>692</v>
      </c>
      <c r="D1362" t="s">
        <v>3841</v>
      </c>
      <c r="E1362" t="s">
        <v>42</v>
      </c>
      <c r="F1362" t="s">
        <v>3838</v>
      </c>
      <c r="G1362" t="s">
        <v>3839</v>
      </c>
      <c r="H1362" t="s">
        <v>33</v>
      </c>
      <c r="I1362" t="s">
        <v>97</v>
      </c>
      <c r="J1362" t="s">
        <v>396</v>
      </c>
      <c r="K1362" t="s">
        <v>109</v>
      </c>
      <c r="L1362" t="s">
        <v>36</v>
      </c>
      <c r="M1362" t="s">
        <v>3842</v>
      </c>
      <c r="N1362" t="s">
        <v>27</v>
      </c>
      <c r="O1362" t="s">
        <v>101</v>
      </c>
      <c r="P1362">
        <v>3.98</v>
      </c>
    </row>
    <row r="1363" spans="1:16">
      <c r="A1363" s="4">
        <v>2015</v>
      </c>
      <c r="B1363" s="4">
        <v>154186</v>
      </c>
      <c r="C1363" t="s">
        <v>1983</v>
      </c>
      <c r="D1363" t="s">
        <v>3469</v>
      </c>
      <c r="E1363" t="s">
        <v>144</v>
      </c>
      <c r="F1363" t="s">
        <v>3838</v>
      </c>
      <c r="G1363" t="s">
        <v>3839</v>
      </c>
      <c r="H1363" t="s">
        <v>33</v>
      </c>
      <c r="I1363" t="s">
        <v>97</v>
      </c>
      <c r="J1363" t="s">
        <v>183</v>
      </c>
      <c r="K1363" t="s">
        <v>35</v>
      </c>
      <c r="L1363" t="s">
        <v>36</v>
      </c>
      <c r="M1363" t="s">
        <v>3843</v>
      </c>
      <c r="N1363" t="s">
        <v>27</v>
      </c>
      <c r="O1363" t="s">
        <v>74</v>
      </c>
      <c r="P1363">
        <v>2.92</v>
      </c>
    </row>
    <row r="1364" spans="1:16">
      <c r="A1364" s="4">
        <v>2016</v>
      </c>
      <c r="B1364" s="4">
        <v>160472</v>
      </c>
      <c r="C1364" t="s">
        <v>3428</v>
      </c>
      <c r="D1364" t="s">
        <v>3448</v>
      </c>
      <c r="E1364" t="s">
        <v>144</v>
      </c>
      <c r="F1364" t="s">
        <v>3844</v>
      </c>
      <c r="G1364" t="s">
        <v>3845</v>
      </c>
      <c r="H1364" t="s">
        <v>33</v>
      </c>
      <c r="I1364" t="s">
        <v>97</v>
      </c>
      <c r="J1364" t="s">
        <v>3846</v>
      </c>
      <c r="K1364" t="s">
        <v>122</v>
      </c>
      <c r="L1364" t="s">
        <v>36</v>
      </c>
      <c r="M1364" t="s">
        <v>3847</v>
      </c>
      <c r="N1364" t="s">
        <v>27</v>
      </c>
      <c r="O1364" t="s">
        <v>58</v>
      </c>
      <c r="P1364">
        <v>34.76</v>
      </c>
    </row>
    <row r="1365" spans="1:16">
      <c r="A1365" s="4">
        <v>2018</v>
      </c>
      <c r="B1365" s="4">
        <v>114216</v>
      </c>
      <c r="C1365" t="s">
        <v>853</v>
      </c>
      <c r="D1365" t="s">
        <v>2415</v>
      </c>
      <c r="E1365" t="s">
        <v>18</v>
      </c>
      <c r="F1365" t="s">
        <v>3844</v>
      </c>
      <c r="G1365" t="s">
        <v>3845</v>
      </c>
      <c r="H1365" t="s">
        <v>33</v>
      </c>
      <c r="I1365" t="s">
        <v>97</v>
      </c>
      <c r="J1365" t="s">
        <v>23</v>
      </c>
      <c r="K1365" t="s">
        <v>24</v>
      </c>
      <c r="L1365" t="s">
        <v>25</v>
      </c>
      <c r="M1365" t="s">
        <v>2797</v>
      </c>
      <c r="N1365" t="s">
        <v>27</v>
      </c>
      <c r="O1365" t="s">
        <v>52</v>
      </c>
      <c r="P1365">
        <v>12.192</v>
      </c>
    </row>
    <row r="1366" spans="1:16">
      <c r="A1366" s="4">
        <v>2017</v>
      </c>
      <c r="B1366" s="4">
        <v>149482</v>
      </c>
      <c r="C1366" t="s">
        <v>315</v>
      </c>
      <c r="D1366" t="s">
        <v>1446</v>
      </c>
      <c r="E1366" t="s">
        <v>18</v>
      </c>
      <c r="F1366" t="s">
        <v>3848</v>
      </c>
      <c r="G1366" t="s">
        <v>3849</v>
      </c>
      <c r="H1366" t="s">
        <v>21</v>
      </c>
      <c r="I1366" t="s">
        <v>97</v>
      </c>
      <c r="J1366" t="s">
        <v>226</v>
      </c>
      <c r="K1366" t="s">
        <v>65</v>
      </c>
      <c r="L1366" t="s">
        <v>66</v>
      </c>
      <c r="M1366" t="s">
        <v>3850</v>
      </c>
      <c r="N1366" t="s">
        <v>27</v>
      </c>
      <c r="O1366" t="s">
        <v>111</v>
      </c>
      <c r="P1366">
        <v>7.38</v>
      </c>
    </row>
    <row r="1367" spans="1:16">
      <c r="A1367" s="4">
        <v>2018</v>
      </c>
      <c r="B1367" s="4">
        <v>106068</v>
      </c>
      <c r="C1367" t="s">
        <v>2696</v>
      </c>
      <c r="D1367" t="s">
        <v>3184</v>
      </c>
      <c r="E1367" t="s">
        <v>18</v>
      </c>
      <c r="F1367" t="s">
        <v>3851</v>
      </c>
      <c r="G1367" t="s">
        <v>3852</v>
      </c>
      <c r="H1367" t="s">
        <v>21</v>
      </c>
      <c r="I1367" t="s">
        <v>97</v>
      </c>
      <c r="J1367" t="s">
        <v>34</v>
      </c>
      <c r="K1367" t="s">
        <v>35</v>
      </c>
      <c r="L1367" t="s">
        <v>36</v>
      </c>
      <c r="M1367" t="s">
        <v>3853</v>
      </c>
      <c r="N1367" t="s">
        <v>27</v>
      </c>
      <c r="O1367" t="s">
        <v>101</v>
      </c>
      <c r="P1367">
        <v>9.7620000000000005</v>
      </c>
    </row>
    <row r="1368" spans="1:16">
      <c r="A1368" s="4">
        <v>2015</v>
      </c>
      <c r="B1368" s="4">
        <v>141152</v>
      </c>
      <c r="C1368" t="s">
        <v>2642</v>
      </c>
      <c r="D1368" t="s">
        <v>662</v>
      </c>
      <c r="E1368" t="s">
        <v>42</v>
      </c>
      <c r="F1368" t="s">
        <v>3854</v>
      </c>
      <c r="G1368" t="s">
        <v>3855</v>
      </c>
      <c r="H1368" t="s">
        <v>33</v>
      </c>
      <c r="I1368" t="s">
        <v>22</v>
      </c>
      <c r="J1368" t="s">
        <v>49</v>
      </c>
      <c r="K1368" t="s">
        <v>50</v>
      </c>
      <c r="L1368" t="s">
        <v>25</v>
      </c>
      <c r="M1368" t="s">
        <v>3856</v>
      </c>
      <c r="N1368" t="s">
        <v>27</v>
      </c>
      <c r="O1368" t="s">
        <v>101</v>
      </c>
      <c r="P1368">
        <v>33.552</v>
      </c>
    </row>
    <row r="1369" spans="1:16">
      <c r="A1369" s="4">
        <v>2015</v>
      </c>
      <c r="B1369" s="4">
        <v>114188</v>
      </c>
      <c r="C1369" t="s">
        <v>564</v>
      </c>
      <c r="D1369" t="s">
        <v>3857</v>
      </c>
      <c r="E1369" t="s">
        <v>144</v>
      </c>
      <c r="F1369" t="s">
        <v>3854</v>
      </c>
      <c r="G1369" t="s">
        <v>3855</v>
      </c>
      <c r="H1369" t="s">
        <v>33</v>
      </c>
      <c r="I1369" t="s">
        <v>22</v>
      </c>
      <c r="J1369" t="s">
        <v>2258</v>
      </c>
      <c r="K1369" t="s">
        <v>72</v>
      </c>
      <c r="L1369" t="s">
        <v>25</v>
      </c>
      <c r="M1369" t="s">
        <v>3858</v>
      </c>
      <c r="N1369" t="s">
        <v>27</v>
      </c>
      <c r="O1369" t="s">
        <v>228</v>
      </c>
      <c r="P1369">
        <v>33.28</v>
      </c>
    </row>
    <row r="1370" spans="1:16">
      <c r="A1370" s="4">
        <v>2015</v>
      </c>
      <c r="B1370" s="4">
        <v>124079</v>
      </c>
      <c r="C1370" t="s">
        <v>1983</v>
      </c>
      <c r="D1370" t="s">
        <v>1984</v>
      </c>
      <c r="E1370" t="s">
        <v>18</v>
      </c>
      <c r="F1370" t="s">
        <v>3854</v>
      </c>
      <c r="G1370" t="s">
        <v>3855</v>
      </c>
      <c r="H1370" t="s">
        <v>33</v>
      </c>
      <c r="I1370" t="s">
        <v>22</v>
      </c>
      <c r="J1370" t="s">
        <v>1713</v>
      </c>
      <c r="K1370" t="s">
        <v>136</v>
      </c>
      <c r="L1370" t="s">
        <v>66</v>
      </c>
      <c r="M1370" t="s">
        <v>3859</v>
      </c>
      <c r="N1370" t="s">
        <v>79</v>
      </c>
      <c r="O1370" t="s">
        <v>80</v>
      </c>
      <c r="P1370">
        <v>87.96</v>
      </c>
    </row>
    <row r="1371" spans="1:16">
      <c r="A1371" s="4">
        <v>2017</v>
      </c>
      <c r="B1371" s="4">
        <v>156573</v>
      </c>
      <c r="C1371" t="s">
        <v>3860</v>
      </c>
      <c r="D1371" t="s">
        <v>1948</v>
      </c>
      <c r="E1371" t="s">
        <v>18</v>
      </c>
      <c r="F1371" t="s">
        <v>3861</v>
      </c>
      <c r="G1371" t="s">
        <v>3862</v>
      </c>
      <c r="H1371" t="s">
        <v>33</v>
      </c>
      <c r="I1371" t="s">
        <v>97</v>
      </c>
      <c r="J1371" t="s">
        <v>205</v>
      </c>
      <c r="K1371" t="s">
        <v>206</v>
      </c>
      <c r="L1371" t="s">
        <v>45</v>
      </c>
      <c r="M1371" t="s">
        <v>3863</v>
      </c>
      <c r="N1371" t="s">
        <v>27</v>
      </c>
      <c r="O1371" t="s">
        <v>101</v>
      </c>
      <c r="P1371">
        <v>11.276999999999999</v>
      </c>
    </row>
    <row r="1372" spans="1:16">
      <c r="A1372" s="4">
        <v>2017</v>
      </c>
      <c r="B1372" s="4">
        <v>166674</v>
      </c>
      <c r="C1372" t="s">
        <v>674</v>
      </c>
      <c r="D1372" t="s">
        <v>3864</v>
      </c>
      <c r="E1372" t="s">
        <v>144</v>
      </c>
      <c r="F1372" t="s">
        <v>3861</v>
      </c>
      <c r="G1372" t="s">
        <v>3862</v>
      </c>
      <c r="H1372" t="s">
        <v>33</v>
      </c>
      <c r="I1372" t="s">
        <v>97</v>
      </c>
      <c r="J1372" t="s">
        <v>2255</v>
      </c>
      <c r="K1372" t="s">
        <v>50</v>
      </c>
      <c r="L1372" t="s">
        <v>25</v>
      </c>
      <c r="M1372" t="s">
        <v>3865</v>
      </c>
      <c r="N1372" t="s">
        <v>27</v>
      </c>
      <c r="O1372" t="s">
        <v>28</v>
      </c>
      <c r="P1372">
        <v>59.52</v>
      </c>
    </row>
    <row r="1373" spans="1:16">
      <c r="A1373" s="4">
        <v>2017</v>
      </c>
      <c r="B1373" s="4">
        <v>106600</v>
      </c>
      <c r="C1373" t="s">
        <v>675</v>
      </c>
      <c r="D1373" t="s">
        <v>3866</v>
      </c>
      <c r="E1373" t="s">
        <v>42</v>
      </c>
      <c r="F1373" t="s">
        <v>3867</v>
      </c>
      <c r="G1373" t="s">
        <v>3868</v>
      </c>
      <c r="H1373" t="s">
        <v>21</v>
      </c>
      <c r="I1373" t="s">
        <v>97</v>
      </c>
      <c r="J1373" t="s">
        <v>473</v>
      </c>
      <c r="K1373" t="s">
        <v>86</v>
      </c>
      <c r="L1373" t="s">
        <v>45</v>
      </c>
      <c r="M1373" t="s">
        <v>3869</v>
      </c>
      <c r="N1373" t="s">
        <v>79</v>
      </c>
      <c r="O1373" t="s">
        <v>286</v>
      </c>
      <c r="P1373">
        <v>354.9</v>
      </c>
    </row>
    <row r="1374" spans="1:16">
      <c r="A1374" s="4">
        <v>2016</v>
      </c>
      <c r="B1374" s="4">
        <v>133494</v>
      </c>
      <c r="C1374" t="s">
        <v>3640</v>
      </c>
      <c r="D1374" t="s">
        <v>2937</v>
      </c>
      <c r="E1374" t="s">
        <v>18</v>
      </c>
      <c r="F1374" t="s">
        <v>3870</v>
      </c>
      <c r="G1374" t="s">
        <v>3871</v>
      </c>
      <c r="H1374" t="s">
        <v>33</v>
      </c>
      <c r="I1374" t="s">
        <v>97</v>
      </c>
      <c r="J1374" t="s">
        <v>23</v>
      </c>
      <c r="K1374" t="s">
        <v>24</v>
      </c>
      <c r="L1374" t="s">
        <v>25</v>
      </c>
      <c r="M1374" t="s">
        <v>3872</v>
      </c>
      <c r="N1374" t="s">
        <v>27</v>
      </c>
      <c r="O1374" t="s">
        <v>228</v>
      </c>
      <c r="P1374">
        <v>3.552</v>
      </c>
    </row>
    <row r="1375" spans="1:16">
      <c r="A1375" s="4">
        <v>2015</v>
      </c>
      <c r="B1375" s="4">
        <v>155593</v>
      </c>
      <c r="C1375" t="s">
        <v>520</v>
      </c>
      <c r="D1375" t="s">
        <v>521</v>
      </c>
      <c r="E1375" t="s">
        <v>18</v>
      </c>
      <c r="F1375" t="s">
        <v>3870</v>
      </c>
      <c r="G1375" t="s">
        <v>3871</v>
      </c>
      <c r="H1375" t="s">
        <v>33</v>
      </c>
      <c r="I1375" t="s">
        <v>97</v>
      </c>
      <c r="J1375" t="s">
        <v>1263</v>
      </c>
      <c r="K1375" t="s">
        <v>390</v>
      </c>
      <c r="L1375" t="s">
        <v>25</v>
      </c>
      <c r="M1375" t="s">
        <v>3873</v>
      </c>
      <c r="N1375" t="s">
        <v>27</v>
      </c>
      <c r="O1375" t="s">
        <v>74</v>
      </c>
      <c r="P1375">
        <v>11.64</v>
      </c>
    </row>
    <row r="1376" spans="1:16">
      <c r="A1376" s="4">
        <v>2015</v>
      </c>
      <c r="B1376" s="4">
        <v>120474</v>
      </c>
      <c r="C1376" t="s">
        <v>457</v>
      </c>
      <c r="D1376" t="s">
        <v>458</v>
      </c>
      <c r="E1376" t="s">
        <v>42</v>
      </c>
      <c r="F1376" t="s">
        <v>3870</v>
      </c>
      <c r="G1376" t="s">
        <v>3871</v>
      </c>
      <c r="H1376" t="s">
        <v>33</v>
      </c>
      <c r="I1376" t="s">
        <v>97</v>
      </c>
      <c r="J1376" t="s">
        <v>2640</v>
      </c>
      <c r="K1376" t="s">
        <v>478</v>
      </c>
      <c r="L1376" t="s">
        <v>36</v>
      </c>
      <c r="M1376" t="s">
        <v>3874</v>
      </c>
      <c r="N1376" t="s">
        <v>79</v>
      </c>
      <c r="O1376" t="s">
        <v>138</v>
      </c>
      <c r="P1376">
        <v>2807.84</v>
      </c>
    </row>
    <row r="1377" spans="1:16">
      <c r="A1377" s="4">
        <v>2018</v>
      </c>
      <c r="B1377" s="4">
        <v>145863</v>
      </c>
      <c r="C1377" t="s">
        <v>2798</v>
      </c>
      <c r="D1377" t="s">
        <v>1530</v>
      </c>
      <c r="E1377" t="s">
        <v>18</v>
      </c>
      <c r="F1377" t="s">
        <v>3870</v>
      </c>
      <c r="G1377" t="s">
        <v>3871</v>
      </c>
      <c r="H1377" t="s">
        <v>33</v>
      </c>
      <c r="I1377" t="s">
        <v>97</v>
      </c>
      <c r="J1377" t="s">
        <v>183</v>
      </c>
      <c r="K1377" t="s">
        <v>35</v>
      </c>
      <c r="L1377" t="s">
        <v>36</v>
      </c>
      <c r="M1377" t="s">
        <v>3875</v>
      </c>
      <c r="N1377" t="s">
        <v>27</v>
      </c>
      <c r="O1377" t="s">
        <v>101</v>
      </c>
      <c r="P1377">
        <v>2.694</v>
      </c>
    </row>
    <row r="1378" spans="1:16">
      <c r="A1378" s="4">
        <v>2015</v>
      </c>
      <c r="B1378" s="4">
        <v>156314</v>
      </c>
      <c r="C1378" t="s">
        <v>763</v>
      </c>
      <c r="D1378" t="s">
        <v>181</v>
      </c>
      <c r="E1378" t="s">
        <v>42</v>
      </c>
      <c r="F1378" t="s">
        <v>3870</v>
      </c>
      <c r="G1378" t="s">
        <v>3871</v>
      </c>
      <c r="H1378" t="s">
        <v>33</v>
      </c>
      <c r="I1378" t="s">
        <v>97</v>
      </c>
      <c r="J1378" t="s">
        <v>236</v>
      </c>
      <c r="K1378" t="s">
        <v>237</v>
      </c>
      <c r="L1378" t="s">
        <v>25</v>
      </c>
      <c r="M1378" t="s">
        <v>3876</v>
      </c>
      <c r="N1378" t="s">
        <v>79</v>
      </c>
      <c r="O1378" t="s">
        <v>80</v>
      </c>
      <c r="P1378">
        <v>30.36</v>
      </c>
    </row>
    <row r="1379" spans="1:16">
      <c r="A1379" s="4">
        <v>2015</v>
      </c>
      <c r="B1379" s="4">
        <v>143413</v>
      </c>
      <c r="C1379" t="s">
        <v>1014</v>
      </c>
      <c r="D1379" t="s">
        <v>3076</v>
      </c>
      <c r="E1379" t="s">
        <v>18</v>
      </c>
      <c r="F1379" t="s">
        <v>3870</v>
      </c>
      <c r="G1379" t="s">
        <v>3871</v>
      </c>
      <c r="H1379" t="s">
        <v>33</v>
      </c>
      <c r="I1379" t="s">
        <v>97</v>
      </c>
      <c r="J1379" t="s">
        <v>705</v>
      </c>
      <c r="K1379" t="s">
        <v>706</v>
      </c>
      <c r="L1379" t="s">
        <v>25</v>
      </c>
      <c r="M1379" t="s">
        <v>3877</v>
      </c>
      <c r="N1379" t="s">
        <v>27</v>
      </c>
      <c r="O1379" t="s">
        <v>52</v>
      </c>
      <c r="P1379">
        <v>116.28</v>
      </c>
    </row>
    <row r="1380" spans="1:16">
      <c r="A1380" s="4">
        <v>2017</v>
      </c>
      <c r="B1380" s="4">
        <v>159093</v>
      </c>
      <c r="C1380" t="s">
        <v>687</v>
      </c>
      <c r="D1380" t="s">
        <v>3878</v>
      </c>
      <c r="E1380" t="s">
        <v>18</v>
      </c>
      <c r="F1380" t="s">
        <v>3879</v>
      </c>
      <c r="G1380" t="s">
        <v>3880</v>
      </c>
      <c r="H1380" t="s">
        <v>33</v>
      </c>
      <c r="I1380" t="s">
        <v>22</v>
      </c>
      <c r="J1380" t="s">
        <v>64</v>
      </c>
      <c r="K1380" t="s">
        <v>65</v>
      </c>
      <c r="L1380" t="s">
        <v>66</v>
      </c>
      <c r="M1380" t="s">
        <v>3881</v>
      </c>
      <c r="N1380" t="s">
        <v>27</v>
      </c>
      <c r="O1380" t="s">
        <v>52</v>
      </c>
      <c r="P1380">
        <v>32.04</v>
      </c>
    </row>
    <row r="1381" spans="1:16">
      <c r="A1381" s="4">
        <v>2015</v>
      </c>
      <c r="B1381" s="4">
        <v>117968</v>
      </c>
      <c r="C1381" t="s">
        <v>1021</v>
      </c>
      <c r="D1381" t="s">
        <v>3882</v>
      </c>
      <c r="E1381" t="s">
        <v>144</v>
      </c>
      <c r="F1381" t="s">
        <v>3879</v>
      </c>
      <c r="G1381" t="s">
        <v>3880</v>
      </c>
      <c r="H1381" t="s">
        <v>33</v>
      </c>
      <c r="I1381" t="s">
        <v>22</v>
      </c>
      <c r="J1381" t="s">
        <v>3883</v>
      </c>
      <c r="K1381" t="s">
        <v>390</v>
      </c>
      <c r="L1381" t="s">
        <v>25</v>
      </c>
      <c r="M1381" t="s">
        <v>3884</v>
      </c>
      <c r="N1381" t="s">
        <v>27</v>
      </c>
      <c r="O1381" t="s">
        <v>228</v>
      </c>
      <c r="P1381">
        <v>79.47</v>
      </c>
    </row>
    <row r="1382" spans="1:16">
      <c r="A1382" s="4">
        <v>2018</v>
      </c>
      <c r="B1382" s="4">
        <v>115154</v>
      </c>
      <c r="C1382" t="s">
        <v>3885</v>
      </c>
      <c r="D1382" t="s">
        <v>3886</v>
      </c>
      <c r="E1382" t="s">
        <v>42</v>
      </c>
      <c r="F1382" t="s">
        <v>3879</v>
      </c>
      <c r="G1382" t="s">
        <v>3880</v>
      </c>
      <c r="H1382" t="s">
        <v>33</v>
      </c>
      <c r="I1382" t="s">
        <v>22</v>
      </c>
      <c r="J1382" t="s">
        <v>271</v>
      </c>
      <c r="K1382" t="s">
        <v>165</v>
      </c>
      <c r="L1382" t="s">
        <v>66</v>
      </c>
      <c r="M1382" t="s">
        <v>3887</v>
      </c>
      <c r="N1382" t="s">
        <v>79</v>
      </c>
      <c r="O1382" t="s">
        <v>347</v>
      </c>
      <c r="P1382">
        <v>892.98</v>
      </c>
    </row>
    <row r="1383" spans="1:16">
      <c r="A1383" s="4">
        <v>2016</v>
      </c>
      <c r="B1383" s="4">
        <v>103996</v>
      </c>
      <c r="C1383" t="s">
        <v>1806</v>
      </c>
      <c r="D1383" t="s">
        <v>790</v>
      </c>
      <c r="E1383" t="s">
        <v>144</v>
      </c>
      <c r="F1383" t="s">
        <v>3888</v>
      </c>
      <c r="G1383" t="s">
        <v>3889</v>
      </c>
      <c r="H1383" t="s">
        <v>33</v>
      </c>
      <c r="I1383" t="s">
        <v>97</v>
      </c>
      <c r="J1383" t="s">
        <v>630</v>
      </c>
      <c r="K1383" t="s">
        <v>65</v>
      </c>
      <c r="L1383" t="s">
        <v>66</v>
      </c>
      <c r="M1383" t="s">
        <v>3890</v>
      </c>
      <c r="N1383" t="s">
        <v>27</v>
      </c>
      <c r="O1383" t="s">
        <v>52</v>
      </c>
      <c r="P1383">
        <v>212.64</v>
      </c>
    </row>
    <row r="1384" spans="1:16">
      <c r="A1384" s="4">
        <v>2015</v>
      </c>
      <c r="B1384" s="4">
        <v>105137</v>
      </c>
      <c r="C1384" t="s">
        <v>1462</v>
      </c>
      <c r="D1384" t="s">
        <v>1462</v>
      </c>
      <c r="E1384" t="s">
        <v>132</v>
      </c>
      <c r="F1384" t="s">
        <v>3888</v>
      </c>
      <c r="G1384" t="s">
        <v>3889</v>
      </c>
      <c r="H1384" t="s">
        <v>33</v>
      </c>
      <c r="I1384" t="s">
        <v>97</v>
      </c>
      <c r="J1384" t="s">
        <v>473</v>
      </c>
      <c r="K1384" t="s">
        <v>237</v>
      </c>
      <c r="L1384" t="s">
        <v>25</v>
      </c>
      <c r="M1384" t="s">
        <v>3891</v>
      </c>
      <c r="N1384" t="s">
        <v>38</v>
      </c>
      <c r="O1384" t="s">
        <v>39</v>
      </c>
      <c r="P1384">
        <v>101.994</v>
      </c>
    </row>
    <row r="1385" spans="1:16">
      <c r="A1385" s="4">
        <v>2016</v>
      </c>
      <c r="B1385" s="4">
        <v>120397</v>
      </c>
      <c r="C1385" t="s">
        <v>3892</v>
      </c>
      <c r="D1385" t="s">
        <v>3892</v>
      </c>
      <c r="E1385" t="s">
        <v>132</v>
      </c>
      <c r="F1385" t="s">
        <v>3888</v>
      </c>
      <c r="G1385" t="s">
        <v>3889</v>
      </c>
      <c r="H1385" t="s">
        <v>33</v>
      </c>
      <c r="I1385" t="s">
        <v>97</v>
      </c>
      <c r="J1385" t="s">
        <v>183</v>
      </c>
      <c r="K1385" t="s">
        <v>35</v>
      </c>
      <c r="L1385" t="s">
        <v>36</v>
      </c>
      <c r="M1385" t="s">
        <v>3893</v>
      </c>
      <c r="N1385" t="s">
        <v>27</v>
      </c>
      <c r="O1385" t="s">
        <v>228</v>
      </c>
      <c r="P1385">
        <v>32.783999999999999</v>
      </c>
    </row>
    <row r="1386" spans="1:16">
      <c r="A1386" s="4">
        <v>2018</v>
      </c>
      <c r="B1386" s="4">
        <v>127621</v>
      </c>
      <c r="C1386" t="s">
        <v>1933</v>
      </c>
      <c r="D1386" t="s">
        <v>3393</v>
      </c>
      <c r="E1386" t="s">
        <v>18</v>
      </c>
      <c r="F1386" t="s">
        <v>3894</v>
      </c>
      <c r="G1386" t="s">
        <v>3895</v>
      </c>
      <c r="H1386" t="s">
        <v>21</v>
      </c>
      <c r="I1386" t="s">
        <v>97</v>
      </c>
      <c r="J1386" t="s">
        <v>627</v>
      </c>
      <c r="K1386" t="s">
        <v>35</v>
      </c>
      <c r="L1386" t="s">
        <v>36</v>
      </c>
      <c r="M1386" t="s">
        <v>2125</v>
      </c>
      <c r="N1386" t="s">
        <v>27</v>
      </c>
      <c r="O1386" t="s">
        <v>52</v>
      </c>
      <c r="P1386">
        <v>26.88</v>
      </c>
    </row>
    <row r="1387" spans="1:16">
      <c r="A1387" s="4">
        <v>2017</v>
      </c>
      <c r="B1387" s="4">
        <v>158568</v>
      </c>
      <c r="C1387" t="s">
        <v>69</v>
      </c>
      <c r="D1387" t="s">
        <v>1200</v>
      </c>
      <c r="E1387" t="s">
        <v>18</v>
      </c>
      <c r="F1387" t="s">
        <v>3896</v>
      </c>
      <c r="G1387" t="s">
        <v>3897</v>
      </c>
      <c r="H1387" t="s">
        <v>33</v>
      </c>
      <c r="I1387" t="s">
        <v>63</v>
      </c>
      <c r="J1387" t="s">
        <v>108</v>
      </c>
      <c r="K1387" t="s">
        <v>109</v>
      </c>
      <c r="L1387" t="s">
        <v>36</v>
      </c>
      <c r="M1387" t="s">
        <v>3898</v>
      </c>
      <c r="N1387" t="s">
        <v>27</v>
      </c>
      <c r="O1387" t="s">
        <v>52</v>
      </c>
      <c r="P1387">
        <v>64.623999999999995</v>
      </c>
    </row>
    <row r="1388" spans="1:16">
      <c r="A1388" s="4">
        <v>2018</v>
      </c>
      <c r="B1388" s="4">
        <v>104822</v>
      </c>
      <c r="C1388" t="s">
        <v>1927</v>
      </c>
      <c r="D1388" t="s">
        <v>1927</v>
      </c>
      <c r="E1388" t="s">
        <v>132</v>
      </c>
      <c r="F1388" t="s">
        <v>3896</v>
      </c>
      <c r="G1388" t="s">
        <v>3897</v>
      </c>
      <c r="H1388" t="s">
        <v>33</v>
      </c>
      <c r="I1388" t="s">
        <v>63</v>
      </c>
      <c r="J1388" t="s">
        <v>49</v>
      </c>
      <c r="K1388" t="s">
        <v>50</v>
      </c>
      <c r="L1388" t="s">
        <v>25</v>
      </c>
      <c r="M1388" t="s">
        <v>3899</v>
      </c>
      <c r="N1388" t="s">
        <v>27</v>
      </c>
      <c r="O1388" t="s">
        <v>111</v>
      </c>
      <c r="P1388">
        <v>24.55</v>
      </c>
    </row>
    <row r="1389" spans="1:16">
      <c r="A1389" s="4">
        <v>2017</v>
      </c>
      <c r="B1389" s="4">
        <v>115917</v>
      </c>
      <c r="C1389" t="s">
        <v>2707</v>
      </c>
      <c r="D1389" t="s">
        <v>2822</v>
      </c>
      <c r="E1389" t="s">
        <v>18</v>
      </c>
      <c r="F1389" t="s">
        <v>3896</v>
      </c>
      <c r="G1389" t="s">
        <v>3897</v>
      </c>
      <c r="H1389" t="s">
        <v>33</v>
      </c>
      <c r="I1389" t="s">
        <v>63</v>
      </c>
      <c r="J1389" t="s">
        <v>1674</v>
      </c>
      <c r="K1389" t="s">
        <v>65</v>
      </c>
      <c r="L1389" t="s">
        <v>66</v>
      </c>
      <c r="M1389" t="s">
        <v>1559</v>
      </c>
      <c r="N1389" t="s">
        <v>79</v>
      </c>
      <c r="O1389" t="s">
        <v>80</v>
      </c>
      <c r="P1389">
        <v>1049.2</v>
      </c>
    </row>
    <row r="1390" spans="1:16">
      <c r="A1390" s="4">
        <v>2017</v>
      </c>
      <c r="B1390" s="4">
        <v>146066</v>
      </c>
      <c r="C1390" t="s">
        <v>3340</v>
      </c>
      <c r="D1390" t="s">
        <v>1824</v>
      </c>
      <c r="E1390" t="s">
        <v>144</v>
      </c>
      <c r="F1390" t="s">
        <v>3896</v>
      </c>
      <c r="G1390" t="s">
        <v>3897</v>
      </c>
      <c r="H1390" t="s">
        <v>33</v>
      </c>
      <c r="I1390" t="s">
        <v>63</v>
      </c>
      <c r="J1390" t="s">
        <v>23</v>
      </c>
      <c r="K1390" t="s">
        <v>24</v>
      </c>
      <c r="L1390" t="s">
        <v>25</v>
      </c>
      <c r="M1390" t="s">
        <v>3900</v>
      </c>
      <c r="N1390" t="s">
        <v>79</v>
      </c>
      <c r="O1390" t="s">
        <v>347</v>
      </c>
      <c r="P1390">
        <v>815.29200000000003</v>
      </c>
    </row>
    <row r="1391" spans="1:16">
      <c r="A1391" s="4">
        <v>2017</v>
      </c>
      <c r="B1391" s="4">
        <v>105662</v>
      </c>
      <c r="C1391" t="s">
        <v>686</v>
      </c>
      <c r="D1391" t="s">
        <v>687</v>
      </c>
      <c r="E1391" t="s">
        <v>18</v>
      </c>
      <c r="F1391" t="s">
        <v>3896</v>
      </c>
      <c r="G1391" t="s">
        <v>3897</v>
      </c>
      <c r="H1391" t="s">
        <v>33</v>
      </c>
      <c r="I1391" t="s">
        <v>63</v>
      </c>
      <c r="J1391" t="s">
        <v>2731</v>
      </c>
      <c r="K1391" t="s">
        <v>196</v>
      </c>
      <c r="L1391" t="s">
        <v>45</v>
      </c>
      <c r="M1391" t="s">
        <v>3901</v>
      </c>
      <c r="N1391" t="s">
        <v>27</v>
      </c>
      <c r="O1391" t="s">
        <v>52</v>
      </c>
      <c r="P1391">
        <v>93.248000000000005</v>
      </c>
    </row>
    <row r="1392" spans="1:16">
      <c r="A1392" s="4">
        <v>2016</v>
      </c>
      <c r="B1392" s="4">
        <v>146696</v>
      </c>
      <c r="C1392" t="s">
        <v>1889</v>
      </c>
      <c r="D1392" t="s">
        <v>2564</v>
      </c>
      <c r="E1392" t="s">
        <v>18</v>
      </c>
      <c r="F1392" t="s">
        <v>3902</v>
      </c>
      <c r="G1392" t="s">
        <v>3903</v>
      </c>
      <c r="H1392" t="s">
        <v>33</v>
      </c>
      <c r="I1392" t="s">
        <v>97</v>
      </c>
      <c r="J1392" t="s">
        <v>630</v>
      </c>
      <c r="K1392" t="s">
        <v>65</v>
      </c>
      <c r="L1392" t="s">
        <v>66</v>
      </c>
      <c r="M1392" t="s">
        <v>3904</v>
      </c>
      <c r="N1392" t="s">
        <v>27</v>
      </c>
      <c r="O1392" t="s">
        <v>101</v>
      </c>
      <c r="P1392">
        <v>8.0960000000000001</v>
      </c>
    </row>
    <row r="1393" spans="1:16">
      <c r="A1393" s="4">
        <v>2017</v>
      </c>
      <c r="B1393" s="4">
        <v>164637</v>
      </c>
      <c r="C1393" t="s">
        <v>3098</v>
      </c>
      <c r="D1393" t="s">
        <v>288</v>
      </c>
      <c r="E1393" t="s">
        <v>18</v>
      </c>
      <c r="F1393" t="s">
        <v>3902</v>
      </c>
      <c r="G1393" t="s">
        <v>3903</v>
      </c>
      <c r="H1393" t="s">
        <v>33</v>
      </c>
      <c r="I1393" t="s">
        <v>97</v>
      </c>
      <c r="J1393" t="s">
        <v>3905</v>
      </c>
      <c r="K1393" t="s">
        <v>122</v>
      </c>
      <c r="L1393" t="s">
        <v>36</v>
      </c>
      <c r="M1393" t="s">
        <v>3906</v>
      </c>
      <c r="N1393" t="s">
        <v>27</v>
      </c>
      <c r="O1393" t="s">
        <v>101</v>
      </c>
      <c r="P1393">
        <v>128.4</v>
      </c>
    </row>
    <row r="1394" spans="1:16">
      <c r="A1394" s="4">
        <v>2016</v>
      </c>
      <c r="B1394" s="4">
        <v>122826</v>
      </c>
      <c r="C1394" t="s">
        <v>3907</v>
      </c>
      <c r="D1394" t="s">
        <v>167</v>
      </c>
      <c r="E1394" t="s">
        <v>144</v>
      </c>
      <c r="F1394" t="s">
        <v>3902</v>
      </c>
      <c r="G1394" t="s">
        <v>3903</v>
      </c>
      <c r="H1394" t="s">
        <v>33</v>
      </c>
      <c r="I1394" t="s">
        <v>97</v>
      </c>
      <c r="J1394" t="s">
        <v>3908</v>
      </c>
      <c r="K1394" t="s">
        <v>165</v>
      </c>
      <c r="L1394" t="s">
        <v>66</v>
      </c>
      <c r="M1394" t="s">
        <v>3909</v>
      </c>
      <c r="N1394" t="s">
        <v>38</v>
      </c>
      <c r="O1394" t="s">
        <v>118</v>
      </c>
      <c r="P1394">
        <v>201.56800000000001</v>
      </c>
    </row>
    <row r="1395" spans="1:16">
      <c r="A1395" s="4">
        <v>2018</v>
      </c>
      <c r="B1395" s="4">
        <v>159457</v>
      </c>
      <c r="C1395" t="s">
        <v>659</v>
      </c>
      <c r="D1395" t="s">
        <v>3584</v>
      </c>
      <c r="E1395" t="s">
        <v>18</v>
      </c>
      <c r="F1395" t="s">
        <v>3902</v>
      </c>
      <c r="G1395" t="s">
        <v>3903</v>
      </c>
      <c r="H1395" t="s">
        <v>33</v>
      </c>
      <c r="I1395" t="s">
        <v>97</v>
      </c>
      <c r="J1395" t="s">
        <v>183</v>
      </c>
      <c r="K1395" t="s">
        <v>35</v>
      </c>
      <c r="L1395" t="s">
        <v>36</v>
      </c>
      <c r="M1395" t="s">
        <v>3910</v>
      </c>
      <c r="N1395" t="s">
        <v>38</v>
      </c>
      <c r="O1395" t="s">
        <v>118</v>
      </c>
      <c r="P1395">
        <v>16.68</v>
      </c>
    </row>
    <row r="1396" spans="1:16">
      <c r="A1396" s="4">
        <v>2018</v>
      </c>
      <c r="B1396" s="4">
        <v>106537</v>
      </c>
      <c r="C1396" t="s">
        <v>2217</v>
      </c>
      <c r="D1396" t="s">
        <v>1952</v>
      </c>
      <c r="E1396" t="s">
        <v>18</v>
      </c>
      <c r="F1396" t="s">
        <v>3911</v>
      </c>
      <c r="G1396" t="s">
        <v>3912</v>
      </c>
      <c r="H1396" t="s">
        <v>33</v>
      </c>
      <c r="I1396" t="s">
        <v>97</v>
      </c>
      <c r="J1396" t="s">
        <v>2132</v>
      </c>
      <c r="K1396" t="s">
        <v>196</v>
      </c>
      <c r="L1396" t="s">
        <v>45</v>
      </c>
      <c r="M1396" t="s">
        <v>3913</v>
      </c>
      <c r="N1396" t="s">
        <v>27</v>
      </c>
      <c r="O1396" t="s">
        <v>52</v>
      </c>
      <c r="P1396">
        <v>20.736000000000001</v>
      </c>
    </row>
    <row r="1397" spans="1:16">
      <c r="A1397" s="4">
        <v>2018</v>
      </c>
      <c r="B1397" s="4">
        <v>151428</v>
      </c>
      <c r="C1397" t="s">
        <v>213</v>
      </c>
      <c r="D1397" t="s">
        <v>886</v>
      </c>
      <c r="E1397" t="s">
        <v>18</v>
      </c>
      <c r="F1397" t="s">
        <v>3911</v>
      </c>
      <c r="G1397" t="s">
        <v>3912</v>
      </c>
      <c r="H1397" t="s">
        <v>33</v>
      </c>
      <c r="I1397" t="s">
        <v>97</v>
      </c>
      <c r="J1397" t="s">
        <v>663</v>
      </c>
      <c r="K1397" t="s">
        <v>372</v>
      </c>
      <c r="L1397" t="s">
        <v>36</v>
      </c>
      <c r="M1397" t="s">
        <v>3914</v>
      </c>
      <c r="N1397" t="s">
        <v>27</v>
      </c>
      <c r="O1397" t="s">
        <v>101</v>
      </c>
      <c r="P1397">
        <v>20.16</v>
      </c>
    </row>
    <row r="1398" spans="1:16">
      <c r="A1398" s="4">
        <v>2015</v>
      </c>
      <c r="B1398" s="4">
        <v>110639</v>
      </c>
      <c r="C1398" t="s">
        <v>632</v>
      </c>
      <c r="D1398" t="s">
        <v>632</v>
      </c>
      <c r="E1398" t="s">
        <v>132</v>
      </c>
      <c r="F1398" t="s">
        <v>3911</v>
      </c>
      <c r="G1398" t="s">
        <v>3912</v>
      </c>
      <c r="H1398" t="s">
        <v>33</v>
      </c>
      <c r="I1398" t="s">
        <v>97</v>
      </c>
      <c r="J1398" t="s">
        <v>49</v>
      </c>
      <c r="K1398" t="s">
        <v>50</v>
      </c>
      <c r="L1398" t="s">
        <v>25</v>
      </c>
      <c r="M1398" t="s">
        <v>2637</v>
      </c>
      <c r="N1398" t="s">
        <v>27</v>
      </c>
      <c r="O1398" t="s">
        <v>52</v>
      </c>
      <c r="P1398">
        <v>25.92</v>
      </c>
    </row>
    <row r="1399" spans="1:16">
      <c r="A1399" s="4">
        <v>2016</v>
      </c>
      <c r="B1399" s="4">
        <v>124891</v>
      </c>
      <c r="C1399" t="s">
        <v>2405</v>
      </c>
      <c r="D1399" t="s">
        <v>2405</v>
      </c>
      <c r="E1399" t="s">
        <v>132</v>
      </c>
      <c r="F1399" t="s">
        <v>3911</v>
      </c>
      <c r="G1399" t="s">
        <v>3912</v>
      </c>
      <c r="H1399" t="s">
        <v>33</v>
      </c>
      <c r="I1399" t="s">
        <v>97</v>
      </c>
      <c r="J1399" t="s">
        <v>49</v>
      </c>
      <c r="K1399" t="s">
        <v>50</v>
      </c>
      <c r="L1399" t="s">
        <v>25</v>
      </c>
      <c r="M1399" t="s">
        <v>3915</v>
      </c>
      <c r="N1399" t="s">
        <v>38</v>
      </c>
      <c r="O1399" t="s">
        <v>68</v>
      </c>
      <c r="P1399">
        <v>2309.65</v>
      </c>
    </row>
    <row r="1400" spans="1:16">
      <c r="A1400" s="4">
        <v>2017</v>
      </c>
      <c r="B1400" s="4">
        <v>122322</v>
      </c>
      <c r="C1400" t="s">
        <v>3916</v>
      </c>
      <c r="D1400" t="s">
        <v>1244</v>
      </c>
      <c r="E1400" t="s">
        <v>18</v>
      </c>
      <c r="F1400" t="s">
        <v>3917</v>
      </c>
      <c r="G1400" t="s">
        <v>3918</v>
      </c>
      <c r="H1400" t="s">
        <v>33</v>
      </c>
      <c r="I1400" t="s">
        <v>63</v>
      </c>
      <c r="J1400" t="s">
        <v>216</v>
      </c>
      <c r="K1400" t="s">
        <v>217</v>
      </c>
      <c r="L1400" t="s">
        <v>66</v>
      </c>
      <c r="M1400" t="s">
        <v>3919</v>
      </c>
      <c r="N1400" t="s">
        <v>27</v>
      </c>
      <c r="O1400" t="s">
        <v>74</v>
      </c>
      <c r="P1400">
        <v>44.4</v>
      </c>
    </row>
    <row r="1401" spans="1:16">
      <c r="A1401" s="4">
        <v>2015</v>
      </c>
      <c r="B1401" s="4">
        <v>149643</v>
      </c>
      <c r="C1401" t="s">
        <v>154</v>
      </c>
      <c r="D1401" t="s">
        <v>155</v>
      </c>
      <c r="E1401" t="s">
        <v>18</v>
      </c>
      <c r="F1401" t="s">
        <v>3917</v>
      </c>
      <c r="G1401" t="s">
        <v>3918</v>
      </c>
      <c r="H1401" t="s">
        <v>33</v>
      </c>
      <c r="I1401" t="s">
        <v>63</v>
      </c>
      <c r="J1401" t="s">
        <v>3920</v>
      </c>
      <c r="K1401" t="s">
        <v>1094</v>
      </c>
      <c r="L1401" t="s">
        <v>36</v>
      </c>
      <c r="M1401" t="s">
        <v>3921</v>
      </c>
      <c r="N1401" t="s">
        <v>38</v>
      </c>
      <c r="O1401" t="s">
        <v>118</v>
      </c>
      <c r="P1401">
        <v>273.95999999999998</v>
      </c>
    </row>
    <row r="1402" spans="1:16">
      <c r="A1402" s="4">
        <v>2015</v>
      </c>
      <c r="B1402" s="4">
        <v>126403</v>
      </c>
      <c r="C1402" t="s">
        <v>1576</v>
      </c>
      <c r="D1402" t="s">
        <v>735</v>
      </c>
      <c r="E1402" t="s">
        <v>144</v>
      </c>
      <c r="F1402" t="s">
        <v>3922</v>
      </c>
      <c r="G1402" t="s">
        <v>3923</v>
      </c>
      <c r="H1402" t="s">
        <v>21</v>
      </c>
      <c r="I1402" t="s">
        <v>22</v>
      </c>
      <c r="J1402" t="s">
        <v>461</v>
      </c>
      <c r="K1402" t="s">
        <v>284</v>
      </c>
      <c r="L1402" t="s">
        <v>25</v>
      </c>
      <c r="M1402" t="s">
        <v>3924</v>
      </c>
      <c r="N1402" t="s">
        <v>27</v>
      </c>
      <c r="O1402" t="s">
        <v>52</v>
      </c>
      <c r="P1402">
        <v>166.44</v>
      </c>
    </row>
    <row r="1403" spans="1:16">
      <c r="A1403" s="4">
        <v>2016</v>
      </c>
      <c r="B1403" s="4">
        <v>124800</v>
      </c>
      <c r="C1403" t="s">
        <v>1040</v>
      </c>
      <c r="D1403" t="s">
        <v>3804</v>
      </c>
      <c r="E1403" t="s">
        <v>18</v>
      </c>
      <c r="F1403" t="s">
        <v>3925</v>
      </c>
      <c r="G1403" t="s">
        <v>3926</v>
      </c>
      <c r="H1403" t="s">
        <v>33</v>
      </c>
      <c r="I1403" t="s">
        <v>22</v>
      </c>
      <c r="J1403" t="s">
        <v>330</v>
      </c>
      <c r="K1403" t="s">
        <v>136</v>
      </c>
      <c r="L1403" t="s">
        <v>66</v>
      </c>
      <c r="M1403" t="s">
        <v>3927</v>
      </c>
      <c r="N1403" t="s">
        <v>27</v>
      </c>
      <c r="O1403" t="s">
        <v>52</v>
      </c>
      <c r="P1403">
        <v>86.272000000000006</v>
      </c>
    </row>
    <row r="1404" spans="1:16">
      <c r="A1404" s="4">
        <v>2018</v>
      </c>
      <c r="B1404" s="4">
        <v>101014</v>
      </c>
      <c r="C1404" t="s">
        <v>2322</v>
      </c>
      <c r="D1404" t="s">
        <v>2414</v>
      </c>
      <c r="E1404" t="s">
        <v>18</v>
      </c>
      <c r="F1404" t="s">
        <v>3925</v>
      </c>
      <c r="G1404" t="s">
        <v>3926</v>
      </c>
      <c r="H1404" t="s">
        <v>33</v>
      </c>
      <c r="I1404" t="s">
        <v>22</v>
      </c>
      <c r="J1404" t="s">
        <v>64</v>
      </c>
      <c r="K1404" t="s">
        <v>65</v>
      </c>
      <c r="L1404" t="s">
        <v>66</v>
      </c>
      <c r="M1404" t="s">
        <v>3928</v>
      </c>
      <c r="N1404" t="s">
        <v>79</v>
      </c>
      <c r="O1404" t="s">
        <v>80</v>
      </c>
      <c r="P1404">
        <v>148.02000000000001</v>
      </c>
    </row>
    <row r="1405" spans="1:16">
      <c r="A1405" s="4">
        <v>2016</v>
      </c>
      <c r="B1405" s="4">
        <v>157959</v>
      </c>
      <c r="C1405" t="s">
        <v>3929</v>
      </c>
      <c r="D1405" t="s">
        <v>2638</v>
      </c>
      <c r="E1405" t="s">
        <v>42</v>
      </c>
      <c r="F1405" t="s">
        <v>3925</v>
      </c>
      <c r="G1405" t="s">
        <v>3926</v>
      </c>
      <c r="H1405" t="s">
        <v>33</v>
      </c>
      <c r="I1405" t="s">
        <v>22</v>
      </c>
      <c r="J1405" t="s">
        <v>64</v>
      </c>
      <c r="K1405" t="s">
        <v>65</v>
      </c>
      <c r="L1405" t="s">
        <v>66</v>
      </c>
      <c r="M1405" t="s">
        <v>1974</v>
      </c>
      <c r="N1405" t="s">
        <v>79</v>
      </c>
      <c r="O1405" t="s">
        <v>80</v>
      </c>
      <c r="P1405">
        <v>136.91999999999999</v>
      </c>
    </row>
    <row r="1406" spans="1:16">
      <c r="A1406" s="4">
        <v>2017</v>
      </c>
      <c r="B1406" s="4">
        <v>128678</v>
      </c>
      <c r="C1406" t="s">
        <v>1697</v>
      </c>
      <c r="D1406" t="s">
        <v>3930</v>
      </c>
      <c r="E1406" t="s">
        <v>18</v>
      </c>
      <c r="F1406" t="s">
        <v>3931</v>
      </c>
      <c r="G1406" t="s">
        <v>3932</v>
      </c>
      <c r="H1406" t="s">
        <v>33</v>
      </c>
      <c r="I1406" t="s">
        <v>97</v>
      </c>
      <c r="J1406" t="s">
        <v>271</v>
      </c>
      <c r="K1406" t="s">
        <v>165</v>
      </c>
      <c r="L1406" t="s">
        <v>66</v>
      </c>
      <c r="M1406" t="s">
        <v>3933</v>
      </c>
      <c r="N1406" t="s">
        <v>27</v>
      </c>
      <c r="O1406" t="s">
        <v>52</v>
      </c>
      <c r="P1406">
        <v>21.4</v>
      </c>
    </row>
    <row r="1407" spans="1:16">
      <c r="A1407" s="4">
        <v>2018</v>
      </c>
      <c r="B1407" s="4">
        <v>130351</v>
      </c>
      <c r="C1407" t="s">
        <v>103</v>
      </c>
      <c r="D1407" t="s">
        <v>224</v>
      </c>
      <c r="E1407" t="s">
        <v>42</v>
      </c>
      <c r="F1407" t="s">
        <v>3931</v>
      </c>
      <c r="G1407" t="s">
        <v>3932</v>
      </c>
      <c r="H1407" t="s">
        <v>33</v>
      </c>
      <c r="I1407" t="s">
        <v>97</v>
      </c>
      <c r="J1407" t="s">
        <v>473</v>
      </c>
      <c r="K1407" t="s">
        <v>122</v>
      </c>
      <c r="L1407" t="s">
        <v>36</v>
      </c>
      <c r="M1407" t="s">
        <v>3934</v>
      </c>
      <c r="N1407" t="s">
        <v>27</v>
      </c>
      <c r="O1407" t="s">
        <v>228</v>
      </c>
      <c r="P1407">
        <v>61.44</v>
      </c>
    </row>
    <row r="1408" spans="1:16">
      <c r="A1408" s="4">
        <v>2018</v>
      </c>
      <c r="B1408" s="4">
        <v>138779</v>
      </c>
      <c r="C1408" t="s">
        <v>3935</v>
      </c>
      <c r="D1408" t="s">
        <v>3936</v>
      </c>
      <c r="E1408" t="s">
        <v>42</v>
      </c>
      <c r="F1408" t="s">
        <v>3931</v>
      </c>
      <c r="G1408" t="s">
        <v>3932</v>
      </c>
      <c r="H1408" t="s">
        <v>33</v>
      </c>
      <c r="I1408" t="s">
        <v>97</v>
      </c>
      <c r="J1408" t="s">
        <v>43</v>
      </c>
      <c r="K1408" t="s">
        <v>44</v>
      </c>
      <c r="L1408" t="s">
        <v>45</v>
      </c>
      <c r="M1408" t="s">
        <v>3937</v>
      </c>
      <c r="N1408" t="s">
        <v>27</v>
      </c>
      <c r="O1408" t="s">
        <v>501</v>
      </c>
      <c r="P1408">
        <v>21.744</v>
      </c>
    </row>
    <row r="1409" spans="1:16">
      <c r="A1409" s="4">
        <v>2016</v>
      </c>
      <c r="B1409" s="4">
        <v>162537</v>
      </c>
      <c r="C1409" t="s">
        <v>1457</v>
      </c>
      <c r="D1409" t="s">
        <v>1272</v>
      </c>
      <c r="E1409" t="s">
        <v>18</v>
      </c>
      <c r="F1409" t="s">
        <v>3938</v>
      </c>
      <c r="G1409" t="s">
        <v>3939</v>
      </c>
      <c r="H1409" t="s">
        <v>33</v>
      </c>
      <c r="I1409" t="s">
        <v>97</v>
      </c>
      <c r="J1409" t="s">
        <v>90</v>
      </c>
      <c r="K1409" t="s">
        <v>126</v>
      </c>
      <c r="L1409" t="s">
        <v>45</v>
      </c>
      <c r="M1409" t="s">
        <v>3940</v>
      </c>
      <c r="N1409" t="s">
        <v>27</v>
      </c>
      <c r="O1409" t="s">
        <v>501</v>
      </c>
      <c r="P1409">
        <v>10.67</v>
      </c>
    </row>
    <row r="1410" spans="1:16">
      <c r="A1410" s="4">
        <v>2017</v>
      </c>
      <c r="B1410" s="4">
        <v>131576</v>
      </c>
      <c r="C1410" t="s">
        <v>340</v>
      </c>
      <c r="D1410" t="s">
        <v>1240</v>
      </c>
      <c r="E1410" t="s">
        <v>18</v>
      </c>
      <c r="F1410" t="s">
        <v>3938</v>
      </c>
      <c r="G1410" t="s">
        <v>3939</v>
      </c>
      <c r="H1410" t="s">
        <v>33</v>
      </c>
      <c r="I1410" t="s">
        <v>97</v>
      </c>
      <c r="J1410" t="s">
        <v>879</v>
      </c>
      <c r="K1410" t="s">
        <v>855</v>
      </c>
      <c r="L1410" t="s">
        <v>36</v>
      </c>
      <c r="M1410" t="s">
        <v>3941</v>
      </c>
      <c r="N1410" t="s">
        <v>27</v>
      </c>
      <c r="O1410" t="s">
        <v>101</v>
      </c>
      <c r="P1410">
        <v>49.44</v>
      </c>
    </row>
    <row r="1411" spans="1:16">
      <c r="A1411" s="4">
        <v>2018</v>
      </c>
      <c r="B1411" s="4">
        <v>111647</v>
      </c>
      <c r="C1411" t="s">
        <v>1254</v>
      </c>
      <c r="D1411" t="s">
        <v>525</v>
      </c>
      <c r="E1411" t="s">
        <v>18</v>
      </c>
      <c r="F1411" t="s">
        <v>3938</v>
      </c>
      <c r="G1411" t="s">
        <v>3939</v>
      </c>
      <c r="H1411" t="s">
        <v>33</v>
      </c>
      <c r="I1411" t="s">
        <v>97</v>
      </c>
      <c r="J1411" t="s">
        <v>256</v>
      </c>
      <c r="K1411" t="s">
        <v>35</v>
      </c>
      <c r="L1411" t="s">
        <v>36</v>
      </c>
      <c r="M1411" t="s">
        <v>3942</v>
      </c>
      <c r="N1411" t="s">
        <v>38</v>
      </c>
      <c r="O1411" t="s">
        <v>118</v>
      </c>
      <c r="P1411">
        <v>167.96799999999999</v>
      </c>
    </row>
    <row r="1412" spans="1:16">
      <c r="A1412" s="4">
        <v>2018</v>
      </c>
      <c r="B1412" s="4">
        <v>139437</v>
      </c>
      <c r="C1412" t="s">
        <v>1254</v>
      </c>
      <c r="D1412" t="s">
        <v>2568</v>
      </c>
      <c r="E1412" t="s">
        <v>18</v>
      </c>
      <c r="F1412" t="s">
        <v>3938</v>
      </c>
      <c r="G1412" t="s">
        <v>3939</v>
      </c>
      <c r="H1412" t="s">
        <v>33</v>
      </c>
      <c r="I1412" t="s">
        <v>97</v>
      </c>
      <c r="J1412" t="s">
        <v>64</v>
      </c>
      <c r="K1412" t="s">
        <v>65</v>
      </c>
      <c r="L1412" t="s">
        <v>66</v>
      </c>
      <c r="M1412" t="s">
        <v>3943</v>
      </c>
      <c r="N1412" t="s">
        <v>27</v>
      </c>
      <c r="O1412" t="s">
        <v>58</v>
      </c>
      <c r="P1412">
        <v>87.92</v>
      </c>
    </row>
    <row r="1413" spans="1:16">
      <c r="A1413" s="4">
        <v>2016</v>
      </c>
      <c r="B1413" s="4">
        <v>109386</v>
      </c>
      <c r="C1413" t="s">
        <v>3944</v>
      </c>
      <c r="D1413" t="s">
        <v>94</v>
      </c>
      <c r="E1413" t="s">
        <v>144</v>
      </c>
      <c r="F1413" t="s">
        <v>3945</v>
      </c>
      <c r="G1413" t="s">
        <v>3946</v>
      </c>
      <c r="H1413" t="s">
        <v>33</v>
      </c>
      <c r="I1413" t="s">
        <v>97</v>
      </c>
      <c r="J1413" t="s">
        <v>3947</v>
      </c>
      <c r="K1413" t="s">
        <v>56</v>
      </c>
      <c r="L1413" t="s">
        <v>45</v>
      </c>
      <c r="M1413" t="s">
        <v>3948</v>
      </c>
      <c r="N1413" t="s">
        <v>27</v>
      </c>
      <c r="O1413" t="s">
        <v>228</v>
      </c>
      <c r="P1413">
        <v>44.43</v>
      </c>
    </row>
    <row r="1414" spans="1:16">
      <c r="A1414" s="4">
        <v>2017</v>
      </c>
      <c r="B1414" s="4">
        <v>101378</v>
      </c>
      <c r="C1414" t="s">
        <v>1034</v>
      </c>
      <c r="D1414" t="s">
        <v>1034</v>
      </c>
      <c r="E1414" t="s">
        <v>132</v>
      </c>
      <c r="F1414" t="s">
        <v>3945</v>
      </c>
      <c r="G1414" t="s">
        <v>3946</v>
      </c>
      <c r="H1414" t="s">
        <v>33</v>
      </c>
      <c r="I1414" t="s">
        <v>97</v>
      </c>
      <c r="J1414" t="s">
        <v>1079</v>
      </c>
      <c r="K1414" t="s">
        <v>518</v>
      </c>
      <c r="L1414" t="s">
        <v>45</v>
      </c>
      <c r="M1414" t="s">
        <v>3949</v>
      </c>
      <c r="N1414" t="s">
        <v>38</v>
      </c>
      <c r="O1414" t="s">
        <v>68</v>
      </c>
      <c r="P1414">
        <v>29</v>
      </c>
    </row>
    <row r="1415" spans="1:16">
      <c r="A1415" s="4">
        <v>2016</v>
      </c>
      <c r="B1415" s="4">
        <v>126557</v>
      </c>
      <c r="C1415" t="s">
        <v>2189</v>
      </c>
      <c r="D1415" t="s">
        <v>2646</v>
      </c>
      <c r="E1415" t="s">
        <v>144</v>
      </c>
      <c r="F1415" t="s">
        <v>3950</v>
      </c>
      <c r="G1415" t="s">
        <v>3951</v>
      </c>
      <c r="H1415" t="s">
        <v>33</v>
      </c>
      <c r="I1415" t="s">
        <v>97</v>
      </c>
      <c r="J1415" t="s">
        <v>108</v>
      </c>
      <c r="K1415" t="s">
        <v>109</v>
      </c>
      <c r="L1415" t="s">
        <v>36</v>
      </c>
      <c r="M1415" t="s">
        <v>3952</v>
      </c>
      <c r="N1415" t="s">
        <v>79</v>
      </c>
      <c r="O1415" t="s">
        <v>138</v>
      </c>
      <c r="P1415">
        <v>383.60700000000003</v>
      </c>
    </row>
    <row r="1416" spans="1:16">
      <c r="A1416" s="4">
        <v>2018</v>
      </c>
      <c r="B1416" s="4">
        <v>169551</v>
      </c>
      <c r="C1416" t="s">
        <v>525</v>
      </c>
      <c r="D1416" t="s">
        <v>2160</v>
      </c>
      <c r="E1416" t="s">
        <v>42</v>
      </c>
      <c r="F1416" t="s">
        <v>3950</v>
      </c>
      <c r="G1416" t="s">
        <v>3951</v>
      </c>
      <c r="H1416" t="s">
        <v>33</v>
      </c>
      <c r="I1416" t="s">
        <v>97</v>
      </c>
      <c r="J1416" t="s">
        <v>23</v>
      </c>
      <c r="K1416" t="s">
        <v>24</v>
      </c>
      <c r="L1416" t="s">
        <v>25</v>
      </c>
      <c r="M1416" t="s">
        <v>3953</v>
      </c>
      <c r="N1416" t="s">
        <v>79</v>
      </c>
      <c r="O1416" t="s">
        <v>286</v>
      </c>
      <c r="P1416">
        <v>87.21</v>
      </c>
    </row>
    <row r="1417" spans="1:16">
      <c r="A1417" s="4">
        <v>2017</v>
      </c>
      <c r="B1417" s="4">
        <v>168753</v>
      </c>
      <c r="C1417" t="s">
        <v>3860</v>
      </c>
      <c r="D1417" t="s">
        <v>995</v>
      </c>
      <c r="E1417" t="s">
        <v>144</v>
      </c>
      <c r="F1417" t="s">
        <v>3950</v>
      </c>
      <c r="G1417" t="s">
        <v>3951</v>
      </c>
      <c r="H1417" t="s">
        <v>33</v>
      </c>
      <c r="I1417" t="s">
        <v>97</v>
      </c>
      <c r="J1417" t="s">
        <v>2511</v>
      </c>
      <c r="K1417" t="s">
        <v>518</v>
      </c>
      <c r="L1417" t="s">
        <v>45</v>
      </c>
      <c r="M1417" t="s">
        <v>3345</v>
      </c>
      <c r="N1417" t="s">
        <v>38</v>
      </c>
      <c r="O1417" t="s">
        <v>118</v>
      </c>
      <c r="P1417">
        <v>979.95</v>
      </c>
    </row>
    <row r="1418" spans="1:16">
      <c r="A1418" s="4">
        <v>2015</v>
      </c>
      <c r="B1418" s="4">
        <v>156993</v>
      </c>
      <c r="C1418" t="s">
        <v>1488</v>
      </c>
      <c r="D1418" t="s">
        <v>3431</v>
      </c>
      <c r="E1418" t="s">
        <v>18</v>
      </c>
      <c r="F1418" t="s">
        <v>3954</v>
      </c>
      <c r="G1418" t="s">
        <v>3955</v>
      </c>
      <c r="H1418" t="s">
        <v>33</v>
      </c>
      <c r="I1418" t="s">
        <v>22</v>
      </c>
      <c r="J1418" t="s">
        <v>879</v>
      </c>
      <c r="K1418" t="s">
        <v>855</v>
      </c>
      <c r="L1418" t="s">
        <v>36</v>
      </c>
      <c r="M1418" t="s">
        <v>3956</v>
      </c>
      <c r="N1418" t="s">
        <v>27</v>
      </c>
      <c r="O1418" t="s">
        <v>452</v>
      </c>
      <c r="P1418">
        <v>6.08</v>
      </c>
    </row>
    <row r="1419" spans="1:16">
      <c r="A1419" s="4">
        <v>2017</v>
      </c>
      <c r="B1419" s="4">
        <v>131114</v>
      </c>
      <c r="C1419" t="s">
        <v>1532</v>
      </c>
      <c r="D1419" t="s">
        <v>1733</v>
      </c>
      <c r="E1419" t="s">
        <v>144</v>
      </c>
      <c r="F1419" t="s">
        <v>3954</v>
      </c>
      <c r="G1419" t="s">
        <v>3955</v>
      </c>
      <c r="H1419" t="s">
        <v>33</v>
      </c>
      <c r="I1419" t="s">
        <v>22</v>
      </c>
      <c r="J1419" t="s">
        <v>108</v>
      </c>
      <c r="K1419" t="s">
        <v>109</v>
      </c>
      <c r="L1419" t="s">
        <v>36</v>
      </c>
      <c r="M1419" t="s">
        <v>3957</v>
      </c>
      <c r="N1419" t="s">
        <v>27</v>
      </c>
      <c r="O1419" t="s">
        <v>74</v>
      </c>
      <c r="P1419">
        <v>20.568000000000001</v>
      </c>
    </row>
    <row r="1420" spans="1:16">
      <c r="A1420" s="4">
        <v>2018</v>
      </c>
      <c r="B1420" s="4">
        <v>123981</v>
      </c>
      <c r="C1420" t="s">
        <v>666</v>
      </c>
      <c r="D1420" t="s">
        <v>1977</v>
      </c>
      <c r="E1420" t="s">
        <v>18</v>
      </c>
      <c r="F1420" t="s">
        <v>3954</v>
      </c>
      <c r="G1420" t="s">
        <v>3955</v>
      </c>
      <c r="H1420" t="s">
        <v>33</v>
      </c>
      <c r="I1420" t="s">
        <v>22</v>
      </c>
      <c r="J1420" t="s">
        <v>49</v>
      </c>
      <c r="K1420" t="s">
        <v>50</v>
      </c>
      <c r="L1420" t="s">
        <v>25</v>
      </c>
      <c r="M1420" t="s">
        <v>3958</v>
      </c>
      <c r="N1420" t="s">
        <v>38</v>
      </c>
      <c r="O1420" t="s">
        <v>118</v>
      </c>
      <c r="P1420">
        <v>65.989999999999995</v>
      </c>
    </row>
    <row r="1421" spans="1:16">
      <c r="A1421" s="4">
        <v>2017</v>
      </c>
      <c r="B1421" s="4">
        <v>142958</v>
      </c>
      <c r="C1421" t="s">
        <v>1733</v>
      </c>
      <c r="D1421" t="s">
        <v>192</v>
      </c>
      <c r="E1421" t="s">
        <v>18</v>
      </c>
      <c r="F1421" t="s">
        <v>3954</v>
      </c>
      <c r="G1421" t="s">
        <v>3955</v>
      </c>
      <c r="H1421" t="s">
        <v>33</v>
      </c>
      <c r="I1421" t="s">
        <v>22</v>
      </c>
      <c r="J1421" t="s">
        <v>3959</v>
      </c>
      <c r="K1421" t="s">
        <v>65</v>
      </c>
      <c r="L1421" t="s">
        <v>66</v>
      </c>
      <c r="M1421" t="s">
        <v>3960</v>
      </c>
      <c r="N1421" t="s">
        <v>27</v>
      </c>
      <c r="O1421" t="s">
        <v>101</v>
      </c>
      <c r="P1421">
        <v>6.0960000000000001</v>
      </c>
    </row>
    <row r="1422" spans="1:16">
      <c r="A1422" s="4">
        <v>2017</v>
      </c>
      <c r="B1422" s="4">
        <v>107615</v>
      </c>
      <c r="C1422" t="s">
        <v>3218</v>
      </c>
      <c r="D1422" t="s">
        <v>3961</v>
      </c>
      <c r="E1422" t="s">
        <v>42</v>
      </c>
      <c r="F1422" t="s">
        <v>3962</v>
      </c>
      <c r="G1422" t="s">
        <v>3963</v>
      </c>
      <c r="H1422" t="s">
        <v>33</v>
      </c>
      <c r="I1422" t="s">
        <v>22</v>
      </c>
      <c r="J1422" t="s">
        <v>2475</v>
      </c>
      <c r="K1422" t="s">
        <v>91</v>
      </c>
      <c r="L1422" t="s">
        <v>66</v>
      </c>
      <c r="M1422" t="s">
        <v>3964</v>
      </c>
      <c r="N1422" t="s">
        <v>38</v>
      </c>
      <c r="O1422" t="s">
        <v>68</v>
      </c>
      <c r="P1422">
        <v>58.58</v>
      </c>
    </row>
    <row r="1423" spans="1:16">
      <c r="A1423" s="4">
        <v>2015</v>
      </c>
      <c r="B1423" s="4">
        <v>106719</v>
      </c>
      <c r="C1423" t="s">
        <v>1873</v>
      </c>
      <c r="D1423" t="s">
        <v>1873</v>
      </c>
      <c r="E1423" t="s">
        <v>132</v>
      </c>
      <c r="F1423" t="s">
        <v>3962</v>
      </c>
      <c r="G1423" t="s">
        <v>3963</v>
      </c>
      <c r="H1423" t="s">
        <v>33</v>
      </c>
      <c r="I1423" t="s">
        <v>22</v>
      </c>
      <c r="J1423" t="s">
        <v>3965</v>
      </c>
      <c r="K1423" t="s">
        <v>188</v>
      </c>
      <c r="L1423" t="s">
        <v>66</v>
      </c>
      <c r="M1423" t="s">
        <v>3966</v>
      </c>
      <c r="N1423" t="s">
        <v>27</v>
      </c>
      <c r="O1423" t="s">
        <v>101</v>
      </c>
      <c r="P1423">
        <v>8.2880000000000003</v>
      </c>
    </row>
    <row r="1424" spans="1:16">
      <c r="A1424" s="4">
        <v>2015</v>
      </c>
      <c r="B1424" s="4">
        <v>158274</v>
      </c>
      <c r="C1424" t="s">
        <v>178</v>
      </c>
      <c r="D1424" t="s">
        <v>2046</v>
      </c>
      <c r="E1424" t="s">
        <v>144</v>
      </c>
      <c r="F1424" t="s">
        <v>3967</v>
      </c>
      <c r="G1424" t="s">
        <v>3968</v>
      </c>
      <c r="H1424" t="s">
        <v>33</v>
      </c>
      <c r="I1424" t="s">
        <v>63</v>
      </c>
      <c r="J1424" t="s">
        <v>3488</v>
      </c>
      <c r="K1424" t="s">
        <v>377</v>
      </c>
      <c r="L1424" t="s">
        <v>45</v>
      </c>
      <c r="M1424" t="s">
        <v>3969</v>
      </c>
      <c r="N1424" t="s">
        <v>38</v>
      </c>
      <c r="O1424" t="s">
        <v>118</v>
      </c>
      <c r="P1424">
        <v>503.96</v>
      </c>
    </row>
    <row r="1425" spans="1:16">
      <c r="A1425" s="4">
        <v>2016</v>
      </c>
      <c r="B1425" s="4">
        <v>160171</v>
      </c>
      <c r="C1425" t="s">
        <v>3970</v>
      </c>
      <c r="D1425" t="s">
        <v>3971</v>
      </c>
      <c r="E1425" t="s">
        <v>18</v>
      </c>
      <c r="F1425" t="s">
        <v>3967</v>
      </c>
      <c r="G1425" t="s">
        <v>3968</v>
      </c>
      <c r="H1425" t="s">
        <v>33</v>
      </c>
      <c r="I1425" t="s">
        <v>63</v>
      </c>
      <c r="J1425" t="s">
        <v>64</v>
      </c>
      <c r="K1425" t="s">
        <v>65</v>
      </c>
      <c r="L1425" t="s">
        <v>66</v>
      </c>
      <c r="M1425" t="s">
        <v>3972</v>
      </c>
      <c r="N1425" t="s">
        <v>27</v>
      </c>
      <c r="O1425" t="s">
        <v>228</v>
      </c>
      <c r="P1425">
        <v>1640.7</v>
      </c>
    </row>
    <row r="1426" spans="1:16">
      <c r="A1426" s="4">
        <v>2018</v>
      </c>
      <c r="B1426" s="4">
        <v>167752</v>
      </c>
      <c r="C1426" t="s">
        <v>3936</v>
      </c>
      <c r="D1426" t="s">
        <v>1184</v>
      </c>
      <c r="E1426" t="s">
        <v>42</v>
      </c>
      <c r="F1426" t="s">
        <v>3973</v>
      </c>
      <c r="G1426" t="s">
        <v>3974</v>
      </c>
      <c r="H1426" t="s">
        <v>21</v>
      </c>
      <c r="I1426" t="s">
        <v>97</v>
      </c>
      <c r="J1426" t="s">
        <v>23</v>
      </c>
      <c r="K1426" t="s">
        <v>24</v>
      </c>
      <c r="L1426" t="s">
        <v>25</v>
      </c>
      <c r="M1426" t="s">
        <v>3975</v>
      </c>
      <c r="N1426" t="s">
        <v>27</v>
      </c>
      <c r="O1426" t="s">
        <v>228</v>
      </c>
      <c r="P1426">
        <v>34.384</v>
      </c>
    </row>
    <row r="1427" spans="1:16">
      <c r="A1427" s="4">
        <v>2018</v>
      </c>
      <c r="B1427" s="4">
        <v>109484</v>
      </c>
      <c r="C1427" t="s">
        <v>579</v>
      </c>
      <c r="D1427" t="s">
        <v>976</v>
      </c>
      <c r="E1427" t="s">
        <v>18</v>
      </c>
      <c r="F1427" t="s">
        <v>3976</v>
      </c>
      <c r="G1427" t="s">
        <v>3977</v>
      </c>
      <c r="H1427" t="s">
        <v>33</v>
      </c>
      <c r="I1427" t="s">
        <v>63</v>
      </c>
      <c r="J1427" t="s">
        <v>1734</v>
      </c>
      <c r="K1427" t="s">
        <v>323</v>
      </c>
      <c r="L1427" t="s">
        <v>66</v>
      </c>
      <c r="M1427" t="s">
        <v>3978</v>
      </c>
      <c r="N1427" t="s">
        <v>27</v>
      </c>
      <c r="O1427" t="s">
        <v>101</v>
      </c>
      <c r="P1427">
        <v>5.6820000000000004</v>
      </c>
    </row>
    <row r="1428" spans="1:16">
      <c r="A1428" s="4">
        <v>2016</v>
      </c>
      <c r="B1428" s="4">
        <v>129854</v>
      </c>
      <c r="C1428" t="s">
        <v>1658</v>
      </c>
      <c r="D1428" t="s">
        <v>1681</v>
      </c>
      <c r="E1428" t="s">
        <v>18</v>
      </c>
      <c r="F1428" t="s">
        <v>3976</v>
      </c>
      <c r="G1428" t="s">
        <v>3977</v>
      </c>
      <c r="H1428" t="s">
        <v>33</v>
      </c>
      <c r="I1428" t="s">
        <v>63</v>
      </c>
      <c r="J1428" t="s">
        <v>49</v>
      </c>
      <c r="K1428" t="s">
        <v>50</v>
      </c>
      <c r="L1428" t="s">
        <v>25</v>
      </c>
      <c r="M1428" t="s">
        <v>2906</v>
      </c>
      <c r="N1428" t="s">
        <v>27</v>
      </c>
      <c r="O1428" t="s">
        <v>28</v>
      </c>
      <c r="P1428">
        <v>16.52</v>
      </c>
    </row>
    <row r="1429" spans="1:16">
      <c r="A1429" s="4">
        <v>2016</v>
      </c>
      <c r="B1429" s="4">
        <v>112375</v>
      </c>
      <c r="C1429" t="s">
        <v>1991</v>
      </c>
      <c r="D1429" t="s">
        <v>622</v>
      </c>
      <c r="E1429" t="s">
        <v>18</v>
      </c>
      <c r="F1429" t="s">
        <v>3979</v>
      </c>
      <c r="G1429" t="s">
        <v>3980</v>
      </c>
      <c r="H1429" t="s">
        <v>33</v>
      </c>
      <c r="I1429" t="s">
        <v>97</v>
      </c>
      <c r="J1429" t="s">
        <v>3981</v>
      </c>
      <c r="K1429" t="s">
        <v>196</v>
      </c>
      <c r="L1429" t="s">
        <v>45</v>
      </c>
      <c r="M1429" t="s">
        <v>3982</v>
      </c>
      <c r="N1429" t="s">
        <v>38</v>
      </c>
      <c r="O1429" t="s">
        <v>68</v>
      </c>
      <c r="P1429">
        <v>50.88</v>
      </c>
    </row>
    <row r="1430" spans="1:16">
      <c r="A1430" s="4">
        <v>2018</v>
      </c>
      <c r="B1430" s="4">
        <v>126550</v>
      </c>
      <c r="C1430" t="s">
        <v>2077</v>
      </c>
      <c r="D1430" t="s">
        <v>1195</v>
      </c>
      <c r="E1430" t="s">
        <v>144</v>
      </c>
      <c r="F1430" t="s">
        <v>3979</v>
      </c>
      <c r="G1430" t="s">
        <v>3980</v>
      </c>
      <c r="H1430" t="s">
        <v>33</v>
      </c>
      <c r="I1430" t="s">
        <v>97</v>
      </c>
      <c r="J1430" t="s">
        <v>376</v>
      </c>
      <c r="K1430" t="s">
        <v>122</v>
      </c>
      <c r="L1430" t="s">
        <v>36</v>
      </c>
      <c r="M1430" t="s">
        <v>2376</v>
      </c>
      <c r="N1430" t="s">
        <v>27</v>
      </c>
      <c r="O1430" t="s">
        <v>58</v>
      </c>
      <c r="P1430">
        <v>81.400000000000006</v>
      </c>
    </row>
    <row r="1431" spans="1:16">
      <c r="A1431" s="4">
        <v>2015</v>
      </c>
      <c r="B1431" s="4">
        <v>161249</v>
      </c>
      <c r="C1431" t="s">
        <v>409</v>
      </c>
      <c r="D1431" t="s">
        <v>3983</v>
      </c>
      <c r="E1431" t="s">
        <v>18</v>
      </c>
      <c r="F1431" t="s">
        <v>3979</v>
      </c>
      <c r="G1431" t="s">
        <v>3980</v>
      </c>
      <c r="H1431" t="s">
        <v>33</v>
      </c>
      <c r="I1431" t="s">
        <v>97</v>
      </c>
      <c r="J1431" t="s">
        <v>1713</v>
      </c>
      <c r="K1431" t="s">
        <v>136</v>
      </c>
      <c r="L1431" t="s">
        <v>66</v>
      </c>
      <c r="M1431" t="s">
        <v>3984</v>
      </c>
      <c r="N1431" t="s">
        <v>27</v>
      </c>
      <c r="O1431" t="s">
        <v>452</v>
      </c>
      <c r="P1431">
        <v>4.4640000000000004</v>
      </c>
    </row>
    <row r="1432" spans="1:16">
      <c r="A1432" s="4">
        <v>2017</v>
      </c>
      <c r="B1432" s="4">
        <v>110044</v>
      </c>
      <c r="C1432" t="s">
        <v>1277</v>
      </c>
      <c r="D1432" t="s">
        <v>2247</v>
      </c>
      <c r="E1432" t="s">
        <v>144</v>
      </c>
      <c r="F1432" t="s">
        <v>3985</v>
      </c>
      <c r="G1432" t="s">
        <v>3986</v>
      </c>
      <c r="H1432" t="s">
        <v>33</v>
      </c>
      <c r="I1432" t="s">
        <v>97</v>
      </c>
      <c r="J1432" t="s">
        <v>108</v>
      </c>
      <c r="K1432" t="s">
        <v>109</v>
      </c>
      <c r="L1432" t="s">
        <v>36</v>
      </c>
      <c r="M1432" t="s">
        <v>3987</v>
      </c>
      <c r="N1432" t="s">
        <v>38</v>
      </c>
      <c r="O1432" t="s">
        <v>118</v>
      </c>
      <c r="P1432">
        <v>359.976</v>
      </c>
    </row>
    <row r="1433" spans="1:16">
      <c r="A1433" s="4">
        <v>2015</v>
      </c>
      <c r="B1433" s="4">
        <v>115357</v>
      </c>
      <c r="C1433" t="s">
        <v>448</v>
      </c>
      <c r="D1433" t="s">
        <v>2298</v>
      </c>
      <c r="E1433" t="s">
        <v>144</v>
      </c>
      <c r="F1433" t="s">
        <v>3985</v>
      </c>
      <c r="G1433" t="s">
        <v>3986</v>
      </c>
      <c r="H1433" t="s">
        <v>33</v>
      </c>
      <c r="I1433" t="s">
        <v>97</v>
      </c>
      <c r="J1433" t="s">
        <v>977</v>
      </c>
      <c r="K1433" t="s">
        <v>1402</v>
      </c>
      <c r="L1433" t="s">
        <v>45</v>
      </c>
      <c r="M1433" t="s">
        <v>3988</v>
      </c>
      <c r="N1433" t="s">
        <v>38</v>
      </c>
      <c r="O1433" t="s">
        <v>68</v>
      </c>
      <c r="P1433">
        <v>62.91</v>
      </c>
    </row>
    <row r="1434" spans="1:16">
      <c r="A1434" s="4">
        <v>2016</v>
      </c>
      <c r="B1434" s="4">
        <v>111206</v>
      </c>
      <c r="C1434" t="s">
        <v>2190</v>
      </c>
      <c r="D1434" t="s">
        <v>3989</v>
      </c>
      <c r="E1434" t="s">
        <v>18</v>
      </c>
      <c r="F1434" t="s">
        <v>3985</v>
      </c>
      <c r="G1434" t="s">
        <v>3986</v>
      </c>
      <c r="H1434" t="s">
        <v>33</v>
      </c>
      <c r="I1434" t="s">
        <v>97</v>
      </c>
      <c r="J1434" t="s">
        <v>630</v>
      </c>
      <c r="K1434" t="s">
        <v>65</v>
      </c>
      <c r="L1434" t="s">
        <v>66</v>
      </c>
      <c r="M1434" t="s">
        <v>3990</v>
      </c>
      <c r="N1434" t="s">
        <v>38</v>
      </c>
      <c r="O1434" t="s">
        <v>68</v>
      </c>
      <c r="P1434">
        <v>519.96</v>
      </c>
    </row>
    <row r="1435" spans="1:16">
      <c r="A1435" s="4">
        <v>2018</v>
      </c>
      <c r="B1435" s="4">
        <v>126074</v>
      </c>
      <c r="C1435" t="s">
        <v>666</v>
      </c>
      <c r="D1435" t="s">
        <v>368</v>
      </c>
      <c r="E1435" t="s">
        <v>18</v>
      </c>
      <c r="F1435" t="s">
        <v>3985</v>
      </c>
      <c r="G1435" t="s">
        <v>3986</v>
      </c>
      <c r="H1435" t="s">
        <v>33</v>
      </c>
      <c r="I1435" t="s">
        <v>97</v>
      </c>
      <c r="J1435" t="s">
        <v>3991</v>
      </c>
      <c r="K1435" t="s">
        <v>855</v>
      </c>
      <c r="L1435" t="s">
        <v>36</v>
      </c>
      <c r="M1435" t="s">
        <v>3992</v>
      </c>
      <c r="N1435" t="s">
        <v>27</v>
      </c>
      <c r="O1435" t="s">
        <v>101</v>
      </c>
      <c r="P1435">
        <v>58.05</v>
      </c>
    </row>
    <row r="1436" spans="1:16">
      <c r="A1436" s="4">
        <v>2018</v>
      </c>
      <c r="B1436" s="4">
        <v>168193</v>
      </c>
      <c r="C1436" t="s">
        <v>2140</v>
      </c>
      <c r="D1436" t="s">
        <v>3993</v>
      </c>
      <c r="E1436" t="s">
        <v>144</v>
      </c>
      <c r="F1436" t="s">
        <v>3994</v>
      </c>
      <c r="G1436" t="s">
        <v>3995</v>
      </c>
      <c r="H1436" t="s">
        <v>21</v>
      </c>
      <c r="I1436" t="s">
        <v>97</v>
      </c>
      <c r="J1436" t="s">
        <v>49</v>
      </c>
      <c r="K1436" t="s">
        <v>50</v>
      </c>
      <c r="L1436" t="s">
        <v>25</v>
      </c>
      <c r="M1436" t="s">
        <v>3996</v>
      </c>
      <c r="N1436" t="s">
        <v>27</v>
      </c>
      <c r="O1436" t="s">
        <v>52</v>
      </c>
      <c r="P1436">
        <v>26.38</v>
      </c>
    </row>
    <row r="1437" spans="1:16">
      <c r="A1437" s="4">
        <v>2018</v>
      </c>
      <c r="B1437" s="4">
        <v>128300</v>
      </c>
      <c r="C1437" t="s">
        <v>2320</v>
      </c>
      <c r="D1437" t="s">
        <v>81</v>
      </c>
      <c r="E1437" t="s">
        <v>144</v>
      </c>
      <c r="F1437" t="s">
        <v>3997</v>
      </c>
      <c r="G1437" t="s">
        <v>3998</v>
      </c>
      <c r="H1437" t="s">
        <v>33</v>
      </c>
      <c r="I1437" t="s">
        <v>22</v>
      </c>
      <c r="J1437" t="s">
        <v>3999</v>
      </c>
      <c r="K1437" t="s">
        <v>1402</v>
      </c>
      <c r="L1437" t="s">
        <v>45</v>
      </c>
      <c r="M1437" t="s">
        <v>4000</v>
      </c>
      <c r="N1437" t="s">
        <v>38</v>
      </c>
      <c r="O1437" t="s">
        <v>118</v>
      </c>
      <c r="P1437">
        <v>79.099999999999994</v>
      </c>
    </row>
    <row r="1438" spans="1:16">
      <c r="A1438" s="4">
        <v>2018</v>
      </c>
      <c r="B1438" s="4">
        <v>100048</v>
      </c>
      <c r="C1438" t="s">
        <v>528</v>
      </c>
      <c r="D1438" t="s">
        <v>4001</v>
      </c>
      <c r="E1438" t="s">
        <v>18</v>
      </c>
      <c r="F1438" t="s">
        <v>3997</v>
      </c>
      <c r="G1438" t="s">
        <v>3998</v>
      </c>
      <c r="H1438" t="s">
        <v>33</v>
      </c>
      <c r="I1438" t="s">
        <v>22</v>
      </c>
      <c r="J1438" t="s">
        <v>2629</v>
      </c>
      <c r="K1438" t="s">
        <v>50</v>
      </c>
      <c r="L1438" t="s">
        <v>25</v>
      </c>
      <c r="M1438" t="s">
        <v>4002</v>
      </c>
      <c r="N1438" t="s">
        <v>27</v>
      </c>
      <c r="O1438" t="s">
        <v>228</v>
      </c>
      <c r="P1438">
        <v>281.33999999999997</v>
      </c>
    </row>
    <row r="1439" spans="1:16">
      <c r="A1439" s="4">
        <v>2016</v>
      </c>
      <c r="B1439" s="4">
        <v>153752</v>
      </c>
      <c r="C1439" t="s">
        <v>603</v>
      </c>
      <c r="D1439" t="s">
        <v>604</v>
      </c>
      <c r="E1439" t="s">
        <v>144</v>
      </c>
      <c r="F1439" t="s">
        <v>4003</v>
      </c>
      <c r="G1439" t="s">
        <v>4004</v>
      </c>
      <c r="H1439" t="s">
        <v>33</v>
      </c>
      <c r="I1439" t="s">
        <v>97</v>
      </c>
      <c r="J1439" t="s">
        <v>55</v>
      </c>
      <c r="K1439" t="s">
        <v>56</v>
      </c>
      <c r="L1439" t="s">
        <v>45</v>
      </c>
      <c r="M1439" t="s">
        <v>3099</v>
      </c>
      <c r="N1439" t="s">
        <v>38</v>
      </c>
      <c r="O1439" t="s">
        <v>118</v>
      </c>
      <c r="P1439">
        <v>173.94</v>
      </c>
    </row>
    <row r="1440" spans="1:16">
      <c r="A1440" s="4">
        <v>2017</v>
      </c>
      <c r="B1440" s="4">
        <v>120929</v>
      </c>
      <c r="C1440" t="s">
        <v>76</v>
      </c>
      <c r="D1440" t="s">
        <v>896</v>
      </c>
      <c r="E1440" t="s">
        <v>144</v>
      </c>
      <c r="F1440" t="s">
        <v>4003</v>
      </c>
      <c r="G1440" t="s">
        <v>4004</v>
      </c>
      <c r="H1440" t="s">
        <v>33</v>
      </c>
      <c r="I1440" t="s">
        <v>97</v>
      </c>
      <c r="J1440" t="s">
        <v>2534</v>
      </c>
      <c r="K1440" t="s">
        <v>206</v>
      </c>
      <c r="L1440" t="s">
        <v>45</v>
      </c>
      <c r="M1440" t="s">
        <v>4005</v>
      </c>
      <c r="N1440" t="s">
        <v>79</v>
      </c>
      <c r="O1440" t="s">
        <v>347</v>
      </c>
      <c r="P1440">
        <v>189.88200000000001</v>
      </c>
    </row>
    <row r="1441" spans="1:16">
      <c r="A1441" s="4">
        <v>2016</v>
      </c>
      <c r="B1441" s="4">
        <v>150161</v>
      </c>
      <c r="C1441" t="s">
        <v>3448</v>
      </c>
      <c r="D1441" t="s">
        <v>4006</v>
      </c>
      <c r="E1441" t="s">
        <v>18</v>
      </c>
      <c r="F1441" t="s">
        <v>4007</v>
      </c>
      <c r="G1441" t="s">
        <v>4008</v>
      </c>
      <c r="H1441" t="s">
        <v>33</v>
      </c>
      <c r="I1441" t="s">
        <v>63</v>
      </c>
      <c r="J1441" t="s">
        <v>23</v>
      </c>
      <c r="K1441" t="s">
        <v>24</v>
      </c>
      <c r="L1441" t="s">
        <v>25</v>
      </c>
      <c r="M1441" t="s">
        <v>4009</v>
      </c>
      <c r="N1441" t="s">
        <v>27</v>
      </c>
      <c r="O1441" t="s">
        <v>101</v>
      </c>
      <c r="P1441">
        <v>25.175999999999998</v>
      </c>
    </row>
    <row r="1442" spans="1:16">
      <c r="A1442" s="4">
        <v>2017</v>
      </c>
      <c r="B1442" s="4">
        <v>168620</v>
      </c>
      <c r="C1442" t="s">
        <v>4010</v>
      </c>
      <c r="D1442" t="s">
        <v>2275</v>
      </c>
      <c r="E1442" t="s">
        <v>144</v>
      </c>
      <c r="F1442" t="s">
        <v>4007</v>
      </c>
      <c r="G1442" t="s">
        <v>4008</v>
      </c>
      <c r="H1442" t="s">
        <v>33</v>
      </c>
      <c r="I1442" t="s">
        <v>63</v>
      </c>
      <c r="J1442" t="s">
        <v>1413</v>
      </c>
      <c r="K1442" t="s">
        <v>44</v>
      </c>
      <c r="L1442" t="s">
        <v>45</v>
      </c>
      <c r="M1442" t="s">
        <v>4011</v>
      </c>
      <c r="N1442" t="s">
        <v>27</v>
      </c>
      <c r="O1442" t="s">
        <v>101</v>
      </c>
      <c r="P1442">
        <v>27.882000000000001</v>
      </c>
    </row>
    <row r="1443" spans="1:16">
      <c r="A1443" s="4">
        <v>2017</v>
      </c>
      <c r="B1443" s="4">
        <v>123750</v>
      </c>
      <c r="C1443" t="s">
        <v>842</v>
      </c>
      <c r="D1443" t="s">
        <v>4012</v>
      </c>
      <c r="E1443" t="s">
        <v>18</v>
      </c>
      <c r="F1443" t="s">
        <v>4007</v>
      </c>
      <c r="G1443" t="s">
        <v>4008</v>
      </c>
      <c r="H1443" t="s">
        <v>33</v>
      </c>
      <c r="I1443" t="s">
        <v>63</v>
      </c>
      <c r="J1443" t="s">
        <v>4013</v>
      </c>
      <c r="K1443" t="s">
        <v>44</v>
      </c>
      <c r="L1443" t="s">
        <v>45</v>
      </c>
      <c r="M1443" t="s">
        <v>4014</v>
      </c>
      <c r="N1443" t="s">
        <v>27</v>
      </c>
      <c r="O1443" t="s">
        <v>101</v>
      </c>
      <c r="P1443">
        <v>189.58799999999999</v>
      </c>
    </row>
    <row r="1444" spans="1:16">
      <c r="A1444" s="4">
        <v>2018</v>
      </c>
      <c r="B1444" s="4">
        <v>110576</v>
      </c>
      <c r="C1444" t="s">
        <v>1751</v>
      </c>
      <c r="D1444" t="s">
        <v>102</v>
      </c>
      <c r="E1444" t="s">
        <v>18</v>
      </c>
      <c r="F1444" t="s">
        <v>4007</v>
      </c>
      <c r="G1444" t="s">
        <v>4008</v>
      </c>
      <c r="H1444" t="s">
        <v>33</v>
      </c>
      <c r="I1444" t="s">
        <v>63</v>
      </c>
      <c r="J1444" t="s">
        <v>23</v>
      </c>
      <c r="K1444" t="s">
        <v>24</v>
      </c>
      <c r="L1444" t="s">
        <v>25</v>
      </c>
      <c r="M1444" t="s">
        <v>2218</v>
      </c>
      <c r="N1444" t="s">
        <v>79</v>
      </c>
      <c r="O1444" t="s">
        <v>80</v>
      </c>
      <c r="P1444">
        <v>516.48800000000006</v>
      </c>
    </row>
    <row r="1445" spans="1:16">
      <c r="A1445" s="4">
        <v>2017</v>
      </c>
      <c r="B1445" s="4">
        <v>112942</v>
      </c>
      <c r="C1445" t="s">
        <v>3817</v>
      </c>
      <c r="D1445" t="s">
        <v>4015</v>
      </c>
      <c r="E1445" t="s">
        <v>18</v>
      </c>
      <c r="F1445" t="s">
        <v>4016</v>
      </c>
      <c r="G1445" t="s">
        <v>4017</v>
      </c>
      <c r="H1445" t="s">
        <v>21</v>
      </c>
      <c r="I1445" t="s">
        <v>63</v>
      </c>
      <c r="J1445" t="s">
        <v>64</v>
      </c>
      <c r="K1445" t="s">
        <v>65</v>
      </c>
      <c r="L1445" t="s">
        <v>66</v>
      </c>
      <c r="M1445" t="s">
        <v>4018</v>
      </c>
      <c r="N1445" t="s">
        <v>27</v>
      </c>
      <c r="O1445" t="s">
        <v>52</v>
      </c>
      <c r="P1445">
        <v>146.82</v>
      </c>
    </row>
    <row r="1446" spans="1:16">
      <c r="A1446" s="4">
        <v>2017</v>
      </c>
      <c r="B1446" s="4">
        <v>114538</v>
      </c>
      <c r="C1446" t="s">
        <v>933</v>
      </c>
      <c r="D1446" t="s">
        <v>4019</v>
      </c>
      <c r="E1446" t="s">
        <v>42</v>
      </c>
      <c r="F1446" t="s">
        <v>4020</v>
      </c>
      <c r="G1446" t="s">
        <v>4021</v>
      </c>
      <c r="H1446" t="s">
        <v>33</v>
      </c>
      <c r="I1446" t="s">
        <v>97</v>
      </c>
      <c r="J1446" t="s">
        <v>1992</v>
      </c>
      <c r="K1446" t="s">
        <v>222</v>
      </c>
      <c r="L1446" t="s">
        <v>66</v>
      </c>
      <c r="M1446" t="s">
        <v>4022</v>
      </c>
      <c r="N1446" t="s">
        <v>27</v>
      </c>
      <c r="O1446" t="s">
        <v>28</v>
      </c>
      <c r="P1446">
        <v>11.327999999999999</v>
      </c>
    </row>
    <row r="1447" spans="1:16">
      <c r="A1447" s="4">
        <v>2017</v>
      </c>
      <c r="B1447" s="4">
        <v>125318</v>
      </c>
      <c r="C1447" t="s">
        <v>1629</v>
      </c>
      <c r="D1447" t="s">
        <v>4023</v>
      </c>
      <c r="E1447" t="s">
        <v>18</v>
      </c>
      <c r="F1447" t="s">
        <v>4020</v>
      </c>
      <c r="G1447" t="s">
        <v>4021</v>
      </c>
      <c r="H1447" t="s">
        <v>33</v>
      </c>
      <c r="I1447" t="s">
        <v>97</v>
      </c>
      <c r="J1447" t="s">
        <v>108</v>
      </c>
      <c r="K1447" t="s">
        <v>109</v>
      </c>
      <c r="L1447" t="s">
        <v>36</v>
      </c>
      <c r="M1447" t="s">
        <v>4024</v>
      </c>
      <c r="N1447" t="s">
        <v>38</v>
      </c>
      <c r="O1447" t="s">
        <v>118</v>
      </c>
      <c r="P1447">
        <v>328.22399999999999</v>
      </c>
    </row>
    <row r="1448" spans="1:16">
      <c r="A1448" s="4">
        <v>2017</v>
      </c>
      <c r="B1448" s="4">
        <v>141397</v>
      </c>
      <c r="C1448" t="s">
        <v>1159</v>
      </c>
      <c r="D1448" t="s">
        <v>890</v>
      </c>
      <c r="E1448" t="s">
        <v>42</v>
      </c>
      <c r="F1448" t="s">
        <v>4020</v>
      </c>
      <c r="G1448" t="s">
        <v>4021</v>
      </c>
      <c r="H1448" t="s">
        <v>33</v>
      </c>
      <c r="I1448" t="s">
        <v>97</v>
      </c>
      <c r="J1448" t="s">
        <v>1051</v>
      </c>
      <c r="K1448" t="s">
        <v>65</v>
      </c>
      <c r="L1448" t="s">
        <v>66</v>
      </c>
      <c r="M1448" t="s">
        <v>4025</v>
      </c>
      <c r="N1448" t="s">
        <v>27</v>
      </c>
      <c r="O1448" t="s">
        <v>52</v>
      </c>
      <c r="P1448">
        <v>46.76</v>
      </c>
    </row>
    <row r="1449" spans="1:16">
      <c r="A1449" s="4">
        <v>2018</v>
      </c>
      <c r="B1449" s="4">
        <v>117933</v>
      </c>
      <c r="C1449" t="s">
        <v>424</v>
      </c>
      <c r="D1449" t="s">
        <v>425</v>
      </c>
      <c r="E1449" t="s">
        <v>18</v>
      </c>
      <c r="F1449" t="s">
        <v>4026</v>
      </c>
      <c r="G1449" t="s">
        <v>4027</v>
      </c>
      <c r="H1449" t="s">
        <v>33</v>
      </c>
      <c r="I1449" t="s">
        <v>97</v>
      </c>
      <c r="J1449" t="s">
        <v>49</v>
      </c>
      <c r="K1449" t="s">
        <v>50</v>
      </c>
      <c r="L1449" t="s">
        <v>25</v>
      </c>
      <c r="M1449" t="s">
        <v>4028</v>
      </c>
      <c r="N1449" t="s">
        <v>27</v>
      </c>
      <c r="O1449" t="s">
        <v>228</v>
      </c>
      <c r="P1449">
        <v>35.909999999999997</v>
      </c>
    </row>
    <row r="1450" spans="1:16">
      <c r="A1450" s="4">
        <v>2018</v>
      </c>
      <c r="B1450" s="4">
        <v>136497</v>
      </c>
      <c r="C1450" t="s">
        <v>1943</v>
      </c>
      <c r="D1450" t="s">
        <v>386</v>
      </c>
      <c r="E1450" t="s">
        <v>18</v>
      </c>
      <c r="F1450" t="s">
        <v>4026</v>
      </c>
      <c r="G1450" t="s">
        <v>4027</v>
      </c>
      <c r="H1450" t="s">
        <v>33</v>
      </c>
      <c r="I1450" t="s">
        <v>97</v>
      </c>
      <c r="J1450" t="s">
        <v>473</v>
      </c>
      <c r="K1450" t="s">
        <v>237</v>
      </c>
      <c r="L1450" t="s">
        <v>25</v>
      </c>
      <c r="M1450" t="s">
        <v>2120</v>
      </c>
      <c r="N1450" t="s">
        <v>27</v>
      </c>
      <c r="O1450" t="s">
        <v>101</v>
      </c>
      <c r="P1450">
        <v>13.71</v>
      </c>
    </row>
    <row r="1451" spans="1:16">
      <c r="A1451" s="4">
        <v>2017</v>
      </c>
      <c r="B1451" s="4">
        <v>125843</v>
      </c>
      <c r="C1451" t="s">
        <v>1443</v>
      </c>
      <c r="D1451" t="s">
        <v>4029</v>
      </c>
      <c r="E1451" t="s">
        <v>42</v>
      </c>
      <c r="F1451" t="s">
        <v>4026</v>
      </c>
      <c r="G1451" t="s">
        <v>4027</v>
      </c>
      <c r="H1451" t="s">
        <v>33</v>
      </c>
      <c r="I1451" t="s">
        <v>97</v>
      </c>
      <c r="J1451" t="s">
        <v>98</v>
      </c>
      <c r="K1451" t="s">
        <v>56</v>
      </c>
      <c r="L1451" t="s">
        <v>45</v>
      </c>
      <c r="M1451" t="s">
        <v>4030</v>
      </c>
      <c r="N1451" t="s">
        <v>27</v>
      </c>
      <c r="O1451" t="s">
        <v>101</v>
      </c>
      <c r="P1451">
        <v>22.32</v>
      </c>
    </row>
    <row r="1452" spans="1:16">
      <c r="A1452" s="4">
        <v>2017</v>
      </c>
      <c r="B1452" s="4">
        <v>150567</v>
      </c>
      <c r="C1452" t="s">
        <v>3201</v>
      </c>
      <c r="D1452" t="s">
        <v>1303</v>
      </c>
      <c r="E1452" t="s">
        <v>18</v>
      </c>
      <c r="F1452" t="s">
        <v>4031</v>
      </c>
      <c r="G1452" t="s">
        <v>4032</v>
      </c>
      <c r="H1452" t="s">
        <v>33</v>
      </c>
      <c r="I1452" t="s">
        <v>22</v>
      </c>
      <c r="J1452" t="s">
        <v>4033</v>
      </c>
      <c r="K1452" t="s">
        <v>196</v>
      </c>
      <c r="L1452" t="s">
        <v>45</v>
      </c>
      <c r="M1452" t="s">
        <v>4034</v>
      </c>
      <c r="N1452" t="s">
        <v>27</v>
      </c>
      <c r="O1452" t="s">
        <v>101</v>
      </c>
      <c r="P1452">
        <v>2.952</v>
      </c>
    </row>
    <row r="1453" spans="1:16">
      <c r="A1453" s="4">
        <v>2016</v>
      </c>
      <c r="B1453" s="4">
        <v>154326</v>
      </c>
      <c r="C1453" t="s">
        <v>2870</v>
      </c>
      <c r="D1453" t="s">
        <v>4035</v>
      </c>
      <c r="E1453" t="s">
        <v>18</v>
      </c>
      <c r="F1453" t="s">
        <v>4031</v>
      </c>
      <c r="G1453" t="s">
        <v>4032</v>
      </c>
      <c r="H1453" t="s">
        <v>33</v>
      </c>
      <c r="I1453" t="s">
        <v>22</v>
      </c>
      <c r="J1453" t="s">
        <v>4036</v>
      </c>
      <c r="K1453" t="s">
        <v>478</v>
      </c>
      <c r="L1453" t="s">
        <v>36</v>
      </c>
      <c r="M1453" t="s">
        <v>4037</v>
      </c>
      <c r="N1453" t="s">
        <v>38</v>
      </c>
      <c r="O1453" t="s">
        <v>118</v>
      </c>
      <c r="P1453">
        <v>134.97</v>
      </c>
    </row>
    <row r="1454" spans="1:16">
      <c r="A1454" s="4">
        <v>2017</v>
      </c>
      <c r="B1454" s="4">
        <v>101343</v>
      </c>
      <c r="C1454" t="s">
        <v>382</v>
      </c>
      <c r="D1454" t="s">
        <v>305</v>
      </c>
      <c r="E1454" t="s">
        <v>18</v>
      </c>
      <c r="F1454" t="s">
        <v>4038</v>
      </c>
      <c r="G1454" t="s">
        <v>4039</v>
      </c>
      <c r="H1454" t="s">
        <v>21</v>
      </c>
      <c r="I1454" t="s">
        <v>22</v>
      </c>
      <c r="J1454" t="s">
        <v>64</v>
      </c>
      <c r="K1454" t="s">
        <v>65</v>
      </c>
      <c r="L1454" t="s">
        <v>66</v>
      </c>
      <c r="M1454" t="s">
        <v>4040</v>
      </c>
      <c r="N1454" t="s">
        <v>27</v>
      </c>
      <c r="O1454" t="s">
        <v>58</v>
      </c>
      <c r="P1454">
        <v>77.88</v>
      </c>
    </row>
    <row r="1455" spans="1:16">
      <c r="A1455" s="4">
        <v>2017</v>
      </c>
      <c r="B1455" s="4">
        <v>154508</v>
      </c>
      <c r="C1455" t="s">
        <v>316</v>
      </c>
      <c r="D1455" t="s">
        <v>339</v>
      </c>
      <c r="E1455" t="s">
        <v>18</v>
      </c>
      <c r="F1455" t="s">
        <v>4041</v>
      </c>
      <c r="G1455" t="s">
        <v>4042</v>
      </c>
      <c r="H1455" t="s">
        <v>33</v>
      </c>
      <c r="I1455" t="s">
        <v>97</v>
      </c>
      <c r="J1455" t="s">
        <v>252</v>
      </c>
      <c r="K1455" t="s">
        <v>253</v>
      </c>
      <c r="L1455" t="s">
        <v>66</v>
      </c>
      <c r="M1455" t="s">
        <v>4043</v>
      </c>
      <c r="N1455" t="s">
        <v>27</v>
      </c>
      <c r="O1455" t="s">
        <v>501</v>
      </c>
      <c r="P1455">
        <v>28.4</v>
      </c>
    </row>
    <row r="1456" spans="1:16">
      <c r="A1456" s="4">
        <v>2017</v>
      </c>
      <c r="B1456" s="4">
        <v>140382</v>
      </c>
      <c r="C1456" t="s">
        <v>2462</v>
      </c>
      <c r="D1456" t="s">
        <v>243</v>
      </c>
      <c r="E1456" t="s">
        <v>144</v>
      </c>
      <c r="F1456" t="s">
        <v>4041</v>
      </c>
      <c r="G1456" t="s">
        <v>4042</v>
      </c>
      <c r="H1456" t="s">
        <v>33</v>
      </c>
      <c r="I1456" t="s">
        <v>97</v>
      </c>
      <c r="J1456" t="s">
        <v>226</v>
      </c>
      <c r="K1456" t="s">
        <v>65</v>
      </c>
      <c r="L1456" t="s">
        <v>66</v>
      </c>
      <c r="M1456" t="s">
        <v>3992</v>
      </c>
      <c r="N1456" t="s">
        <v>27</v>
      </c>
      <c r="O1456" t="s">
        <v>58</v>
      </c>
      <c r="P1456">
        <v>93.68</v>
      </c>
    </row>
    <row r="1457" spans="1:16">
      <c r="A1457" s="4">
        <v>2018</v>
      </c>
      <c r="B1457" s="4">
        <v>112809</v>
      </c>
      <c r="C1457" t="s">
        <v>1833</v>
      </c>
      <c r="D1457" t="s">
        <v>4044</v>
      </c>
      <c r="E1457" t="s">
        <v>18</v>
      </c>
      <c r="F1457" t="s">
        <v>4045</v>
      </c>
      <c r="G1457" t="s">
        <v>4046</v>
      </c>
      <c r="H1457" t="s">
        <v>33</v>
      </c>
      <c r="I1457" t="s">
        <v>97</v>
      </c>
      <c r="J1457" t="s">
        <v>627</v>
      </c>
      <c r="K1457" t="s">
        <v>35</v>
      </c>
      <c r="L1457" t="s">
        <v>36</v>
      </c>
      <c r="M1457" t="s">
        <v>4047</v>
      </c>
      <c r="N1457" t="s">
        <v>27</v>
      </c>
      <c r="O1457" t="s">
        <v>58</v>
      </c>
      <c r="P1457">
        <v>200.06399999999999</v>
      </c>
    </row>
    <row r="1458" spans="1:16">
      <c r="A1458" s="4">
        <v>2018</v>
      </c>
      <c r="B1458" s="4">
        <v>140585</v>
      </c>
      <c r="C1458" t="s">
        <v>16</v>
      </c>
      <c r="D1458" t="s">
        <v>1902</v>
      </c>
      <c r="E1458" t="s">
        <v>144</v>
      </c>
      <c r="F1458" t="s">
        <v>4045</v>
      </c>
      <c r="G1458" t="s">
        <v>4046</v>
      </c>
      <c r="H1458" t="s">
        <v>33</v>
      </c>
      <c r="I1458" t="s">
        <v>97</v>
      </c>
      <c r="J1458" t="s">
        <v>4048</v>
      </c>
      <c r="K1458" t="s">
        <v>65</v>
      </c>
      <c r="L1458" t="s">
        <v>66</v>
      </c>
      <c r="M1458" t="s">
        <v>4049</v>
      </c>
      <c r="N1458" t="s">
        <v>27</v>
      </c>
      <c r="O1458" t="s">
        <v>101</v>
      </c>
      <c r="P1458">
        <v>46.671999999999997</v>
      </c>
    </row>
    <row r="1459" spans="1:16">
      <c r="A1459" s="4">
        <v>2015</v>
      </c>
      <c r="B1459" s="4">
        <v>134313</v>
      </c>
      <c r="C1459" t="s">
        <v>3546</v>
      </c>
      <c r="D1459" t="s">
        <v>4050</v>
      </c>
      <c r="E1459" t="s">
        <v>18</v>
      </c>
      <c r="F1459" t="s">
        <v>4045</v>
      </c>
      <c r="G1459" t="s">
        <v>4046</v>
      </c>
      <c r="H1459" t="s">
        <v>33</v>
      </c>
      <c r="I1459" t="s">
        <v>97</v>
      </c>
      <c r="J1459" t="s">
        <v>636</v>
      </c>
      <c r="K1459" t="s">
        <v>222</v>
      </c>
      <c r="L1459" t="s">
        <v>66</v>
      </c>
      <c r="M1459" t="s">
        <v>4051</v>
      </c>
      <c r="N1459" t="s">
        <v>27</v>
      </c>
      <c r="O1459" t="s">
        <v>28</v>
      </c>
      <c r="P1459">
        <v>43.176000000000002</v>
      </c>
    </row>
    <row r="1460" spans="1:16">
      <c r="A1460" s="4">
        <v>2016</v>
      </c>
      <c r="B1460" s="4">
        <v>130792</v>
      </c>
      <c r="C1460" t="s">
        <v>2664</v>
      </c>
      <c r="D1460" t="s">
        <v>3742</v>
      </c>
      <c r="E1460" t="s">
        <v>18</v>
      </c>
      <c r="F1460" t="s">
        <v>4045</v>
      </c>
      <c r="G1460" t="s">
        <v>4046</v>
      </c>
      <c r="H1460" t="s">
        <v>33</v>
      </c>
      <c r="I1460" t="s">
        <v>97</v>
      </c>
      <c r="J1460" t="s">
        <v>183</v>
      </c>
      <c r="K1460" t="s">
        <v>35</v>
      </c>
      <c r="L1460" t="s">
        <v>36</v>
      </c>
      <c r="M1460" t="s">
        <v>4052</v>
      </c>
      <c r="N1460" t="s">
        <v>27</v>
      </c>
      <c r="O1460" t="s">
        <v>228</v>
      </c>
      <c r="P1460">
        <v>8.6519999999999992</v>
      </c>
    </row>
    <row r="1461" spans="1:16">
      <c r="A1461" s="4">
        <v>2015</v>
      </c>
      <c r="B1461" s="4">
        <v>123064</v>
      </c>
      <c r="C1461" t="s">
        <v>581</v>
      </c>
      <c r="D1461" t="s">
        <v>1489</v>
      </c>
      <c r="E1461" t="s">
        <v>42</v>
      </c>
      <c r="F1461" t="s">
        <v>4045</v>
      </c>
      <c r="G1461" t="s">
        <v>4046</v>
      </c>
      <c r="H1461" t="s">
        <v>33</v>
      </c>
      <c r="I1461" t="s">
        <v>97</v>
      </c>
      <c r="J1461" t="s">
        <v>108</v>
      </c>
      <c r="K1461" t="s">
        <v>109</v>
      </c>
      <c r="L1461" t="s">
        <v>36</v>
      </c>
      <c r="M1461" t="s">
        <v>4053</v>
      </c>
      <c r="N1461" t="s">
        <v>27</v>
      </c>
      <c r="O1461" t="s">
        <v>28</v>
      </c>
      <c r="P1461">
        <v>5.2480000000000002</v>
      </c>
    </row>
    <row r="1462" spans="1:16">
      <c r="A1462" s="4">
        <v>2017</v>
      </c>
      <c r="B1462" s="4">
        <v>149979</v>
      </c>
      <c r="C1462" t="s">
        <v>1053</v>
      </c>
      <c r="D1462" t="s">
        <v>3515</v>
      </c>
      <c r="E1462" t="s">
        <v>144</v>
      </c>
      <c r="F1462" t="s">
        <v>4045</v>
      </c>
      <c r="G1462" t="s">
        <v>4046</v>
      </c>
      <c r="H1462" t="s">
        <v>33</v>
      </c>
      <c r="I1462" t="s">
        <v>97</v>
      </c>
      <c r="J1462" t="s">
        <v>473</v>
      </c>
      <c r="K1462" t="s">
        <v>86</v>
      </c>
      <c r="L1462" t="s">
        <v>45</v>
      </c>
      <c r="M1462" t="s">
        <v>4054</v>
      </c>
      <c r="N1462" t="s">
        <v>27</v>
      </c>
      <c r="O1462" t="s">
        <v>58</v>
      </c>
      <c r="P1462">
        <v>118.25</v>
      </c>
    </row>
    <row r="1463" spans="1:16">
      <c r="A1463" s="4">
        <v>2016</v>
      </c>
      <c r="B1463" s="4">
        <v>139248</v>
      </c>
      <c r="C1463" t="s">
        <v>3448</v>
      </c>
      <c r="D1463" t="s">
        <v>1425</v>
      </c>
      <c r="E1463" t="s">
        <v>18</v>
      </c>
      <c r="F1463" t="s">
        <v>4055</v>
      </c>
      <c r="G1463" t="s">
        <v>4056</v>
      </c>
      <c r="H1463" t="s">
        <v>21</v>
      </c>
      <c r="I1463" t="s">
        <v>97</v>
      </c>
      <c r="J1463" t="s">
        <v>64</v>
      </c>
      <c r="K1463" t="s">
        <v>65</v>
      </c>
      <c r="L1463" t="s">
        <v>66</v>
      </c>
      <c r="M1463" t="s">
        <v>3217</v>
      </c>
      <c r="N1463" t="s">
        <v>38</v>
      </c>
      <c r="O1463" t="s">
        <v>118</v>
      </c>
      <c r="P1463">
        <v>623.96</v>
      </c>
    </row>
    <row r="1464" spans="1:16">
      <c r="A1464" s="4">
        <v>2016</v>
      </c>
      <c r="B1464" s="4">
        <v>126445</v>
      </c>
      <c r="C1464" t="s">
        <v>3802</v>
      </c>
      <c r="D1464" t="s">
        <v>406</v>
      </c>
      <c r="E1464" t="s">
        <v>18</v>
      </c>
      <c r="F1464" t="s">
        <v>4057</v>
      </c>
      <c r="G1464" t="s">
        <v>4058</v>
      </c>
      <c r="H1464" t="s">
        <v>33</v>
      </c>
      <c r="I1464" t="s">
        <v>97</v>
      </c>
      <c r="J1464" t="s">
        <v>4059</v>
      </c>
      <c r="K1464" t="s">
        <v>65</v>
      </c>
      <c r="L1464" t="s">
        <v>66</v>
      </c>
      <c r="M1464" t="s">
        <v>4060</v>
      </c>
      <c r="N1464" t="s">
        <v>27</v>
      </c>
      <c r="O1464" t="s">
        <v>58</v>
      </c>
      <c r="P1464">
        <v>484.65</v>
      </c>
    </row>
    <row r="1465" spans="1:16">
      <c r="A1465" s="4">
        <v>2015</v>
      </c>
      <c r="B1465" s="4">
        <v>169775</v>
      </c>
      <c r="C1465" t="s">
        <v>1419</v>
      </c>
      <c r="D1465" t="s">
        <v>415</v>
      </c>
      <c r="E1465" t="s">
        <v>144</v>
      </c>
      <c r="F1465" t="s">
        <v>4057</v>
      </c>
      <c r="G1465" t="s">
        <v>4058</v>
      </c>
      <c r="H1465" t="s">
        <v>33</v>
      </c>
      <c r="I1465" t="s">
        <v>97</v>
      </c>
      <c r="J1465" t="s">
        <v>437</v>
      </c>
      <c r="K1465" t="s">
        <v>196</v>
      </c>
      <c r="L1465" t="s">
        <v>45</v>
      </c>
      <c r="M1465" t="s">
        <v>4061</v>
      </c>
      <c r="N1465" t="s">
        <v>27</v>
      </c>
      <c r="O1465" t="s">
        <v>501</v>
      </c>
      <c r="P1465">
        <v>29.808</v>
      </c>
    </row>
    <row r="1466" spans="1:16">
      <c r="A1466" s="4">
        <v>2018</v>
      </c>
      <c r="B1466" s="4">
        <v>112774</v>
      </c>
      <c r="C1466" t="s">
        <v>476</v>
      </c>
      <c r="D1466" t="s">
        <v>701</v>
      </c>
      <c r="E1466" t="s">
        <v>42</v>
      </c>
      <c r="F1466" t="s">
        <v>4062</v>
      </c>
      <c r="G1466" t="s">
        <v>4063</v>
      </c>
      <c r="H1466" t="s">
        <v>33</v>
      </c>
      <c r="I1466" t="s">
        <v>97</v>
      </c>
      <c r="J1466" t="s">
        <v>43</v>
      </c>
      <c r="K1466" t="s">
        <v>196</v>
      </c>
      <c r="L1466" t="s">
        <v>45</v>
      </c>
      <c r="M1466" t="s">
        <v>3516</v>
      </c>
      <c r="N1466" t="s">
        <v>79</v>
      </c>
      <c r="O1466" t="s">
        <v>80</v>
      </c>
      <c r="P1466">
        <v>34.503999999999998</v>
      </c>
    </row>
    <row r="1467" spans="1:16">
      <c r="A1467" s="4">
        <v>2015</v>
      </c>
      <c r="B1467" s="4">
        <v>115259</v>
      </c>
      <c r="C1467" t="s">
        <v>2586</v>
      </c>
      <c r="D1467" t="s">
        <v>633</v>
      </c>
      <c r="E1467" t="s">
        <v>144</v>
      </c>
      <c r="F1467" t="s">
        <v>4062</v>
      </c>
      <c r="G1467" t="s">
        <v>4063</v>
      </c>
      <c r="H1467" t="s">
        <v>33</v>
      </c>
      <c r="I1467" t="s">
        <v>97</v>
      </c>
      <c r="J1467" t="s">
        <v>473</v>
      </c>
      <c r="K1467" t="s">
        <v>237</v>
      </c>
      <c r="L1467" t="s">
        <v>25</v>
      </c>
      <c r="M1467" t="s">
        <v>4064</v>
      </c>
      <c r="N1467" t="s">
        <v>27</v>
      </c>
      <c r="O1467" t="s">
        <v>452</v>
      </c>
      <c r="P1467">
        <v>40.095999999999997</v>
      </c>
    </row>
    <row r="1468" spans="1:16">
      <c r="A1468" s="4">
        <v>2017</v>
      </c>
      <c r="B1468" s="4">
        <v>151512</v>
      </c>
      <c r="C1468" t="s">
        <v>933</v>
      </c>
      <c r="D1468" t="s">
        <v>40</v>
      </c>
      <c r="E1468" t="s">
        <v>18</v>
      </c>
      <c r="F1468" t="s">
        <v>4065</v>
      </c>
      <c r="G1468" t="s">
        <v>4066</v>
      </c>
      <c r="H1468" t="s">
        <v>33</v>
      </c>
      <c r="I1468" t="s">
        <v>22</v>
      </c>
      <c r="J1468" t="s">
        <v>636</v>
      </c>
      <c r="K1468" t="s">
        <v>222</v>
      </c>
      <c r="L1468" t="s">
        <v>66</v>
      </c>
      <c r="M1468" t="s">
        <v>4067</v>
      </c>
      <c r="N1468" t="s">
        <v>27</v>
      </c>
      <c r="O1468" t="s">
        <v>228</v>
      </c>
      <c r="P1468">
        <v>18.72</v>
      </c>
    </row>
    <row r="1469" spans="1:16">
      <c r="A1469" s="4">
        <v>2017</v>
      </c>
      <c r="B1469" s="4">
        <v>146794</v>
      </c>
      <c r="C1469" t="s">
        <v>1054</v>
      </c>
      <c r="D1469" t="s">
        <v>1228</v>
      </c>
      <c r="E1469" t="s">
        <v>18</v>
      </c>
      <c r="F1469" t="s">
        <v>4065</v>
      </c>
      <c r="G1469" t="s">
        <v>4066</v>
      </c>
      <c r="H1469" t="s">
        <v>33</v>
      </c>
      <c r="I1469" t="s">
        <v>22</v>
      </c>
      <c r="J1469" t="s">
        <v>2280</v>
      </c>
      <c r="K1469" t="s">
        <v>65</v>
      </c>
      <c r="L1469" t="s">
        <v>66</v>
      </c>
      <c r="M1469" t="s">
        <v>4068</v>
      </c>
      <c r="N1469" t="s">
        <v>79</v>
      </c>
      <c r="O1469" t="s">
        <v>286</v>
      </c>
      <c r="P1469">
        <v>424.95749999999998</v>
      </c>
    </row>
    <row r="1470" spans="1:16">
      <c r="A1470" s="4">
        <v>2018</v>
      </c>
      <c r="B1470" s="4">
        <v>106180</v>
      </c>
      <c r="C1470" t="s">
        <v>697</v>
      </c>
      <c r="D1470" t="s">
        <v>640</v>
      </c>
      <c r="E1470" t="s">
        <v>18</v>
      </c>
      <c r="F1470" t="s">
        <v>4065</v>
      </c>
      <c r="G1470" t="s">
        <v>4066</v>
      </c>
      <c r="H1470" t="s">
        <v>33</v>
      </c>
      <c r="I1470" t="s">
        <v>22</v>
      </c>
      <c r="J1470" t="s">
        <v>226</v>
      </c>
      <c r="K1470" t="s">
        <v>65</v>
      </c>
      <c r="L1470" t="s">
        <v>66</v>
      </c>
      <c r="M1470" t="s">
        <v>4069</v>
      </c>
      <c r="N1470" t="s">
        <v>27</v>
      </c>
      <c r="O1470" t="s">
        <v>28</v>
      </c>
      <c r="P1470">
        <v>8.82</v>
      </c>
    </row>
    <row r="1471" spans="1:16">
      <c r="A1471" s="4">
        <v>2018</v>
      </c>
      <c r="B1471" s="4">
        <v>108245</v>
      </c>
      <c r="C1471" t="s">
        <v>698</v>
      </c>
      <c r="D1471" t="s">
        <v>470</v>
      </c>
      <c r="E1471" t="s">
        <v>18</v>
      </c>
      <c r="F1471" t="s">
        <v>4065</v>
      </c>
      <c r="G1471" t="s">
        <v>4066</v>
      </c>
      <c r="H1471" t="s">
        <v>33</v>
      </c>
      <c r="I1471" t="s">
        <v>22</v>
      </c>
      <c r="J1471" t="s">
        <v>116</v>
      </c>
      <c r="K1471" t="s">
        <v>35</v>
      </c>
      <c r="L1471" t="s">
        <v>36</v>
      </c>
      <c r="M1471" t="s">
        <v>4070</v>
      </c>
      <c r="N1471" t="s">
        <v>27</v>
      </c>
      <c r="O1471" t="s">
        <v>501</v>
      </c>
      <c r="P1471">
        <v>13.391999999999999</v>
      </c>
    </row>
    <row r="1472" spans="1:16">
      <c r="A1472" s="4">
        <v>2018</v>
      </c>
      <c r="B1472" s="4">
        <v>108553</v>
      </c>
      <c r="C1472" t="s">
        <v>4071</v>
      </c>
      <c r="D1472" t="s">
        <v>2121</v>
      </c>
      <c r="E1472" t="s">
        <v>18</v>
      </c>
      <c r="F1472" t="s">
        <v>4072</v>
      </c>
      <c r="G1472" t="s">
        <v>4073</v>
      </c>
      <c r="H1472" t="s">
        <v>33</v>
      </c>
      <c r="I1472" t="s">
        <v>97</v>
      </c>
      <c r="J1472" t="s">
        <v>49</v>
      </c>
      <c r="K1472" t="s">
        <v>50</v>
      </c>
      <c r="L1472" t="s">
        <v>25</v>
      </c>
      <c r="M1472" t="s">
        <v>4074</v>
      </c>
      <c r="N1472" t="s">
        <v>27</v>
      </c>
      <c r="O1472" t="s">
        <v>228</v>
      </c>
      <c r="P1472">
        <v>121.94</v>
      </c>
    </row>
    <row r="1473" spans="1:16">
      <c r="A1473" s="4">
        <v>2017</v>
      </c>
      <c r="B1473" s="4">
        <v>105018</v>
      </c>
      <c r="C1473" t="s">
        <v>2243</v>
      </c>
      <c r="D1473" t="s">
        <v>219</v>
      </c>
      <c r="E1473" t="s">
        <v>18</v>
      </c>
      <c r="F1473" t="s">
        <v>4072</v>
      </c>
      <c r="G1473" t="s">
        <v>4073</v>
      </c>
      <c r="H1473" t="s">
        <v>33</v>
      </c>
      <c r="I1473" t="s">
        <v>97</v>
      </c>
      <c r="J1473" t="s">
        <v>1263</v>
      </c>
      <c r="K1473" t="s">
        <v>390</v>
      </c>
      <c r="L1473" t="s">
        <v>25</v>
      </c>
      <c r="M1473" t="s">
        <v>4075</v>
      </c>
      <c r="N1473" t="s">
        <v>27</v>
      </c>
      <c r="O1473" t="s">
        <v>101</v>
      </c>
      <c r="P1473">
        <v>7.16</v>
      </c>
    </row>
    <row r="1474" spans="1:16">
      <c r="A1474" s="4">
        <v>2015</v>
      </c>
      <c r="B1474" s="4">
        <v>148488</v>
      </c>
      <c r="C1474" t="s">
        <v>944</v>
      </c>
      <c r="D1474" t="s">
        <v>3469</v>
      </c>
      <c r="E1474" t="s">
        <v>18</v>
      </c>
      <c r="F1474" t="s">
        <v>4076</v>
      </c>
      <c r="G1474" t="s">
        <v>4077</v>
      </c>
      <c r="H1474" t="s">
        <v>21</v>
      </c>
      <c r="I1474" t="s">
        <v>97</v>
      </c>
      <c r="J1474" t="s">
        <v>49</v>
      </c>
      <c r="K1474" t="s">
        <v>50</v>
      </c>
      <c r="L1474" t="s">
        <v>25</v>
      </c>
      <c r="M1474" t="s">
        <v>4078</v>
      </c>
      <c r="N1474" t="s">
        <v>27</v>
      </c>
      <c r="O1474" t="s">
        <v>52</v>
      </c>
      <c r="P1474">
        <v>11.36</v>
      </c>
    </row>
    <row r="1475" spans="1:16">
      <c r="A1475" s="4">
        <v>2016</v>
      </c>
      <c r="B1475" s="4">
        <v>154284</v>
      </c>
      <c r="C1475" t="s">
        <v>1991</v>
      </c>
      <c r="D1475" t="s">
        <v>948</v>
      </c>
      <c r="E1475" t="s">
        <v>144</v>
      </c>
      <c r="F1475" t="s">
        <v>4079</v>
      </c>
      <c r="G1475" t="s">
        <v>4080</v>
      </c>
      <c r="H1475" t="s">
        <v>33</v>
      </c>
      <c r="I1475" t="s">
        <v>63</v>
      </c>
      <c r="J1475" t="s">
        <v>937</v>
      </c>
      <c r="K1475" t="s">
        <v>109</v>
      </c>
      <c r="L1475" t="s">
        <v>36</v>
      </c>
      <c r="M1475" t="s">
        <v>1672</v>
      </c>
      <c r="N1475" t="s">
        <v>38</v>
      </c>
      <c r="O1475" t="s">
        <v>39</v>
      </c>
      <c r="P1475">
        <v>600.53</v>
      </c>
    </row>
    <row r="1476" spans="1:16">
      <c r="A1476" s="4">
        <v>2018</v>
      </c>
      <c r="B1476" s="4">
        <v>111024</v>
      </c>
      <c r="C1476" t="s">
        <v>1254</v>
      </c>
      <c r="D1476" t="s">
        <v>436</v>
      </c>
      <c r="E1476" t="s">
        <v>144</v>
      </c>
      <c r="F1476" t="s">
        <v>4079</v>
      </c>
      <c r="G1476" t="s">
        <v>4080</v>
      </c>
      <c r="H1476" t="s">
        <v>33</v>
      </c>
      <c r="I1476" t="s">
        <v>63</v>
      </c>
      <c r="J1476" t="s">
        <v>884</v>
      </c>
      <c r="K1476" t="s">
        <v>237</v>
      </c>
      <c r="L1476" t="s">
        <v>25</v>
      </c>
      <c r="M1476" t="s">
        <v>2678</v>
      </c>
      <c r="N1476" t="s">
        <v>27</v>
      </c>
      <c r="O1476" t="s">
        <v>52</v>
      </c>
      <c r="P1476">
        <v>32.896000000000001</v>
      </c>
    </row>
    <row r="1477" spans="1:16">
      <c r="A1477" s="4">
        <v>2017</v>
      </c>
      <c r="B1477" s="4">
        <v>123533</v>
      </c>
      <c r="C1477" t="s">
        <v>359</v>
      </c>
      <c r="D1477" t="s">
        <v>4081</v>
      </c>
      <c r="E1477" t="s">
        <v>18</v>
      </c>
      <c r="F1477" t="s">
        <v>4082</v>
      </c>
      <c r="G1477" t="s">
        <v>4083</v>
      </c>
      <c r="H1477" t="s">
        <v>33</v>
      </c>
      <c r="I1477" t="s">
        <v>63</v>
      </c>
      <c r="J1477" t="s">
        <v>1002</v>
      </c>
      <c r="K1477" t="s">
        <v>196</v>
      </c>
      <c r="L1477" t="s">
        <v>45</v>
      </c>
      <c r="M1477" t="s">
        <v>117</v>
      </c>
      <c r="N1477" t="s">
        <v>79</v>
      </c>
      <c r="O1477" t="s">
        <v>286</v>
      </c>
      <c r="P1477">
        <v>339.92</v>
      </c>
    </row>
    <row r="1478" spans="1:16">
      <c r="A1478" s="4">
        <v>2017</v>
      </c>
      <c r="B1478" s="4">
        <v>155005</v>
      </c>
      <c r="C1478" t="s">
        <v>4023</v>
      </c>
      <c r="D1478" t="s">
        <v>2303</v>
      </c>
      <c r="E1478" t="s">
        <v>144</v>
      </c>
      <c r="F1478" t="s">
        <v>4082</v>
      </c>
      <c r="G1478" t="s">
        <v>4083</v>
      </c>
      <c r="H1478" t="s">
        <v>33</v>
      </c>
      <c r="I1478" t="s">
        <v>63</v>
      </c>
      <c r="J1478" t="s">
        <v>854</v>
      </c>
      <c r="K1478" t="s">
        <v>855</v>
      </c>
      <c r="L1478" t="s">
        <v>36</v>
      </c>
      <c r="M1478" t="s">
        <v>4084</v>
      </c>
      <c r="N1478" t="s">
        <v>38</v>
      </c>
      <c r="O1478" t="s">
        <v>118</v>
      </c>
      <c r="P1478">
        <v>377.97</v>
      </c>
    </row>
    <row r="1479" spans="1:16">
      <c r="A1479" s="4">
        <v>2018</v>
      </c>
      <c r="B1479" s="4">
        <v>156909</v>
      </c>
      <c r="C1479" t="s">
        <v>4085</v>
      </c>
      <c r="D1479" t="s">
        <v>4086</v>
      </c>
      <c r="E1479" t="s">
        <v>144</v>
      </c>
      <c r="F1479" t="s">
        <v>4087</v>
      </c>
      <c r="G1479" t="s">
        <v>4088</v>
      </c>
      <c r="H1479" t="s">
        <v>33</v>
      </c>
      <c r="I1479" t="s">
        <v>97</v>
      </c>
      <c r="J1479" t="s">
        <v>23</v>
      </c>
      <c r="K1479" t="s">
        <v>24</v>
      </c>
      <c r="L1479" t="s">
        <v>25</v>
      </c>
      <c r="M1479" t="s">
        <v>2563</v>
      </c>
      <c r="N1479" t="s">
        <v>79</v>
      </c>
      <c r="O1479" t="s">
        <v>138</v>
      </c>
      <c r="P1479">
        <v>71.372</v>
      </c>
    </row>
    <row r="1480" spans="1:16">
      <c r="A1480" s="4">
        <v>2016</v>
      </c>
      <c r="B1480" s="4">
        <v>164357</v>
      </c>
      <c r="C1480" t="s">
        <v>973</v>
      </c>
      <c r="D1480" t="s">
        <v>584</v>
      </c>
      <c r="E1480" t="s">
        <v>18</v>
      </c>
      <c r="F1480" t="s">
        <v>4087</v>
      </c>
      <c r="G1480" t="s">
        <v>4088</v>
      </c>
      <c r="H1480" t="s">
        <v>33</v>
      </c>
      <c r="I1480" t="s">
        <v>97</v>
      </c>
      <c r="J1480" t="s">
        <v>653</v>
      </c>
      <c r="K1480" t="s">
        <v>44</v>
      </c>
      <c r="L1480" t="s">
        <v>45</v>
      </c>
      <c r="M1480" t="s">
        <v>4089</v>
      </c>
      <c r="N1480" t="s">
        <v>27</v>
      </c>
      <c r="O1480" t="s">
        <v>28</v>
      </c>
      <c r="P1480">
        <v>13.12</v>
      </c>
    </row>
    <row r="1481" spans="1:16">
      <c r="A1481" s="4">
        <v>2018</v>
      </c>
      <c r="B1481" s="4">
        <v>155376</v>
      </c>
      <c r="C1481" t="s">
        <v>17</v>
      </c>
      <c r="D1481" t="s">
        <v>1556</v>
      </c>
      <c r="E1481" t="s">
        <v>18</v>
      </c>
      <c r="F1481" t="s">
        <v>4090</v>
      </c>
      <c r="G1481" t="s">
        <v>4091</v>
      </c>
      <c r="H1481" t="s">
        <v>21</v>
      </c>
      <c r="I1481" t="s">
        <v>97</v>
      </c>
      <c r="J1481" t="s">
        <v>4092</v>
      </c>
      <c r="K1481" t="s">
        <v>99</v>
      </c>
      <c r="L1481" t="s">
        <v>36</v>
      </c>
      <c r="M1481" t="s">
        <v>4093</v>
      </c>
      <c r="N1481" t="s">
        <v>27</v>
      </c>
      <c r="O1481" t="s">
        <v>228</v>
      </c>
      <c r="P1481">
        <v>839.43</v>
      </c>
    </row>
    <row r="1482" spans="1:16">
      <c r="A1482" s="4">
        <v>2016</v>
      </c>
      <c r="B1482" s="4">
        <v>123568</v>
      </c>
      <c r="C1482" t="s">
        <v>3944</v>
      </c>
      <c r="D1482" t="s">
        <v>1715</v>
      </c>
      <c r="E1482" t="s">
        <v>18</v>
      </c>
      <c r="F1482" t="s">
        <v>4094</v>
      </c>
      <c r="G1482" t="s">
        <v>4095</v>
      </c>
      <c r="H1482" t="s">
        <v>33</v>
      </c>
      <c r="I1482" t="s">
        <v>97</v>
      </c>
      <c r="J1482" t="s">
        <v>265</v>
      </c>
      <c r="K1482" t="s">
        <v>217</v>
      </c>
      <c r="L1482" t="s">
        <v>66</v>
      </c>
      <c r="M1482" t="s">
        <v>4096</v>
      </c>
      <c r="N1482" t="s">
        <v>27</v>
      </c>
      <c r="O1482" t="s">
        <v>452</v>
      </c>
      <c r="P1482">
        <v>5.04</v>
      </c>
    </row>
    <row r="1483" spans="1:16">
      <c r="A1483" s="4">
        <v>2017</v>
      </c>
      <c r="B1483" s="4">
        <v>130638</v>
      </c>
      <c r="C1483" t="s">
        <v>1802</v>
      </c>
      <c r="D1483" t="s">
        <v>3081</v>
      </c>
      <c r="E1483" t="s">
        <v>144</v>
      </c>
      <c r="F1483" t="s">
        <v>4094</v>
      </c>
      <c r="G1483" t="s">
        <v>4095</v>
      </c>
      <c r="H1483" t="s">
        <v>33</v>
      </c>
      <c r="I1483" t="s">
        <v>97</v>
      </c>
      <c r="J1483" t="s">
        <v>64</v>
      </c>
      <c r="K1483" t="s">
        <v>65</v>
      </c>
      <c r="L1483" t="s">
        <v>66</v>
      </c>
      <c r="M1483" t="s">
        <v>4097</v>
      </c>
      <c r="N1483" t="s">
        <v>79</v>
      </c>
      <c r="O1483" t="s">
        <v>80</v>
      </c>
      <c r="P1483">
        <v>282.83999999999997</v>
      </c>
    </row>
    <row r="1484" spans="1:16">
      <c r="A1484" s="4">
        <v>2017</v>
      </c>
      <c r="B1484" s="4">
        <v>126158</v>
      </c>
      <c r="C1484" t="s">
        <v>1338</v>
      </c>
      <c r="D1484" t="s">
        <v>3016</v>
      </c>
      <c r="E1484" t="s">
        <v>18</v>
      </c>
      <c r="F1484" t="s">
        <v>4094</v>
      </c>
      <c r="G1484" t="s">
        <v>4095</v>
      </c>
      <c r="H1484" t="s">
        <v>33</v>
      </c>
      <c r="I1484" t="s">
        <v>97</v>
      </c>
      <c r="J1484" t="s">
        <v>832</v>
      </c>
      <c r="K1484" t="s">
        <v>65</v>
      </c>
      <c r="L1484" t="s">
        <v>66</v>
      </c>
      <c r="M1484" t="s">
        <v>4098</v>
      </c>
      <c r="N1484" t="s">
        <v>27</v>
      </c>
      <c r="O1484" t="s">
        <v>101</v>
      </c>
      <c r="P1484">
        <v>119.616</v>
      </c>
    </row>
    <row r="1485" spans="1:16">
      <c r="A1485" s="4">
        <v>2015</v>
      </c>
      <c r="B1485" s="4">
        <v>110674</v>
      </c>
      <c r="C1485" t="s">
        <v>1477</v>
      </c>
      <c r="D1485" t="s">
        <v>4099</v>
      </c>
      <c r="E1485" t="s">
        <v>18</v>
      </c>
      <c r="F1485" t="s">
        <v>4094</v>
      </c>
      <c r="G1485" t="s">
        <v>4095</v>
      </c>
      <c r="H1485" t="s">
        <v>33</v>
      </c>
      <c r="I1485" t="s">
        <v>97</v>
      </c>
      <c r="J1485" t="s">
        <v>71</v>
      </c>
      <c r="K1485" t="s">
        <v>65</v>
      </c>
      <c r="L1485" t="s">
        <v>66</v>
      </c>
      <c r="M1485" t="s">
        <v>4100</v>
      </c>
      <c r="N1485" t="s">
        <v>79</v>
      </c>
      <c r="O1485" t="s">
        <v>138</v>
      </c>
      <c r="P1485">
        <v>129.56800000000001</v>
      </c>
    </row>
    <row r="1486" spans="1:16">
      <c r="A1486" s="4">
        <v>2017</v>
      </c>
      <c r="B1486" s="4">
        <v>115455</v>
      </c>
      <c r="C1486" t="s">
        <v>485</v>
      </c>
      <c r="D1486" t="s">
        <v>506</v>
      </c>
      <c r="E1486" t="s">
        <v>18</v>
      </c>
      <c r="F1486" t="s">
        <v>4101</v>
      </c>
      <c r="G1486" t="s">
        <v>4102</v>
      </c>
      <c r="H1486" t="s">
        <v>33</v>
      </c>
      <c r="I1486" t="s">
        <v>97</v>
      </c>
      <c r="J1486" t="s">
        <v>4103</v>
      </c>
      <c r="K1486" t="s">
        <v>109</v>
      </c>
      <c r="L1486" t="s">
        <v>36</v>
      </c>
      <c r="M1486" t="s">
        <v>4104</v>
      </c>
      <c r="N1486" t="s">
        <v>79</v>
      </c>
      <c r="O1486" t="s">
        <v>80</v>
      </c>
      <c r="P1486">
        <v>14.135999999999999</v>
      </c>
    </row>
    <row r="1487" spans="1:16">
      <c r="A1487" s="4">
        <v>2016</v>
      </c>
      <c r="B1487" s="4">
        <v>111164</v>
      </c>
      <c r="C1487" t="s">
        <v>1110</v>
      </c>
      <c r="D1487" t="s">
        <v>4105</v>
      </c>
      <c r="E1487" t="s">
        <v>18</v>
      </c>
      <c r="F1487" t="s">
        <v>4101</v>
      </c>
      <c r="G1487" t="s">
        <v>4102</v>
      </c>
      <c r="H1487" t="s">
        <v>33</v>
      </c>
      <c r="I1487" t="s">
        <v>97</v>
      </c>
      <c r="J1487" t="s">
        <v>49</v>
      </c>
      <c r="K1487" t="s">
        <v>50</v>
      </c>
      <c r="L1487" t="s">
        <v>25</v>
      </c>
      <c r="M1487" t="s">
        <v>1971</v>
      </c>
      <c r="N1487" t="s">
        <v>38</v>
      </c>
      <c r="O1487" t="s">
        <v>68</v>
      </c>
      <c r="P1487">
        <v>85.14</v>
      </c>
    </row>
    <row r="1488" spans="1:16">
      <c r="A1488" s="4">
        <v>2018</v>
      </c>
      <c r="B1488" s="4">
        <v>155047</v>
      </c>
      <c r="C1488" t="s">
        <v>351</v>
      </c>
      <c r="D1488" t="s">
        <v>3295</v>
      </c>
      <c r="E1488" t="s">
        <v>42</v>
      </c>
      <c r="F1488" t="s">
        <v>4101</v>
      </c>
      <c r="G1488" t="s">
        <v>4102</v>
      </c>
      <c r="H1488" t="s">
        <v>33</v>
      </c>
      <c r="I1488" t="s">
        <v>97</v>
      </c>
      <c r="J1488" t="s">
        <v>627</v>
      </c>
      <c r="K1488" t="s">
        <v>35</v>
      </c>
      <c r="L1488" t="s">
        <v>36</v>
      </c>
      <c r="M1488" t="s">
        <v>4106</v>
      </c>
      <c r="N1488" t="s">
        <v>27</v>
      </c>
      <c r="O1488" t="s">
        <v>28</v>
      </c>
      <c r="P1488">
        <v>5.952</v>
      </c>
    </row>
    <row r="1489" spans="1:16">
      <c r="A1489" s="4">
        <v>2018</v>
      </c>
      <c r="B1489" s="4">
        <v>166849</v>
      </c>
      <c r="C1489" t="s">
        <v>386</v>
      </c>
      <c r="D1489" t="s">
        <v>4107</v>
      </c>
      <c r="E1489" t="s">
        <v>18</v>
      </c>
      <c r="F1489" t="s">
        <v>4108</v>
      </c>
      <c r="G1489" t="s">
        <v>4109</v>
      </c>
      <c r="H1489" t="s">
        <v>33</v>
      </c>
      <c r="I1489" t="s">
        <v>63</v>
      </c>
      <c r="J1489" t="s">
        <v>108</v>
      </c>
      <c r="K1489" t="s">
        <v>109</v>
      </c>
      <c r="L1489" t="s">
        <v>36</v>
      </c>
      <c r="M1489" t="s">
        <v>4110</v>
      </c>
      <c r="N1489" t="s">
        <v>79</v>
      </c>
      <c r="O1489" t="s">
        <v>80</v>
      </c>
      <c r="P1489">
        <v>44.4</v>
      </c>
    </row>
    <row r="1490" spans="1:16">
      <c r="A1490" s="4">
        <v>2018</v>
      </c>
      <c r="B1490" s="4">
        <v>110212</v>
      </c>
      <c r="C1490" t="s">
        <v>1143</v>
      </c>
      <c r="D1490" t="s">
        <v>454</v>
      </c>
      <c r="E1490" t="s">
        <v>18</v>
      </c>
      <c r="F1490" t="s">
        <v>4108</v>
      </c>
      <c r="G1490" t="s">
        <v>4109</v>
      </c>
      <c r="H1490" t="s">
        <v>33</v>
      </c>
      <c r="I1490" t="s">
        <v>63</v>
      </c>
      <c r="J1490" t="s">
        <v>3196</v>
      </c>
      <c r="K1490" t="s">
        <v>1270</v>
      </c>
      <c r="L1490" t="s">
        <v>45</v>
      </c>
      <c r="M1490" t="s">
        <v>3554</v>
      </c>
      <c r="N1490" t="s">
        <v>38</v>
      </c>
      <c r="O1490" t="s">
        <v>68</v>
      </c>
      <c r="P1490">
        <v>48.9</v>
      </c>
    </row>
    <row r="1491" spans="1:16">
      <c r="A1491" s="4">
        <v>2018</v>
      </c>
      <c r="B1491" s="4">
        <v>129490</v>
      </c>
      <c r="C1491" t="s">
        <v>886</v>
      </c>
      <c r="D1491" t="s">
        <v>665</v>
      </c>
      <c r="E1491" t="s">
        <v>18</v>
      </c>
      <c r="F1491" t="s">
        <v>4108</v>
      </c>
      <c r="G1491" t="s">
        <v>4109</v>
      </c>
      <c r="H1491" t="s">
        <v>33</v>
      </c>
      <c r="I1491" t="s">
        <v>63</v>
      </c>
      <c r="J1491" t="s">
        <v>1569</v>
      </c>
      <c r="K1491" t="s">
        <v>196</v>
      </c>
      <c r="L1491" t="s">
        <v>45</v>
      </c>
      <c r="M1491" t="s">
        <v>4111</v>
      </c>
      <c r="N1491" t="s">
        <v>79</v>
      </c>
      <c r="O1491" t="s">
        <v>138</v>
      </c>
      <c r="P1491">
        <v>419.13600000000002</v>
      </c>
    </row>
    <row r="1492" spans="1:16">
      <c r="A1492" s="4">
        <v>2017</v>
      </c>
      <c r="B1492" s="4">
        <v>159730</v>
      </c>
      <c r="C1492" t="s">
        <v>561</v>
      </c>
      <c r="D1492" t="s">
        <v>4112</v>
      </c>
      <c r="E1492" t="s">
        <v>18</v>
      </c>
      <c r="F1492" t="s">
        <v>4108</v>
      </c>
      <c r="G1492" t="s">
        <v>4109</v>
      </c>
      <c r="H1492" t="s">
        <v>33</v>
      </c>
      <c r="I1492" t="s">
        <v>63</v>
      </c>
      <c r="J1492" t="s">
        <v>271</v>
      </c>
      <c r="K1492" t="s">
        <v>165</v>
      </c>
      <c r="L1492" t="s">
        <v>66</v>
      </c>
      <c r="M1492" t="s">
        <v>4113</v>
      </c>
      <c r="N1492" t="s">
        <v>79</v>
      </c>
      <c r="O1492" t="s">
        <v>138</v>
      </c>
      <c r="P1492">
        <v>113.88800000000001</v>
      </c>
    </row>
    <row r="1493" spans="1:16">
      <c r="A1493" s="4">
        <v>2018</v>
      </c>
      <c r="B1493" s="4">
        <v>136063</v>
      </c>
      <c r="C1493" t="s">
        <v>2434</v>
      </c>
      <c r="D1493" t="s">
        <v>374</v>
      </c>
      <c r="E1493" t="s">
        <v>18</v>
      </c>
      <c r="F1493" t="s">
        <v>4114</v>
      </c>
      <c r="G1493" t="s">
        <v>4115</v>
      </c>
      <c r="H1493" t="s">
        <v>33</v>
      </c>
      <c r="I1493" t="s">
        <v>22</v>
      </c>
      <c r="J1493" t="s">
        <v>4116</v>
      </c>
      <c r="K1493" t="s">
        <v>109</v>
      </c>
      <c r="L1493" t="s">
        <v>36</v>
      </c>
      <c r="M1493" t="s">
        <v>4117</v>
      </c>
      <c r="N1493" t="s">
        <v>27</v>
      </c>
      <c r="O1493" t="s">
        <v>28</v>
      </c>
      <c r="P1493">
        <v>10.192</v>
      </c>
    </row>
    <row r="1494" spans="1:16">
      <c r="A1494" s="4">
        <v>2018</v>
      </c>
      <c r="B1494" s="4">
        <v>165603</v>
      </c>
      <c r="C1494" t="s">
        <v>399</v>
      </c>
      <c r="D1494" t="s">
        <v>659</v>
      </c>
      <c r="E1494" t="s">
        <v>144</v>
      </c>
      <c r="F1494" t="s">
        <v>4114</v>
      </c>
      <c r="G1494" t="s">
        <v>4115</v>
      </c>
      <c r="H1494" t="s">
        <v>33</v>
      </c>
      <c r="I1494" t="s">
        <v>22</v>
      </c>
      <c r="J1494" t="s">
        <v>1306</v>
      </c>
      <c r="K1494" t="s">
        <v>838</v>
      </c>
      <c r="L1494" t="s">
        <v>25</v>
      </c>
      <c r="M1494" t="s">
        <v>4118</v>
      </c>
      <c r="N1494" t="s">
        <v>27</v>
      </c>
      <c r="O1494" t="s">
        <v>58</v>
      </c>
      <c r="P1494">
        <v>49.96</v>
      </c>
    </row>
    <row r="1495" spans="1:16">
      <c r="A1495" s="4">
        <v>2016</v>
      </c>
      <c r="B1495" s="4">
        <v>153549</v>
      </c>
      <c r="C1495" t="s">
        <v>1806</v>
      </c>
      <c r="D1495" t="s">
        <v>790</v>
      </c>
      <c r="E1495" t="s">
        <v>144</v>
      </c>
      <c r="F1495" t="s">
        <v>4119</v>
      </c>
      <c r="G1495" t="s">
        <v>4120</v>
      </c>
      <c r="H1495" t="s">
        <v>33</v>
      </c>
      <c r="I1495" t="s">
        <v>63</v>
      </c>
      <c r="J1495" t="s">
        <v>43</v>
      </c>
      <c r="K1495" t="s">
        <v>196</v>
      </c>
      <c r="L1495" t="s">
        <v>45</v>
      </c>
      <c r="M1495" t="s">
        <v>955</v>
      </c>
      <c r="N1495" t="s">
        <v>79</v>
      </c>
      <c r="O1495" t="s">
        <v>138</v>
      </c>
      <c r="P1495">
        <v>1166.92</v>
      </c>
    </row>
    <row r="1496" spans="1:16">
      <c r="A1496" s="4">
        <v>2018</v>
      </c>
      <c r="B1496" s="4">
        <v>145884</v>
      </c>
      <c r="C1496" t="s">
        <v>544</v>
      </c>
      <c r="D1496" t="s">
        <v>544</v>
      </c>
      <c r="E1496" t="s">
        <v>132</v>
      </c>
      <c r="F1496" t="s">
        <v>4119</v>
      </c>
      <c r="G1496" t="s">
        <v>4120</v>
      </c>
      <c r="H1496" t="s">
        <v>33</v>
      </c>
      <c r="I1496" t="s">
        <v>63</v>
      </c>
      <c r="J1496" t="s">
        <v>4121</v>
      </c>
      <c r="K1496" t="s">
        <v>152</v>
      </c>
      <c r="L1496" t="s">
        <v>36</v>
      </c>
      <c r="M1496" t="s">
        <v>4122</v>
      </c>
      <c r="N1496" t="s">
        <v>38</v>
      </c>
      <c r="O1496" t="s">
        <v>118</v>
      </c>
      <c r="P1496">
        <v>1439.92</v>
      </c>
    </row>
    <row r="1497" spans="1:16">
      <c r="A1497" s="4">
        <v>2018</v>
      </c>
      <c r="B1497" s="4">
        <v>108441</v>
      </c>
      <c r="C1497" t="s">
        <v>730</v>
      </c>
      <c r="D1497" t="s">
        <v>4123</v>
      </c>
      <c r="E1497" t="s">
        <v>18</v>
      </c>
      <c r="F1497" t="s">
        <v>4124</v>
      </c>
      <c r="G1497" t="s">
        <v>4125</v>
      </c>
      <c r="H1497" t="s">
        <v>21</v>
      </c>
      <c r="I1497" t="s">
        <v>97</v>
      </c>
      <c r="J1497" t="s">
        <v>49</v>
      </c>
      <c r="K1497" t="s">
        <v>50</v>
      </c>
      <c r="L1497" t="s">
        <v>25</v>
      </c>
      <c r="M1497" t="s">
        <v>4126</v>
      </c>
      <c r="N1497" t="s">
        <v>27</v>
      </c>
      <c r="O1497" t="s">
        <v>52</v>
      </c>
      <c r="P1497">
        <v>19.04</v>
      </c>
    </row>
    <row r="1498" spans="1:16">
      <c r="A1498" s="4">
        <v>2016</v>
      </c>
      <c r="B1498" s="4">
        <v>146675</v>
      </c>
      <c r="C1498" t="s">
        <v>3083</v>
      </c>
      <c r="D1498" t="s">
        <v>1717</v>
      </c>
      <c r="E1498" t="s">
        <v>18</v>
      </c>
      <c r="F1498" t="s">
        <v>4127</v>
      </c>
      <c r="G1498" t="s">
        <v>4128</v>
      </c>
      <c r="H1498" t="s">
        <v>21</v>
      </c>
      <c r="I1498" t="s">
        <v>97</v>
      </c>
      <c r="J1498" t="s">
        <v>820</v>
      </c>
      <c r="K1498" t="s">
        <v>109</v>
      </c>
      <c r="L1498" t="s">
        <v>36</v>
      </c>
      <c r="M1498" t="s">
        <v>4129</v>
      </c>
      <c r="N1498" t="s">
        <v>38</v>
      </c>
      <c r="O1498" t="s">
        <v>190</v>
      </c>
      <c r="P1498">
        <v>1439.9680000000001</v>
      </c>
    </row>
    <row r="1499" spans="1:16">
      <c r="A1499" s="4">
        <v>2018</v>
      </c>
      <c r="B1499" s="4">
        <v>158505</v>
      </c>
      <c r="C1499" t="s">
        <v>247</v>
      </c>
      <c r="D1499" t="s">
        <v>247</v>
      </c>
      <c r="E1499" t="s">
        <v>132</v>
      </c>
      <c r="F1499" t="s">
        <v>4130</v>
      </c>
      <c r="G1499" t="s">
        <v>4131</v>
      </c>
      <c r="H1499" t="s">
        <v>33</v>
      </c>
      <c r="I1499" t="s">
        <v>97</v>
      </c>
      <c r="J1499" t="s">
        <v>2490</v>
      </c>
      <c r="K1499" t="s">
        <v>217</v>
      </c>
      <c r="L1499" t="s">
        <v>66</v>
      </c>
      <c r="M1499" t="s">
        <v>3360</v>
      </c>
      <c r="N1499" t="s">
        <v>38</v>
      </c>
      <c r="O1499" t="s">
        <v>118</v>
      </c>
      <c r="P1499">
        <v>71.927999999999997</v>
      </c>
    </row>
    <row r="1500" spans="1:16">
      <c r="A1500" s="4">
        <v>2016</v>
      </c>
      <c r="B1500" s="4">
        <v>120341</v>
      </c>
      <c r="C1500" t="s">
        <v>1040</v>
      </c>
      <c r="D1500" t="s">
        <v>1563</v>
      </c>
      <c r="E1500" t="s">
        <v>144</v>
      </c>
      <c r="F1500" t="s">
        <v>4130</v>
      </c>
      <c r="G1500" t="s">
        <v>4131</v>
      </c>
      <c r="H1500" t="s">
        <v>33</v>
      </c>
      <c r="I1500" t="s">
        <v>97</v>
      </c>
      <c r="J1500" t="s">
        <v>23</v>
      </c>
      <c r="K1500" t="s">
        <v>24</v>
      </c>
      <c r="L1500" t="s">
        <v>25</v>
      </c>
      <c r="M1500" t="s">
        <v>4132</v>
      </c>
      <c r="N1500" t="s">
        <v>27</v>
      </c>
      <c r="O1500" t="s">
        <v>101</v>
      </c>
      <c r="P1500">
        <v>121.104</v>
      </c>
    </row>
    <row r="1501" spans="1:16">
      <c r="A1501" s="4">
        <v>2018</v>
      </c>
      <c r="B1501" s="4">
        <v>123967</v>
      </c>
      <c r="C1501" t="s">
        <v>4133</v>
      </c>
      <c r="D1501" t="s">
        <v>1584</v>
      </c>
      <c r="E1501" t="s">
        <v>144</v>
      </c>
      <c r="F1501" t="s">
        <v>4130</v>
      </c>
      <c r="G1501" t="s">
        <v>4131</v>
      </c>
      <c r="H1501" t="s">
        <v>33</v>
      </c>
      <c r="I1501" t="s">
        <v>97</v>
      </c>
      <c r="J1501" t="s">
        <v>4134</v>
      </c>
      <c r="K1501" t="s">
        <v>165</v>
      </c>
      <c r="L1501" t="s">
        <v>66</v>
      </c>
      <c r="M1501" t="s">
        <v>4135</v>
      </c>
      <c r="N1501" t="s">
        <v>27</v>
      </c>
      <c r="O1501" t="s">
        <v>101</v>
      </c>
      <c r="P1501">
        <v>25.12</v>
      </c>
    </row>
    <row r="1502" spans="1:16">
      <c r="A1502" s="4">
        <v>2017</v>
      </c>
      <c r="B1502" s="4">
        <v>127250</v>
      </c>
      <c r="C1502" t="s">
        <v>1404</v>
      </c>
      <c r="D1502" t="s">
        <v>1388</v>
      </c>
      <c r="E1502" t="s">
        <v>18</v>
      </c>
      <c r="F1502" t="s">
        <v>4130</v>
      </c>
      <c r="G1502" t="s">
        <v>4131</v>
      </c>
      <c r="H1502" t="s">
        <v>33</v>
      </c>
      <c r="I1502" t="s">
        <v>97</v>
      </c>
      <c r="J1502" t="s">
        <v>4136</v>
      </c>
      <c r="K1502" t="s">
        <v>165</v>
      </c>
      <c r="L1502" t="s">
        <v>66</v>
      </c>
      <c r="M1502" t="s">
        <v>272</v>
      </c>
      <c r="N1502" t="s">
        <v>27</v>
      </c>
      <c r="O1502" t="s">
        <v>28</v>
      </c>
      <c r="P1502">
        <v>8.82</v>
      </c>
    </row>
    <row r="1503" spans="1:16">
      <c r="A1503" s="4">
        <v>2018</v>
      </c>
      <c r="B1503" s="4">
        <v>113355</v>
      </c>
      <c r="C1503" t="s">
        <v>1397</v>
      </c>
      <c r="D1503" t="s">
        <v>103</v>
      </c>
      <c r="E1503" t="s">
        <v>18</v>
      </c>
      <c r="F1503" t="s">
        <v>4137</v>
      </c>
      <c r="G1503" t="s">
        <v>4138</v>
      </c>
      <c r="H1503" t="s">
        <v>21</v>
      </c>
      <c r="I1503" t="s">
        <v>97</v>
      </c>
      <c r="J1503" t="s">
        <v>308</v>
      </c>
      <c r="K1503" t="s">
        <v>35</v>
      </c>
      <c r="L1503" t="s">
        <v>36</v>
      </c>
      <c r="M1503" t="s">
        <v>4139</v>
      </c>
      <c r="N1503" t="s">
        <v>38</v>
      </c>
      <c r="O1503" t="s">
        <v>118</v>
      </c>
      <c r="P1503">
        <v>219.8</v>
      </c>
    </row>
    <row r="1504" spans="1:16">
      <c r="A1504" s="4">
        <v>2017</v>
      </c>
      <c r="B1504" s="4">
        <v>156685</v>
      </c>
      <c r="C1504" t="s">
        <v>1262</v>
      </c>
      <c r="D1504" t="s">
        <v>329</v>
      </c>
      <c r="E1504" t="s">
        <v>144</v>
      </c>
      <c r="F1504" t="s">
        <v>4140</v>
      </c>
      <c r="G1504" t="s">
        <v>4141</v>
      </c>
      <c r="H1504" t="s">
        <v>21</v>
      </c>
      <c r="I1504" t="s">
        <v>22</v>
      </c>
      <c r="J1504" t="s">
        <v>55</v>
      </c>
      <c r="K1504" t="s">
        <v>35</v>
      </c>
      <c r="L1504" t="s">
        <v>36</v>
      </c>
      <c r="M1504" t="s">
        <v>3010</v>
      </c>
      <c r="N1504" t="s">
        <v>38</v>
      </c>
      <c r="O1504" t="s">
        <v>118</v>
      </c>
      <c r="P1504">
        <v>863.64</v>
      </c>
    </row>
    <row r="1505" spans="1:16">
      <c r="A1505" s="4">
        <v>2017</v>
      </c>
      <c r="B1505" s="4">
        <v>130267</v>
      </c>
      <c r="C1505" t="s">
        <v>509</v>
      </c>
      <c r="D1505" t="s">
        <v>1053</v>
      </c>
      <c r="E1505" t="s">
        <v>18</v>
      </c>
      <c r="F1505" t="s">
        <v>4142</v>
      </c>
      <c r="G1505" t="s">
        <v>4143</v>
      </c>
      <c r="H1505" t="s">
        <v>33</v>
      </c>
      <c r="I1505" t="s">
        <v>97</v>
      </c>
      <c r="J1505" t="s">
        <v>302</v>
      </c>
      <c r="K1505" t="s">
        <v>65</v>
      </c>
      <c r="L1505" t="s">
        <v>66</v>
      </c>
      <c r="M1505" t="s">
        <v>2448</v>
      </c>
      <c r="N1505" t="s">
        <v>27</v>
      </c>
      <c r="O1505" t="s">
        <v>52</v>
      </c>
      <c r="P1505">
        <v>159.88</v>
      </c>
    </row>
    <row r="1506" spans="1:16">
      <c r="A1506" s="4">
        <v>2015</v>
      </c>
      <c r="B1506" s="4">
        <v>142965</v>
      </c>
      <c r="C1506" t="s">
        <v>4144</v>
      </c>
      <c r="D1506" t="s">
        <v>4144</v>
      </c>
      <c r="E1506" t="s">
        <v>132</v>
      </c>
      <c r="F1506" t="s">
        <v>4142</v>
      </c>
      <c r="G1506" t="s">
        <v>4143</v>
      </c>
      <c r="H1506" t="s">
        <v>33</v>
      </c>
      <c r="I1506" t="s">
        <v>97</v>
      </c>
      <c r="J1506" t="s">
        <v>98</v>
      </c>
      <c r="K1506" t="s">
        <v>237</v>
      </c>
      <c r="L1506" t="s">
        <v>25</v>
      </c>
      <c r="M1506" t="s">
        <v>1237</v>
      </c>
      <c r="N1506" t="s">
        <v>27</v>
      </c>
      <c r="O1506" t="s">
        <v>58</v>
      </c>
      <c r="P1506">
        <v>25.984000000000002</v>
      </c>
    </row>
    <row r="1507" spans="1:16">
      <c r="A1507" s="4">
        <v>2018</v>
      </c>
      <c r="B1507" s="4">
        <v>144680</v>
      </c>
      <c r="C1507" t="s">
        <v>1194</v>
      </c>
      <c r="D1507" t="s">
        <v>1195</v>
      </c>
      <c r="E1507" t="s">
        <v>42</v>
      </c>
      <c r="F1507" t="s">
        <v>4145</v>
      </c>
      <c r="G1507" t="s">
        <v>4146</v>
      </c>
      <c r="H1507" t="s">
        <v>33</v>
      </c>
      <c r="I1507" t="s">
        <v>22</v>
      </c>
      <c r="J1507" t="s">
        <v>55</v>
      </c>
      <c r="K1507" t="s">
        <v>35</v>
      </c>
      <c r="L1507" t="s">
        <v>36</v>
      </c>
      <c r="M1507" t="s">
        <v>2055</v>
      </c>
      <c r="N1507" t="s">
        <v>27</v>
      </c>
      <c r="O1507" t="s">
        <v>228</v>
      </c>
      <c r="P1507">
        <v>33.619999999999997</v>
      </c>
    </row>
    <row r="1508" spans="1:16">
      <c r="A1508" s="4">
        <v>2016</v>
      </c>
      <c r="B1508" s="4">
        <v>111514</v>
      </c>
      <c r="C1508" t="s">
        <v>406</v>
      </c>
      <c r="D1508" t="s">
        <v>4147</v>
      </c>
      <c r="E1508" t="s">
        <v>42</v>
      </c>
      <c r="F1508" t="s">
        <v>4145</v>
      </c>
      <c r="G1508" t="s">
        <v>4146</v>
      </c>
      <c r="H1508" t="s">
        <v>33</v>
      </c>
      <c r="I1508" t="s">
        <v>22</v>
      </c>
      <c r="J1508" t="s">
        <v>226</v>
      </c>
      <c r="K1508" t="s">
        <v>65</v>
      </c>
      <c r="L1508" t="s">
        <v>66</v>
      </c>
      <c r="M1508" t="s">
        <v>4148</v>
      </c>
      <c r="N1508" t="s">
        <v>79</v>
      </c>
      <c r="O1508" t="s">
        <v>286</v>
      </c>
      <c r="P1508">
        <v>1552.8309999999999</v>
      </c>
    </row>
    <row r="1509" spans="1:16">
      <c r="A1509" s="4">
        <v>2015</v>
      </c>
      <c r="B1509" s="4">
        <v>100279</v>
      </c>
      <c r="C1509" t="s">
        <v>2963</v>
      </c>
      <c r="D1509" t="s">
        <v>2975</v>
      </c>
      <c r="E1509" t="s">
        <v>18</v>
      </c>
      <c r="F1509" t="s">
        <v>4149</v>
      </c>
      <c r="G1509" t="s">
        <v>4150</v>
      </c>
      <c r="H1509" t="s">
        <v>21</v>
      </c>
      <c r="I1509" t="s">
        <v>97</v>
      </c>
      <c r="J1509" t="s">
        <v>4151</v>
      </c>
      <c r="K1509" t="s">
        <v>855</v>
      </c>
      <c r="L1509" t="s">
        <v>36</v>
      </c>
      <c r="M1509" t="s">
        <v>4152</v>
      </c>
      <c r="N1509" t="s">
        <v>27</v>
      </c>
      <c r="O1509" t="s">
        <v>52</v>
      </c>
      <c r="P1509">
        <v>22.38</v>
      </c>
    </row>
    <row r="1510" spans="1:16">
      <c r="A1510" s="4">
        <v>2015</v>
      </c>
      <c r="B1510" s="4">
        <v>106992</v>
      </c>
      <c r="C1510" t="s">
        <v>662</v>
      </c>
      <c r="D1510" t="s">
        <v>539</v>
      </c>
      <c r="E1510" t="s">
        <v>144</v>
      </c>
      <c r="F1510" t="s">
        <v>4153</v>
      </c>
      <c r="G1510" t="s">
        <v>4154</v>
      </c>
      <c r="H1510" t="s">
        <v>33</v>
      </c>
      <c r="I1510" t="s">
        <v>22</v>
      </c>
      <c r="J1510" t="s">
        <v>183</v>
      </c>
      <c r="K1510" t="s">
        <v>35</v>
      </c>
      <c r="L1510" t="s">
        <v>36</v>
      </c>
      <c r="M1510" t="s">
        <v>3540</v>
      </c>
      <c r="N1510" t="s">
        <v>38</v>
      </c>
      <c r="O1510" t="s">
        <v>39</v>
      </c>
      <c r="P1510">
        <v>3059.982</v>
      </c>
    </row>
    <row r="1511" spans="1:16">
      <c r="A1511" s="4">
        <v>2017</v>
      </c>
      <c r="B1511" s="4">
        <v>158575</v>
      </c>
      <c r="C1511" t="s">
        <v>644</v>
      </c>
      <c r="D1511" t="s">
        <v>359</v>
      </c>
      <c r="E1511" t="s">
        <v>18</v>
      </c>
      <c r="F1511" t="s">
        <v>4153</v>
      </c>
      <c r="G1511" t="s">
        <v>4154</v>
      </c>
      <c r="H1511" t="s">
        <v>33</v>
      </c>
      <c r="I1511" t="s">
        <v>22</v>
      </c>
      <c r="J1511" t="s">
        <v>2572</v>
      </c>
      <c r="K1511" t="s">
        <v>237</v>
      </c>
      <c r="L1511" t="s">
        <v>25</v>
      </c>
      <c r="M1511" t="s">
        <v>4155</v>
      </c>
      <c r="N1511" t="s">
        <v>27</v>
      </c>
      <c r="O1511" t="s">
        <v>228</v>
      </c>
      <c r="P1511">
        <v>103.968</v>
      </c>
    </row>
    <row r="1512" spans="1:16">
      <c r="A1512" s="4">
        <v>2018</v>
      </c>
      <c r="B1512" s="4">
        <v>165344</v>
      </c>
      <c r="C1512" t="s">
        <v>1331</v>
      </c>
      <c r="D1512" t="s">
        <v>1568</v>
      </c>
      <c r="E1512" t="s">
        <v>42</v>
      </c>
      <c r="F1512" t="s">
        <v>4153</v>
      </c>
      <c r="G1512" t="s">
        <v>4154</v>
      </c>
      <c r="H1512" t="s">
        <v>33</v>
      </c>
      <c r="I1512" t="s">
        <v>22</v>
      </c>
      <c r="J1512" t="s">
        <v>98</v>
      </c>
      <c r="K1512" t="s">
        <v>237</v>
      </c>
      <c r="L1512" t="s">
        <v>25</v>
      </c>
      <c r="M1512" t="s">
        <v>4156</v>
      </c>
      <c r="N1512" t="s">
        <v>38</v>
      </c>
      <c r="O1512" t="s">
        <v>68</v>
      </c>
      <c r="P1512">
        <v>60.863999999999997</v>
      </c>
    </row>
    <row r="1513" spans="1:16">
      <c r="A1513" s="4">
        <v>2018</v>
      </c>
      <c r="B1513" s="4">
        <v>106103</v>
      </c>
      <c r="C1513" t="s">
        <v>775</v>
      </c>
      <c r="D1513" t="s">
        <v>4157</v>
      </c>
      <c r="E1513" t="s">
        <v>18</v>
      </c>
      <c r="F1513" t="s">
        <v>4158</v>
      </c>
      <c r="G1513" t="s">
        <v>4159</v>
      </c>
      <c r="H1513" t="s">
        <v>21</v>
      </c>
      <c r="I1513" t="s">
        <v>97</v>
      </c>
      <c r="J1513" t="s">
        <v>4160</v>
      </c>
      <c r="K1513" t="s">
        <v>855</v>
      </c>
      <c r="L1513" t="s">
        <v>36</v>
      </c>
      <c r="M1513" t="s">
        <v>1775</v>
      </c>
      <c r="N1513" t="s">
        <v>38</v>
      </c>
      <c r="O1513" t="s">
        <v>68</v>
      </c>
      <c r="P1513">
        <v>132.52000000000001</v>
      </c>
    </row>
    <row r="1514" spans="1:16">
      <c r="A1514" s="4">
        <v>2018</v>
      </c>
      <c r="B1514" s="4">
        <v>149146</v>
      </c>
      <c r="C1514" t="s">
        <v>3323</v>
      </c>
      <c r="D1514" t="s">
        <v>3323</v>
      </c>
      <c r="E1514" t="s">
        <v>132</v>
      </c>
      <c r="F1514" t="s">
        <v>4161</v>
      </c>
      <c r="G1514" t="s">
        <v>4162</v>
      </c>
      <c r="H1514" t="s">
        <v>33</v>
      </c>
      <c r="I1514" t="s">
        <v>63</v>
      </c>
      <c r="J1514" t="s">
        <v>3488</v>
      </c>
      <c r="K1514" t="s">
        <v>44</v>
      </c>
      <c r="L1514" t="s">
        <v>45</v>
      </c>
      <c r="M1514" t="s">
        <v>2421</v>
      </c>
      <c r="N1514" t="s">
        <v>27</v>
      </c>
      <c r="O1514" t="s">
        <v>52</v>
      </c>
      <c r="P1514">
        <v>7.968</v>
      </c>
    </row>
    <row r="1515" spans="1:16">
      <c r="A1515" s="4">
        <v>2015</v>
      </c>
      <c r="B1515" s="4">
        <v>145317</v>
      </c>
      <c r="C1515" t="s">
        <v>4163</v>
      </c>
      <c r="D1515" t="s">
        <v>4164</v>
      </c>
      <c r="E1515" t="s">
        <v>18</v>
      </c>
      <c r="F1515" t="s">
        <v>4161</v>
      </c>
      <c r="G1515" t="s">
        <v>4162</v>
      </c>
      <c r="H1515" t="s">
        <v>33</v>
      </c>
      <c r="I1515" t="s">
        <v>63</v>
      </c>
      <c r="J1515" t="s">
        <v>43</v>
      </c>
      <c r="K1515" t="s">
        <v>196</v>
      </c>
      <c r="L1515" t="s">
        <v>45</v>
      </c>
      <c r="M1515" t="s">
        <v>4165</v>
      </c>
      <c r="N1515" t="s">
        <v>38</v>
      </c>
      <c r="O1515" t="s">
        <v>39</v>
      </c>
      <c r="P1515">
        <v>821.3</v>
      </c>
    </row>
    <row r="1516" spans="1:16">
      <c r="A1516" s="4">
        <v>2016</v>
      </c>
      <c r="B1516" s="4">
        <v>161718</v>
      </c>
      <c r="C1516" t="s">
        <v>876</v>
      </c>
      <c r="D1516" t="s">
        <v>2472</v>
      </c>
      <c r="E1516" t="s">
        <v>18</v>
      </c>
      <c r="F1516" t="s">
        <v>4166</v>
      </c>
      <c r="G1516" t="s">
        <v>4167</v>
      </c>
      <c r="H1516" t="s">
        <v>33</v>
      </c>
      <c r="I1516" t="s">
        <v>97</v>
      </c>
      <c r="J1516" t="s">
        <v>1251</v>
      </c>
      <c r="K1516" t="s">
        <v>50</v>
      </c>
      <c r="L1516" t="s">
        <v>25</v>
      </c>
      <c r="M1516" t="s">
        <v>4022</v>
      </c>
      <c r="N1516" t="s">
        <v>79</v>
      </c>
      <c r="O1516" t="s">
        <v>80</v>
      </c>
      <c r="P1516">
        <v>28.44</v>
      </c>
    </row>
    <row r="1517" spans="1:16">
      <c r="A1517" s="4">
        <v>2016</v>
      </c>
      <c r="B1517" s="4">
        <v>108966</v>
      </c>
      <c r="C1517" t="s">
        <v>4168</v>
      </c>
      <c r="D1517" t="s">
        <v>4169</v>
      </c>
      <c r="E1517" t="s">
        <v>18</v>
      </c>
      <c r="F1517" t="s">
        <v>4166</v>
      </c>
      <c r="G1517" t="s">
        <v>4167</v>
      </c>
      <c r="H1517" t="s">
        <v>33</v>
      </c>
      <c r="I1517" t="s">
        <v>97</v>
      </c>
      <c r="J1517" t="s">
        <v>4170</v>
      </c>
      <c r="K1517" t="s">
        <v>196</v>
      </c>
      <c r="L1517" t="s">
        <v>45</v>
      </c>
      <c r="M1517" t="s">
        <v>4171</v>
      </c>
      <c r="N1517" t="s">
        <v>79</v>
      </c>
      <c r="O1517" t="s">
        <v>347</v>
      </c>
      <c r="P1517">
        <v>957.57749999999999</v>
      </c>
    </row>
    <row r="1518" spans="1:16">
      <c r="A1518" s="4">
        <v>2017</v>
      </c>
      <c r="B1518" s="4">
        <v>128517</v>
      </c>
      <c r="C1518" t="s">
        <v>2863</v>
      </c>
      <c r="D1518" t="s">
        <v>2102</v>
      </c>
      <c r="E1518" t="s">
        <v>144</v>
      </c>
      <c r="F1518" t="s">
        <v>4172</v>
      </c>
      <c r="G1518" t="s">
        <v>4173</v>
      </c>
      <c r="H1518" t="s">
        <v>33</v>
      </c>
      <c r="I1518" t="s">
        <v>63</v>
      </c>
      <c r="J1518" t="s">
        <v>879</v>
      </c>
      <c r="K1518" t="s">
        <v>855</v>
      </c>
      <c r="L1518" t="s">
        <v>36</v>
      </c>
      <c r="M1518" t="s">
        <v>4174</v>
      </c>
      <c r="N1518" t="s">
        <v>38</v>
      </c>
      <c r="O1518" t="s">
        <v>118</v>
      </c>
      <c r="P1518">
        <v>517.9</v>
      </c>
    </row>
    <row r="1519" spans="1:16">
      <c r="A1519" s="4">
        <v>2017</v>
      </c>
      <c r="B1519" s="4">
        <v>133508</v>
      </c>
      <c r="C1519" t="s">
        <v>843</v>
      </c>
      <c r="D1519" t="s">
        <v>4012</v>
      </c>
      <c r="E1519" t="s">
        <v>18</v>
      </c>
      <c r="F1519" t="s">
        <v>4172</v>
      </c>
      <c r="G1519" t="s">
        <v>4173</v>
      </c>
      <c r="H1519" t="s">
        <v>33</v>
      </c>
      <c r="I1519" t="s">
        <v>63</v>
      </c>
      <c r="J1519" t="s">
        <v>312</v>
      </c>
      <c r="K1519" t="s">
        <v>313</v>
      </c>
      <c r="L1519" t="s">
        <v>36</v>
      </c>
      <c r="M1519" t="s">
        <v>2274</v>
      </c>
      <c r="N1519" t="s">
        <v>27</v>
      </c>
      <c r="O1519" t="s">
        <v>452</v>
      </c>
      <c r="P1519">
        <v>29.05</v>
      </c>
    </row>
    <row r="1520" spans="1:16">
      <c r="A1520" s="4">
        <v>2018</v>
      </c>
      <c r="B1520" s="4">
        <v>161200</v>
      </c>
      <c r="C1520" t="s">
        <v>2216</v>
      </c>
      <c r="D1520" t="s">
        <v>4175</v>
      </c>
      <c r="E1520" t="s">
        <v>144</v>
      </c>
      <c r="F1520" t="s">
        <v>4176</v>
      </c>
      <c r="G1520" t="s">
        <v>4177</v>
      </c>
      <c r="H1520" t="s">
        <v>33</v>
      </c>
      <c r="I1520" t="s">
        <v>97</v>
      </c>
      <c r="J1520" t="s">
        <v>376</v>
      </c>
      <c r="K1520" t="s">
        <v>377</v>
      </c>
      <c r="L1520" t="s">
        <v>45</v>
      </c>
      <c r="M1520" t="s">
        <v>4178</v>
      </c>
      <c r="N1520" t="s">
        <v>79</v>
      </c>
      <c r="O1520" t="s">
        <v>286</v>
      </c>
      <c r="P1520">
        <v>145.74</v>
      </c>
    </row>
    <row r="1521" spans="1:16">
      <c r="A1521" s="4">
        <v>2015</v>
      </c>
      <c r="B1521" s="4">
        <v>130092</v>
      </c>
      <c r="C1521" t="s">
        <v>4179</v>
      </c>
      <c r="D1521" t="s">
        <v>4180</v>
      </c>
      <c r="E1521" t="s">
        <v>42</v>
      </c>
      <c r="F1521" t="s">
        <v>4176</v>
      </c>
      <c r="G1521" t="s">
        <v>4177</v>
      </c>
      <c r="H1521" t="s">
        <v>33</v>
      </c>
      <c r="I1521" t="s">
        <v>97</v>
      </c>
      <c r="J1521" t="s">
        <v>2258</v>
      </c>
      <c r="K1521" t="s">
        <v>1392</v>
      </c>
      <c r="L1521" t="s">
        <v>25</v>
      </c>
      <c r="M1521" t="s">
        <v>4181</v>
      </c>
      <c r="N1521" t="s">
        <v>79</v>
      </c>
      <c r="O1521" t="s">
        <v>80</v>
      </c>
      <c r="P1521">
        <v>9.94</v>
      </c>
    </row>
    <row r="1522" spans="1:16">
      <c r="A1522" s="4">
        <v>2018</v>
      </c>
      <c r="B1522" s="4">
        <v>142090</v>
      </c>
      <c r="C1522" t="s">
        <v>82</v>
      </c>
      <c r="D1522" t="s">
        <v>1746</v>
      </c>
      <c r="E1522" t="s">
        <v>18</v>
      </c>
      <c r="F1522" t="s">
        <v>4182</v>
      </c>
      <c r="G1522" t="s">
        <v>4183</v>
      </c>
      <c r="H1522" t="s">
        <v>33</v>
      </c>
      <c r="I1522" t="s">
        <v>97</v>
      </c>
      <c r="J1522" t="s">
        <v>2285</v>
      </c>
      <c r="K1522" t="s">
        <v>44</v>
      </c>
      <c r="L1522" t="s">
        <v>45</v>
      </c>
      <c r="M1522" t="s">
        <v>4184</v>
      </c>
      <c r="N1522" t="s">
        <v>38</v>
      </c>
      <c r="O1522" t="s">
        <v>68</v>
      </c>
      <c r="P1522">
        <v>383.976</v>
      </c>
    </row>
    <row r="1523" spans="1:16">
      <c r="A1523" s="4">
        <v>2016</v>
      </c>
      <c r="B1523" s="4">
        <v>142419</v>
      </c>
      <c r="C1523" t="s">
        <v>4185</v>
      </c>
      <c r="D1523" t="s">
        <v>1390</v>
      </c>
      <c r="E1523" t="s">
        <v>144</v>
      </c>
      <c r="F1523" t="s">
        <v>4182</v>
      </c>
      <c r="G1523" t="s">
        <v>4183</v>
      </c>
      <c r="H1523" t="s">
        <v>33</v>
      </c>
      <c r="I1523" t="s">
        <v>97</v>
      </c>
      <c r="J1523" t="s">
        <v>271</v>
      </c>
      <c r="K1523" t="s">
        <v>165</v>
      </c>
      <c r="L1523" t="s">
        <v>66</v>
      </c>
      <c r="M1523" t="s">
        <v>4186</v>
      </c>
      <c r="N1523" t="s">
        <v>27</v>
      </c>
      <c r="O1523" t="s">
        <v>52</v>
      </c>
      <c r="P1523">
        <v>29.97</v>
      </c>
    </row>
    <row r="1524" spans="1:16">
      <c r="A1524" s="4">
        <v>2018</v>
      </c>
      <c r="B1524" s="4">
        <v>126774</v>
      </c>
      <c r="C1524" t="s">
        <v>88</v>
      </c>
      <c r="D1524" t="s">
        <v>1656</v>
      </c>
      <c r="E1524" t="s">
        <v>42</v>
      </c>
      <c r="F1524" t="s">
        <v>4187</v>
      </c>
      <c r="G1524" t="s">
        <v>4188</v>
      </c>
      <c r="H1524" t="s">
        <v>33</v>
      </c>
      <c r="I1524" t="s">
        <v>97</v>
      </c>
      <c r="J1524" t="s">
        <v>55</v>
      </c>
      <c r="K1524" t="s">
        <v>56</v>
      </c>
      <c r="L1524" t="s">
        <v>45</v>
      </c>
      <c r="M1524" t="s">
        <v>4189</v>
      </c>
      <c r="N1524" t="s">
        <v>27</v>
      </c>
      <c r="O1524" t="s">
        <v>28</v>
      </c>
      <c r="P1524">
        <v>4.8899999999999997</v>
      </c>
    </row>
    <row r="1525" spans="1:16">
      <c r="A1525" s="4">
        <v>2018</v>
      </c>
      <c r="B1525" s="4">
        <v>157980</v>
      </c>
      <c r="C1525" t="s">
        <v>1746</v>
      </c>
      <c r="D1525" t="s">
        <v>163</v>
      </c>
      <c r="E1525" t="s">
        <v>42</v>
      </c>
      <c r="F1525" t="s">
        <v>4187</v>
      </c>
      <c r="G1525" t="s">
        <v>4188</v>
      </c>
      <c r="H1525" t="s">
        <v>33</v>
      </c>
      <c r="I1525" t="s">
        <v>97</v>
      </c>
      <c r="J1525" t="s">
        <v>681</v>
      </c>
      <c r="K1525" t="s">
        <v>237</v>
      </c>
      <c r="L1525" t="s">
        <v>25</v>
      </c>
      <c r="M1525" t="s">
        <v>4190</v>
      </c>
      <c r="N1525" t="s">
        <v>38</v>
      </c>
      <c r="O1525" t="s">
        <v>68</v>
      </c>
      <c r="P1525">
        <v>127.98399999999999</v>
      </c>
    </row>
    <row r="1526" spans="1:16">
      <c r="A1526" s="4">
        <v>2018</v>
      </c>
      <c r="B1526" s="4">
        <v>168900</v>
      </c>
      <c r="C1526" t="s">
        <v>2122</v>
      </c>
      <c r="D1526" t="s">
        <v>1600</v>
      </c>
      <c r="E1526" t="s">
        <v>18</v>
      </c>
      <c r="F1526" t="s">
        <v>4187</v>
      </c>
      <c r="G1526" t="s">
        <v>4188</v>
      </c>
      <c r="H1526" t="s">
        <v>33</v>
      </c>
      <c r="I1526" t="s">
        <v>97</v>
      </c>
      <c r="J1526" t="s">
        <v>98</v>
      </c>
      <c r="K1526" t="s">
        <v>237</v>
      </c>
      <c r="L1526" t="s">
        <v>25</v>
      </c>
      <c r="M1526" t="s">
        <v>4191</v>
      </c>
      <c r="N1526" t="s">
        <v>27</v>
      </c>
      <c r="O1526" t="s">
        <v>101</v>
      </c>
      <c r="P1526">
        <v>2.3130000000000002</v>
      </c>
    </row>
    <row r="1527" spans="1:16">
      <c r="A1527" s="4">
        <v>2018</v>
      </c>
      <c r="B1527" s="4">
        <v>122280</v>
      </c>
      <c r="C1527" t="s">
        <v>3011</v>
      </c>
      <c r="D1527" t="s">
        <v>3011</v>
      </c>
      <c r="E1527" t="s">
        <v>132</v>
      </c>
      <c r="F1527" t="s">
        <v>4187</v>
      </c>
      <c r="G1527" t="s">
        <v>4188</v>
      </c>
      <c r="H1527" t="s">
        <v>33</v>
      </c>
      <c r="I1527" t="s">
        <v>97</v>
      </c>
      <c r="J1527" t="s">
        <v>49</v>
      </c>
      <c r="K1527" t="s">
        <v>50</v>
      </c>
      <c r="L1527" t="s">
        <v>25</v>
      </c>
      <c r="M1527" t="s">
        <v>4192</v>
      </c>
      <c r="N1527" t="s">
        <v>27</v>
      </c>
      <c r="O1527" t="s">
        <v>52</v>
      </c>
      <c r="P1527">
        <v>18.760000000000002</v>
      </c>
    </row>
    <row r="1528" spans="1:16">
      <c r="A1528" s="4">
        <v>2016</v>
      </c>
      <c r="B1528" s="4">
        <v>154886</v>
      </c>
      <c r="C1528" t="s">
        <v>3944</v>
      </c>
      <c r="D1528" t="s">
        <v>488</v>
      </c>
      <c r="E1528" t="s">
        <v>18</v>
      </c>
      <c r="F1528" t="s">
        <v>4193</v>
      </c>
      <c r="G1528" t="s">
        <v>4194</v>
      </c>
      <c r="H1528" t="s">
        <v>33</v>
      </c>
      <c r="I1528" t="s">
        <v>97</v>
      </c>
      <c r="J1528" t="s">
        <v>226</v>
      </c>
      <c r="K1528" t="s">
        <v>65</v>
      </c>
      <c r="L1528" t="s">
        <v>66</v>
      </c>
      <c r="M1528" t="s">
        <v>4195</v>
      </c>
      <c r="N1528" t="s">
        <v>38</v>
      </c>
      <c r="O1528" t="s">
        <v>68</v>
      </c>
      <c r="P1528">
        <v>119.9</v>
      </c>
    </row>
    <row r="1529" spans="1:16">
      <c r="A1529" s="4">
        <v>2016</v>
      </c>
      <c r="B1529" s="4">
        <v>150560</v>
      </c>
      <c r="C1529" t="s">
        <v>604</v>
      </c>
      <c r="D1529" t="s">
        <v>1785</v>
      </c>
      <c r="E1529" t="s">
        <v>42</v>
      </c>
      <c r="F1529" t="s">
        <v>4193</v>
      </c>
      <c r="G1529" t="s">
        <v>4194</v>
      </c>
      <c r="H1529" t="s">
        <v>33</v>
      </c>
      <c r="I1529" t="s">
        <v>97</v>
      </c>
      <c r="J1529" t="s">
        <v>4196</v>
      </c>
      <c r="K1529" t="s">
        <v>56</v>
      </c>
      <c r="L1529" t="s">
        <v>45</v>
      </c>
      <c r="M1529" t="s">
        <v>1985</v>
      </c>
      <c r="N1529" t="s">
        <v>27</v>
      </c>
      <c r="O1529" t="s">
        <v>111</v>
      </c>
      <c r="P1529">
        <v>196.62</v>
      </c>
    </row>
    <row r="1530" spans="1:16">
      <c r="A1530" s="4">
        <v>2018</v>
      </c>
      <c r="B1530" s="4">
        <v>145429</v>
      </c>
      <c r="C1530" t="s">
        <v>247</v>
      </c>
      <c r="D1530" t="s">
        <v>1865</v>
      </c>
      <c r="E1530" t="s">
        <v>18</v>
      </c>
      <c r="F1530" t="s">
        <v>4193</v>
      </c>
      <c r="G1530" t="s">
        <v>4194</v>
      </c>
      <c r="H1530" t="s">
        <v>33</v>
      </c>
      <c r="I1530" t="s">
        <v>97</v>
      </c>
      <c r="J1530" t="s">
        <v>630</v>
      </c>
      <c r="K1530" t="s">
        <v>65</v>
      </c>
      <c r="L1530" t="s">
        <v>66</v>
      </c>
      <c r="M1530" t="s">
        <v>4197</v>
      </c>
      <c r="N1530" t="s">
        <v>27</v>
      </c>
      <c r="O1530" t="s">
        <v>52</v>
      </c>
      <c r="P1530">
        <v>16.34</v>
      </c>
    </row>
    <row r="1531" spans="1:16">
      <c r="A1531" s="4">
        <v>2016</v>
      </c>
      <c r="B1531" s="4">
        <v>153535</v>
      </c>
      <c r="C1531" t="s">
        <v>4198</v>
      </c>
      <c r="D1531" t="s">
        <v>4199</v>
      </c>
      <c r="E1531" t="s">
        <v>18</v>
      </c>
      <c r="F1531" t="s">
        <v>4200</v>
      </c>
      <c r="G1531" t="s">
        <v>4201</v>
      </c>
      <c r="H1531" t="s">
        <v>21</v>
      </c>
      <c r="I1531" t="s">
        <v>97</v>
      </c>
      <c r="J1531" t="s">
        <v>4202</v>
      </c>
      <c r="K1531" t="s">
        <v>44</v>
      </c>
      <c r="L1531" t="s">
        <v>45</v>
      </c>
      <c r="M1531" t="s">
        <v>4203</v>
      </c>
      <c r="N1531" t="s">
        <v>79</v>
      </c>
      <c r="O1531" t="s">
        <v>80</v>
      </c>
      <c r="P1531">
        <v>163.136</v>
      </c>
    </row>
    <row r="1532" spans="1:16">
      <c r="A1532" s="4">
        <v>2015</v>
      </c>
      <c r="B1532" s="4">
        <v>101476</v>
      </c>
      <c r="C1532" t="s">
        <v>735</v>
      </c>
      <c r="D1532" t="s">
        <v>1543</v>
      </c>
      <c r="E1532" t="s">
        <v>42</v>
      </c>
      <c r="F1532" t="s">
        <v>4204</v>
      </c>
      <c r="G1532" t="s">
        <v>4205</v>
      </c>
      <c r="H1532" t="s">
        <v>33</v>
      </c>
      <c r="I1532" t="s">
        <v>63</v>
      </c>
      <c r="J1532" t="s">
        <v>2611</v>
      </c>
      <c r="K1532" t="s">
        <v>50</v>
      </c>
      <c r="L1532" t="s">
        <v>25</v>
      </c>
      <c r="M1532" t="s">
        <v>3096</v>
      </c>
      <c r="N1532" t="s">
        <v>38</v>
      </c>
      <c r="O1532" t="s">
        <v>39</v>
      </c>
      <c r="P1532">
        <v>69.989999999999995</v>
      </c>
    </row>
    <row r="1533" spans="1:16">
      <c r="A1533" s="4">
        <v>2018</v>
      </c>
      <c r="B1533" s="4">
        <v>102337</v>
      </c>
      <c r="C1533" t="s">
        <v>776</v>
      </c>
      <c r="D1533" t="s">
        <v>251</v>
      </c>
      <c r="E1533" t="s">
        <v>42</v>
      </c>
      <c r="F1533" t="s">
        <v>4204</v>
      </c>
      <c r="G1533" t="s">
        <v>4205</v>
      </c>
      <c r="H1533" t="s">
        <v>33</v>
      </c>
      <c r="I1533" t="s">
        <v>63</v>
      </c>
      <c r="J1533" t="s">
        <v>108</v>
      </c>
      <c r="K1533" t="s">
        <v>109</v>
      </c>
      <c r="L1533" t="s">
        <v>36</v>
      </c>
      <c r="M1533" t="s">
        <v>4206</v>
      </c>
      <c r="N1533" t="s">
        <v>27</v>
      </c>
      <c r="O1533" t="s">
        <v>58</v>
      </c>
      <c r="P1533">
        <v>164.73599999999999</v>
      </c>
    </row>
    <row r="1534" spans="1:16">
      <c r="A1534" s="4">
        <v>2018</v>
      </c>
      <c r="B1534" s="4">
        <v>141698</v>
      </c>
      <c r="C1534" t="s">
        <v>88</v>
      </c>
      <c r="D1534" t="s">
        <v>2798</v>
      </c>
      <c r="E1534" t="s">
        <v>18</v>
      </c>
      <c r="F1534" t="s">
        <v>4204</v>
      </c>
      <c r="G1534" t="s">
        <v>4205</v>
      </c>
      <c r="H1534" t="s">
        <v>33</v>
      </c>
      <c r="I1534" t="s">
        <v>63</v>
      </c>
      <c r="J1534" t="s">
        <v>183</v>
      </c>
      <c r="K1534" t="s">
        <v>35</v>
      </c>
      <c r="L1534" t="s">
        <v>36</v>
      </c>
      <c r="M1534" t="s">
        <v>4207</v>
      </c>
      <c r="N1534" t="s">
        <v>27</v>
      </c>
      <c r="O1534" t="s">
        <v>52</v>
      </c>
      <c r="P1534">
        <v>20.736000000000001</v>
      </c>
    </row>
    <row r="1535" spans="1:16">
      <c r="A1535" s="4">
        <v>2015</v>
      </c>
      <c r="B1535" s="4">
        <v>155502</v>
      </c>
      <c r="C1535" t="s">
        <v>2457</v>
      </c>
      <c r="D1535" t="s">
        <v>3158</v>
      </c>
      <c r="E1535" t="s">
        <v>18</v>
      </c>
      <c r="F1535" t="s">
        <v>4204</v>
      </c>
      <c r="G1535" t="s">
        <v>4205</v>
      </c>
      <c r="H1535" t="s">
        <v>33</v>
      </c>
      <c r="I1535" t="s">
        <v>63</v>
      </c>
      <c r="J1535" t="s">
        <v>4208</v>
      </c>
      <c r="K1535" t="s">
        <v>56</v>
      </c>
      <c r="L1535" t="s">
        <v>45</v>
      </c>
      <c r="M1535" t="s">
        <v>3237</v>
      </c>
      <c r="N1535" t="s">
        <v>79</v>
      </c>
      <c r="O1535" t="s">
        <v>80</v>
      </c>
      <c r="P1535">
        <v>62.82</v>
      </c>
    </row>
    <row r="1536" spans="1:16">
      <c r="A1536" s="4">
        <v>2017</v>
      </c>
      <c r="B1536" s="4">
        <v>121356</v>
      </c>
      <c r="C1536" t="s">
        <v>339</v>
      </c>
      <c r="D1536" t="s">
        <v>359</v>
      </c>
      <c r="E1536" t="s">
        <v>18</v>
      </c>
      <c r="F1536" t="s">
        <v>4209</v>
      </c>
      <c r="G1536" t="s">
        <v>4210</v>
      </c>
      <c r="H1536" t="s">
        <v>33</v>
      </c>
      <c r="I1536" t="s">
        <v>97</v>
      </c>
      <c r="J1536" t="s">
        <v>987</v>
      </c>
      <c r="K1536" t="s">
        <v>1392</v>
      </c>
      <c r="L1536" t="s">
        <v>25</v>
      </c>
      <c r="M1536" t="s">
        <v>4211</v>
      </c>
      <c r="N1536" t="s">
        <v>27</v>
      </c>
      <c r="O1536" t="s">
        <v>101</v>
      </c>
      <c r="P1536">
        <v>128.4</v>
      </c>
    </row>
    <row r="1537" spans="1:16">
      <c r="A1537" s="4">
        <v>2018</v>
      </c>
      <c r="B1537" s="4">
        <v>152366</v>
      </c>
      <c r="C1537" t="s">
        <v>2798</v>
      </c>
      <c r="D1537" t="s">
        <v>4212</v>
      </c>
      <c r="E1537" t="s">
        <v>144</v>
      </c>
      <c r="F1537" t="s">
        <v>4209</v>
      </c>
      <c r="G1537" t="s">
        <v>4210</v>
      </c>
      <c r="H1537" t="s">
        <v>33</v>
      </c>
      <c r="I1537" t="s">
        <v>97</v>
      </c>
      <c r="J1537" t="s">
        <v>183</v>
      </c>
      <c r="K1537" t="s">
        <v>35</v>
      </c>
      <c r="L1537" t="s">
        <v>36</v>
      </c>
      <c r="M1537" t="s">
        <v>4213</v>
      </c>
      <c r="N1537" t="s">
        <v>27</v>
      </c>
      <c r="O1537" t="s">
        <v>228</v>
      </c>
      <c r="P1537">
        <v>97.263999999999996</v>
      </c>
    </row>
    <row r="1538" spans="1:16">
      <c r="A1538" s="4">
        <v>2015</v>
      </c>
      <c r="B1538" s="4">
        <v>164182</v>
      </c>
      <c r="C1538" t="s">
        <v>3797</v>
      </c>
      <c r="D1538" t="s">
        <v>131</v>
      </c>
      <c r="E1538" t="s">
        <v>18</v>
      </c>
      <c r="F1538" t="s">
        <v>4214</v>
      </c>
      <c r="G1538" t="s">
        <v>4215</v>
      </c>
      <c r="H1538" t="s">
        <v>33</v>
      </c>
      <c r="I1538" t="s">
        <v>97</v>
      </c>
      <c r="J1538" t="s">
        <v>23</v>
      </c>
      <c r="K1538" t="s">
        <v>24</v>
      </c>
      <c r="L1538" t="s">
        <v>25</v>
      </c>
      <c r="M1538" t="s">
        <v>4216</v>
      </c>
      <c r="N1538" t="s">
        <v>38</v>
      </c>
      <c r="O1538" t="s">
        <v>118</v>
      </c>
      <c r="P1538">
        <v>13.494</v>
      </c>
    </row>
    <row r="1539" spans="1:16">
      <c r="A1539" s="4">
        <v>2018</v>
      </c>
      <c r="B1539" s="4">
        <v>106852</v>
      </c>
      <c r="C1539" t="s">
        <v>1380</v>
      </c>
      <c r="D1539" t="s">
        <v>3717</v>
      </c>
      <c r="E1539" t="s">
        <v>18</v>
      </c>
      <c r="F1539" t="s">
        <v>4214</v>
      </c>
      <c r="G1539" t="s">
        <v>4215</v>
      </c>
      <c r="H1539" t="s">
        <v>33</v>
      </c>
      <c r="I1539" t="s">
        <v>97</v>
      </c>
      <c r="J1539" t="s">
        <v>467</v>
      </c>
      <c r="K1539" t="s">
        <v>237</v>
      </c>
      <c r="L1539" t="s">
        <v>25</v>
      </c>
      <c r="M1539" t="s">
        <v>4217</v>
      </c>
      <c r="N1539" t="s">
        <v>27</v>
      </c>
      <c r="O1539" t="s">
        <v>52</v>
      </c>
      <c r="P1539">
        <v>31.103999999999999</v>
      </c>
    </row>
    <row r="1540" spans="1:16">
      <c r="A1540" s="4">
        <v>2018</v>
      </c>
      <c r="B1540" s="4">
        <v>101840</v>
      </c>
      <c r="C1540" t="s">
        <v>4218</v>
      </c>
      <c r="D1540" t="s">
        <v>4219</v>
      </c>
      <c r="E1540" t="s">
        <v>18</v>
      </c>
      <c r="F1540" t="s">
        <v>4220</v>
      </c>
      <c r="G1540" t="s">
        <v>4221</v>
      </c>
      <c r="H1540" t="s">
        <v>33</v>
      </c>
      <c r="I1540" t="s">
        <v>22</v>
      </c>
      <c r="J1540" t="s">
        <v>49</v>
      </c>
      <c r="K1540" t="s">
        <v>50</v>
      </c>
      <c r="L1540" t="s">
        <v>25</v>
      </c>
      <c r="M1540" t="s">
        <v>4222</v>
      </c>
      <c r="N1540" t="s">
        <v>38</v>
      </c>
      <c r="O1540" t="s">
        <v>118</v>
      </c>
      <c r="P1540">
        <v>227.46</v>
      </c>
    </row>
    <row r="1541" spans="1:16">
      <c r="A1541" s="4">
        <v>2017</v>
      </c>
      <c r="B1541" s="4">
        <v>103646</v>
      </c>
      <c r="C1541" t="s">
        <v>4012</v>
      </c>
      <c r="D1541" t="s">
        <v>1776</v>
      </c>
      <c r="E1541" t="s">
        <v>18</v>
      </c>
      <c r="F1541" t="s">
        <v>4220</v>
      </c>
      <c r="G1541" t="s">
        <v>4221</v>
      </c>
      <c r="H1541" t="s">
        <v>33</v>
      </c>
      <c r="I1541" t="s">
        <v>22</v>
      </c>
      <c r="J1541" t="s">
        <v>108</v>
      </c>
      <c r="K1541" t="s">
        <v>109</v>
      </c>
      <c r="L1541" t="s">
        <v>36</v>
      </c>
      <c r="M1541" t="s">
        <v>4223</v>
      </c>
      <c r="N1541" t="s">
        <v>27</v>
      </c>
      <c r="O1541" t="s">
        <v>58</v>
      </c>
      <c r="P1541">
        <v>102.336</v>
      </c>
    </row>
    <row r="1542" spans="1:16">
      <c r="A1542" s="4">
        <v>2017</v>
      </c>
      <c r="B1542" s="4">
        <v>123666</v>
      </c>
      <c r="C1542" t="s">
        <v>1699</v>
      </c>
      <c r="D1542" t="s">
        <v>4224</v>
      </c>
      <c r="E1542" t="s">
        <v>18</v>
      </c>
      <c r="F1542" t="s">
        <v>4220</v>
      </c>
      <c r="G1542" t="s">
        <v>4221</v>
      </c>
      <c r="H1542" t="s">
        <v>33</v>
      </c>
      <c r="I1542" t="s">
        <v>22</v>
      </c>
      <c r="J1542" t="s">
        <v>49</v>
      </c>
      <c r="K1542" t="s">
        <v>50</v>
      </c>
      <c r="L1542" t="s">
        <v>25</v>
      </c>
      <c r="M1542" t="s">
        <v>4225</v>
      </c>
      <c r="N1542" t="s">
        <v>27</v>
      </c>
      <c r="O1542" t="s">
        <v>58</v>
      </c>
      <c r="P1542">
        <v>459.95</v>
      </c>
    </row>
    <row r="1543" spans="1:16">
      <c r="A1543" s="4">
        <v>2017</v>
      </c>
      <c r="B1543" s="4">
        <v>128909</v>
      </c>
      <c r="C1543" t="s">
        <v>4226</v>
      </c>
      <c r="D1543" t="s">
        <v>4227</v>
      </c>
      <c r="E1543" t="s">
        <v>144</v>
      </c>
      <c r="F1543" t="s">
        <v>4220</v>
      </c>
      <c r="G1543" t="s">
        <v>4221</v>
      </c>
      <c r="H1543" t="s">
        <v>33</v>
      </c>
      <c r="I1543" t="s">
        <v>22</v>
      </c>
      <c r="J1543" t="s">
        <v>23</v>
      </c>
      <c r="K1543" t="s">
        <v>24</v>
      </c>
      <c r="L1543" t="s">
        <v>25</v>
      </c>
      <c r="M1543" t="s">
        <v>4228</v>
      </c>
      <c r="N1543" t="s">
        <v>27</v>
      </c>
      <c r="O1543" t="s">
        <v>52</v>
      </c>
      <c r="P1543">
        <v>19.135999999999999</v>
      </c>
    </row>
    <row r="1544" spans="1:16">
      <c r="A1544" s="4">
        <v>2016</v>
      </c>
      <c r="B1544" s="4">
        <v>125934</v>
      </c>
      <c r="C1544" t="s">
        <v>1215</v>
      </c>
      <c r="D1544" t="s">
        <v>2875</v>
      </c>
      <c r="E1544" t="s">
        <v>18</v>
      </c>
      <c r="F1544" t="s">
        <v>4229</v>
      </c>
      <c r="G1544" t="s">
        <v>4230</v>
      </c>
      <c r="H1544" t="s">
        <v>33</v>
      </c>
      <c r="I1544" t="s">
        <v>63</v>
      </c>
      <c r="J1544" t="s">
        <v>1696</v>
      </c>
      <c r="K1544" t="s">
        <v>869</v>
      </c>
      <c r="L1544" t="s">
        <v>25</v>
      </c>
      <c r="M1544" t="s">
        <v>4231</v>
      </c>
      <c r="N1544" t="s">
        <v>27</v>
      </c>
      <c r="O1544" t="s">
        <v>111</v>
      </c>
      <c r="P1544">
        <v>31.05</v>
      </c>
    </row>
    <row r="1545" spans="1:16">
      <c r="A1545" s="4">
        <v>2016</v>
      </c>
      <c r="B1545" s="4">
        <v>144652</v>
      </c>
      <c r="C1545" t="s">
        <v>972</v>
      </c>
      <c r="D1545" t="s">
        <v>419</v>
      </c>
      <c r="E1545" t="s">
        <v>18</v>
      </c>
      <c r="F1545" t="s">
        <v>4229</v>
      </c>
      <c r="G1545" t="s">
        <v>4230</v>
      </c>
      <c r="H1545" t="s">
        <v>33</v>
      </c>
      <c r="I1545" t="s">
        <v>63</v>
      </c>
      <c r="J1545" t="s">
        <v>64</v>
      </c>
      <c r="K1545" t="s">
        <v>65</v>
      </c>
      <c r="L1545" t="s">
        <v>66</v>
      </c>
      <c r="M1545" t="s">
        <v>4232</v>
      </c>
      <c r="N1545" t="s">
        <v>27</v>
      </c>
      <c r="O1545" t="s">
        <v>28</v>
      </c>
      <c r="P1545">
        <v>19.46</v>
      </c>
    </row>
    <row r="1546" spans="1:16">
      <c r="A1546" s="4">
        <v>2016</v>
      </c>
      <c r="B1546" s="4">
        <v>122287</v>
      </c>
      <c r="C1546" t="s">
        <v>176</v>
      </c>
      <c r="D1546" t="s">
        <v>3907</v>
      </c>
      <c r="E1546" t="s">
        <v>18</v>
      </c>
      <c r="F1546" t="s">
        <v>4229</v>
      </c>
      <c r="G1546" t="s">
        <v>4230</v>
      </c>
      <c r="H1546" t="s">
        <v>33</v>
      </c>
      <c r="I1546" t="s">
        <v>63</v>
      </c>
      <c r="J1546" t="s">
        <v>396</v>
      </c>
      <c r="K1546" t="s">
        <v>136</v>
      </c>
      <c r="L1546" t="s">
        <v>66</v>
      </c>
      <c r="M1546" t="s">
        <v>4233</v>
      </c>
      <c r="N1546" t="s">
        <v>27</v>
      </c>
      <c r="O1546" t="s">
        <v>52</v>
      </c>
      <c r="P1546">
        <v>11.952</v>
      </c>
    </row>
    <row r="1547" spans="1:16">
      <c r="A1547" s="4">
        <v>2017</v>
      </c>
      <c r="B1547" s="4">
        <v>136287</v>
      </c>
      <c r="C1547" t="s">
        <v>4023</v>
      </c>
      <c r="D1547" t="s">
        <v>1470</v>
      </c>
      <c r="E1547" t="s">
        <v>18</v>
      </c>
      <c r="F1547" t="s">
        <v>4234</v>
      </c>
      <c r="G1547" t="s">
        <v>4235</v>
      </c>
      <c r="H1547" t="s">
        <v>33</v>
      </c>
      <c r="I1547" t="s">
        <v>97</v>
      </c>
      <c r="J1547" t="s">
        <v>1093</v>
      </c>
      <c r="K1547" t="s">
        <v>1094</v>
      </c>
      <c r="L1547" t="s">
        <v>36</v>
      </c>
      <c r="M1547" t="s">
        <v>4236</v>
      </c>
      <c r="N1547" t="s">
        <v>27</v>
      </c>
      <c r="O1547" t="s">
        <v>111</v>
      </c>
      <c r="P1547">
        <v>18.899999999999999</v>
      </c>
    </row>
    <row r="1548" spans="1:16">
      <c r="A1548" s="4">
        <v>2017</v>
      </c>
      <c r="B1548" s="4">
        <v>116540</v>
      </c>
      <c r="C1548" t="s">
        <v>1200</v>
      </c>
      <c r="D1548" t="s">
        <v>1200</v>
      </c>
      <c r="E1548" t="s">
        <v>132</v>
      </c>
      <c r="F1548" t="s">
        <v>4234</v>
      </c>
      <c r="G1548" t="s">
        <v>4235</v>
      </c>
      <c r="H1548" t="s">
        <v>33</v>
      </c>
      <c r="I1548" t="s">
        <v>97</v>
      </c>
      <c r="J1548" t="s">
        <v>2640</v>
      </c>
      <c r="K1548" t="s">
        <v>478</v>
      </c>
      <c r="L1548" t="s">
        <v>36</v>
      </c>
      <c r="M1548" t="s">
        <v>4237</v>
      </c>
      <c r="N1548" t="s">
        <v>27</v>
      </c>
      <c r="O1548" t="s">
        <v>452</v>
      </c>
      <c r="P1548">
        <v>1.81</v>
      </c>
    </row>
    <row r="1549" spans="1:16">
      <c r="A1549" s="4">
        <v>2017</v>
      </c>
      <c r="B1549" s="4">
        <v>169166</v>
      </c>
      <c r="C1549" t="s">
        <v>687</v>
      </c>
      <c r="D1549" t="s">
        <v>3878</v>
      </c>
      <c r="E1549" t="s">
        <v>18</v>
      </c>
      <c r="F1549" t="s">
        <v>4234</v>
      </c>
      <c r="G1549" t="s">
        <v>4235</v>
      </c>
      <c r="H1549" t="s">
        <v>33</v>
      </c>
      <c r="I1549" t="s">
        <v>97</v>
      </c>
      <c r="J1549" t="s">
        <v>271</v>
      </c>
      <c r="K1549" t="s">
        <v>165</v>
      </c>
      <c r="L1549" t="s">
        <v>66</v>
      </c>
      <c r="M1549" t="s">
        <v>866</v>
      </c>
      <c r="N1549" t="s">
        <v>38</v>
      </c>
      <c r="O1549" t="s">
        <v>68</v>
      </c>
      <c r="P1549">
        <v>93.98</v>
      </c>
    </row>
    <row r="1550" spans="1:16">
      <c r="A1550" s="4">
        <v>2016</v>
      </c>
      <c r="B1550" s="4">
        <v>127040</v>
      </c>
      <c r="C1550" t="s">
        <v>603</v>
      </c>
      <c r="D1550" t="s">
        <v>2472</v>
      </c>
      <c r="E1550" t="s">
        <v>18</v>
      </c>
      <c r="F1550" t="s">
        <v>4238</v>
      </c>
      <c r="G1550" t="s">
        <v>4239</v>
      </c>
      <c r="H1550" t="s">
        <v>33</v>
      </c>
      <c r="I1550" t="s">
        <v>97</v>
      </c>
      <c r="J1550" t="s">
        <v>49</v>
      </c>
      <c r="K1550" t="s">
        <v>50</v>
      </c>
      <c r="L1550" t="s">
        <v>25</v>
      </c>
      <c r="M1550" t="s">
        <v>4240</v>
      </c>
      <c r="N1550" t="s">
        <v>27</v>
      </c>
      <c r="O1550" t="s">
        <v>52</v>
      </c>
      <c r="P1550">
        <v>6.48</v>
      </c>
    </row>
    <row r="1551" spans="1:16">
      <c r="A1551" s="4">
        <v>2015</v>
      </c>
      <c r="B1551" s="4">
        <v>169446</v>
      </c>
      <c r="C1551" t="s">
        <v>709</v>
      </c>
      <c r="D1551" t="s">
        <v>2727</v>
      </c>
      <c r="E1551" t="s">
        <v>18</v>
      </c>
      <c r="F1551" t="s">
        <v>4238</v>
      </c>
      <c r="G1551" t="s">
        <v>4239</v>
      </c>
      <c r="H1551" t="s">
        <v>33</v>
      </c>
      <c r="I1551" t="s">
        <v>97</v>
      </c>
      <c r="J1551" t="s">
        <v>108</v>
      </c>
      <c r="K1551" t="s">
        <v>109</v>
      </c>
      <c r="L1551" t="s">
        <v>36</v>
      </c>
      <c r="M1551" t="s">
        <v>4241</v>
      </c>
      <c r="N1551" t="s">
        <v>38</v>
      </c>
      <c r="O1551" t="s">
        <v>118</v>
      </c>
      <c r="P1551">
        <v>323.976</v>
      </c>
    </row>
    <row r="1552" spans="1:16">
      <c r="A1552" s="4">
        <v>2016</v>
      </c>
      <c r="B1552" s="4">
        <v>149636</v>
      </c>
      <c r="C1552" t="s">
        <v>4242</v>
      </c>
      <c r="D1552" t="s">
        <v>4243</v>
      </c>
      <c r="E1552" t="s">
        <v>18</v>
      </c>
      <c r="F1552" t="s">
        <v>4244</v>
      </c>
      <c r="G1552" t="s">
        <v>4245</v>
      </c>
      <c r="H1552" t="s">
        <v>33</v>
      </c>
      <c r="I1552" t="s">
        <v>22</v>
      </c>
      <c r="J1552" t="s">
        <v>1992</v>
      </c>
      <c r="K1552" t="s">
        <v>222</v>
      </c>
      <c r="L1552" t="s">
        <v>66</v>
      </c>
      <c r="M1552" t="s">
        <v>4246</v>
      </c>
      <c r="N1552" t="s">
        <v>27</v>
      </c>
      <c r="O1552" t="s">
        <v>52</v>
      </c>
      <c r="P1552">
        <v>29.6</v>
      </c>
    </row>
    <row r="1553" spans="1:16">
      <c r="A1553" s="4">
        <v>2015</v>
      </c>
      <c r="B1553" s="4">
        <v>123127</v>
      </c>
      <c r="C1553" t="s">
        <v>734</v>
      </c>
      <c r="D1553" t="s">
        <v>735</v>
      </c>
      <c r="E1553" t="s">
        <v>18</v>
      </c>
      <c r="F1553" t="s">
        <v>4244</v>
      </c>
      <c r="G1553" t="s">
        <v>4245</v>
      </c>
      <c r="H1553" t="s">
        <v>33</v>
      </c>
      <c r="I1553" t="s">
        <v>22</v>
      </c>
      <c r="J1553" t="s">
        <v>1130</v>
      </c>
      <c r="K1553" t="s">
        <v>50</v>
      </c>
      <c r="L1553" t="s">
        <v>25</v>
      </c>
      <c r="M1553" t="s">
        <v>4247</v>
      </c>
      <c r="N1553" t="s">
        <v>27</v>
      </c>
      <c r="O1553" t="s">
        <v>228</v>
      </c>
      <c r="P1553">
        <v>16.78</v>
      </c>
    </row>
    <row r="1554" spans="1:16">
      <c r="A1554" s="4">
        <v>2015</v>
      </c>
      <c r="B1554" s="4">
        <v>110065</v>
      </c>
      <c r="C1554" t="s">
        <v>1021</v>
      </c>
      <c r="D1554" t="s">
        <v>2298</v>
      </c>
      <c r="E1554" t="s">
        <v>18</v>
      </c>
      <c r="F1554" t="s">
        <v>4248</v>
      </c>
      <c r="G1554" t="s">
        <v>4249</v>
      </c>
      <c r="H1554" t="s">
        <v>33</v>
      </c>
      <c r="I1554" t="s">
        <v>22</v>
      </c>
      <c r="J1554" t="s">
        <v>49</v>
      </c>
      <c r="K1554" t="s">
        <v>50</v>
      </c>
      <c r="L1554" t="s">
        <v>25</v>
      </c>
      <c r="M1554" t="s">
        <v>4250</v>
      </c>
      <c r="N1554" t="s">
        <v>38</v>
      </c>
      <c r="O1554" t="s">
        <v>118</v>
      </c>
      <c r="P1554">
        <v>135.99</v>
      </c>
    </row>
    <row r="1555" spans="1:16">
      <c r="A1555" s="4">
        <v>2016</v>
      </c>
      <c r="B1555" s="4">
        <v>124919</v>
      </c>
      <c r="C1555" t="s">
        <v>846</v>
      </c>
      <c r="D1555" t="s">
        <v>1975</v>
      </c>
      <c r="E1555" t="s">
        <v>42</v>
      </c>
      <c r="F1555" t="s">
        <v>4248</v>
      </c>
      <c r="G1555" t="s">
        <v>4249</v>
      </c>
      <c r="H1555" t="s">
        <v>33</v>
      </c>
      <c r="I1555" t="s">
        <v>22</v>
      </c>
      <c r="J1555" t="s">
        <v>1333</v>
      </c>
      <c r="K1555" t="s">
        <v>65</v>
      </c>
      <c r="L1555" t="s">
        <v>66</v>
      </c>
      <c r="M1555" t="s">
        <v>3887</v>
      </c>
      <c r="N1555" t="s">
        <v>27</v>
      </c>
      <c r="O1555" t="s">
        <v>52</v>
      </c>
      <c r="P1555">
        <v>58.38</v>
      </c>
    </row>
    <row r="1556" spans="1:16">
      <c r="A1556" s="4">
        <v>2015</v>
      </c>
      <c r="B1556" s="4">
        <v>155208</v>
      </c>
      <c r="C1556" t="s">
        <v>4251</v>
      </c>
      <c r="D1556" t="s">
        <v>4252</v>
      </c>
      <c r="E1556" t="s">
        <v>18</v>
      </c>
      <c r="F1556" t="s">
        <v>4248</v>
      </c>
      <c r="G1556" t="s">
        <v>4249</v>
      </c>
      <c r="H1556" t="s">
        <v>33</v>
      </c>
      <c r="I1556" t="s">
        <v>22</v>
      </c>
      <c r="J1556" t="s">
        <v>653</v>
      </c>
      <c r="K1556" t="s">
        <v>44</v>
      </c>
      <c r="L1556" t="s">
        <v>45</v>
      </c>
      <c r="M1556" t="s">
        <v>4253</v>
      </c>
      <c r="N1556" t="s">
        <v>27</v>
      </c>
      <c r="O1556" t="s">
        <v>28</v>
      </c>
      <c r="P1556">
        <v>39.072000000000003</v>
      </c>
    </row>
    <row r="1557" spans="1:16">
      <c r="A1557" s="4">
        <v>2018</v>
      </c>
      <c r="B1557" s="4">
        <v>157966</v>
      </c>
      <c r="C1557" t="s">
        <v>778</v>
      </c>
      <c r="D1557" t="s">
        <v>778</v>
      </c>
      <c r="E1557" t="s">
        <v>132</v>
      </c>
      <c r="F1557" t="s">
        <v>4254</v>
      </c>
      <c r="G1557" t="s">
        <v>4255</v>
      </c>
      <c r="H1557" t="s">
        <v>33</v>
      </c>
      <c r="I1557" t="s">
        <v>63</v>
      </c>
      <c r="J1557" t="s">
        <v>108</v>
      </c>
      <c r="K1557" t="s">
        <v>109</v>
      </c>
      <c r="L1557" t="s">
        <v>36</v>
      </c>
      <c r="M1557" t="s">
        <v>4256</v>
      </c>
      <c r="N1557" t="s">
        <v>27</v>
      </c>
      <c r="O1557" t="s">
        <v>28</v>
      </c>
      <c r="P1557">
        <v>19.456</v>
      </c>
    </row>
    <row r="1558" spans="1:16">
      <c r="A1558" s="4">
        <v>2018</v>
      </c>
      <c r="B1558" s="4">
        <v>148922</v>
      </c>
      <c r="C1558" t="s">
        <v>299</v>
      </c>
      <c r="D1558" t="s">
        <v>2434</v>
      </c>
      <c r="E1558" t="s">
        <v>144</v>
      </c>
      <c r="F1558" t="s">
        <v>4254</v>
      </c>
      <c r="G1558" t="s">
        <v>4255</v>
      </c>
      <c r="H1558" t="s">
        <v>33</v>
      </c>
      <c r="I1558" t="s">
        <v>63</v>
      </c>
      <c r="J1558" t="s">
        <v>854</v>
      </c>
      <c r="K1558" t="s">
        <v>1444</v>
      </c>
      <c r="L1558" t="s">
        <v>45</v>
      </c>
      <c r="M1558" t="s">
        <v>4257</v>
      </c>
      <c r="N1558" t="s">
        <v>38</v>
      </c>
      <c r="O1558" t="s">
        <v>68</v>
      </c>
      <c r="P1558">
        <v>599.97</v>
      </c>
    </row>
    <row r="1559" spans="1:16">
      <c r="A1559" s="4">
        <v>2017</v>
      </c>
      <c r="B1559" s="4">
        <v>143924</v>
      </c>
      <c r="C1559" t="s">
        <v>4258</v>
      </c>
      <c r="D1559" t="s">
        <v>4259</v>
      </c>
      <c r="E1559" t="s">
        <v>18</v>
      </c>
      <c r="F1559" t="s">
        <v>4260</v>
      </c>
      <c r="G1559" t="s">
        <v>4261</v>
      </c>
      <c r="H1559" t="s">
        <v>21</v>
      </c>
      <c r="I1559" t="s">
        <v>63</v>
      </c>
      <c r="J1559" t="s">
        <v>4262</v>
      </c>
      <c r="K1559" t="s">
        <v>855</v>
      </c>
      <c r="L1559" t="s">
        <v>36</v>
      </c>
      <c r="M1559" t="s">
        <v>4263</v>
      </c>
      <c r="N1559" t="s">
        <v>27</v>
      </c>
      <c r="O1559" t="s">
        <v>452</v>
      </c>
      <c r="P1559">
        <v>20.440000000000001</v>
      </c>
    </row>
    <row r="1560" spans="1:16">
      <c r="A1560" s="4">
        <v>2017</v>
      </c>
      <c r="B1560" s="4">
        <v>114713</v>
      </c>
      <c r="C1560" t="s">
        <v>1186</v>
      </c>
      <c r="D1560" t="s">
        <v>2699</v>
      </c>
      <c r="E1560" t="s">
        <v>18</v>
      </c>
      <c r="F1560" t="s">
        <v>4264</v>
      </c>
      <c r="G1560" t="s">
        <v>4265</v>
      </c>
      <c r="H1560" t="s">
        <v>21</v>
      </c>
      <c r="I1560" t="s">
        <v>22</v>
      </c>
      <c r="J1560" t="s">
        <v>1002</v>
      </c>
      <c r="K1560" t="s">
        <v>196</v>
      </c>
      <c r="L1560" t="s">
        <v>45</v>
      </c>
      <c r="M1560" t="s">
        <v>4266</v>
      </c>
      <c r="N1560" t="s">
        <v>27</v>
      </c>
      <c r="O1560" t="s">
        <v>74</v>
      </c>
      <c r="P1560">
        <v>45.584000000000003</v>
      </c>
    </row>
    <row r="1561" spans="1:16">
      <c r="A1561" s="4">
        <v>2017</v>
      </c>
      <c r="B1561" s="4">
        <v>146570</v>
      </c>
      <c r="C1561" t="s">
        <v>2239</v>
      </c>
      <c r="D1561" t="s">
        <v>2707</v>
      </c>
      <c r="E1561" t="s">
        <v>18</v>
      </c>
      <c r="F1561" t="s">
        <v>4267</v>
      </c>
      <c r="G1561" t="s">
        <v>4268</v>
      </c>
      <c r="H1561" t="s">
        <v>33</v>
      </c>
      <c r="I1561" t="s">
        <v>63</v>
      </c>
      <c r="J1561" t="s">
        <v>854</v>
      </c>
      <c r="K1561" t="s">
        <v>1444</v>
      </c>
      <c r="L1561" t="s">
        <v>45</v>
      </c>
      <c r="M1561" t="s">
        <v>4269</v>
      </c>
      <c r="N1561" t="s">
        <v>27</v>
      </c>
      <c r="O1561" t="s">
        <v>101</v>
      </c>
      <c r="P1561">
        <v>511.84</v>
      </c>
    </row>
    <row r="1562" spans="1:16">
      <c r="A1562" s="4">
        <v>2018</v>
      </c>
      <c r="B1562" s="4">
        <v>152702</v>
      </c>
      <c r="C1562" t="s">
        <v>3323</v>
      </c>
      <c r="D1562" t="s">
        <v>543</v>
      </c>
      <c r="E1562" t="s">
        <v>18</v>
      </c>
      <c r="F1562" t="s">
        <v>4267</v>
      </c>
      <c r="G1562" t="s">
        <v>4268</v>
      </c>
      <c r="H1562" t="s">
        <v>33</v>
      </c>
      <c r="I1562" t="s">
        <v>63</v>
      </c>
      <c r="J1562" t="s">
        <v>1566</v>
      </c>
      <c r="K1562" t="s">
        <v>109</v>
      </c>
      <c r="L1562" t="s">
        <v>36</v>
      </c>
      <c r="M1562" t="s">
        <v>4270</v>
      </c>
      <c r="N1562" t="s">
        <v>79</v>
      </c>
      <c r="O1562" t="s">
        <v>138</v>
      </c>
      <c r="P1562">
        <v>254.60400000000001</v>
      </c>
    </row>
    <row r="1563" spans="1:16">
      <c r="A1563" s="4">
        <v>2016</v>
      </c>
      <c r="B1563" s="4">
        <v>117415</v>
      </c>
      <c r="C1563" t="s">
        <v>622</v>
      </c>
      <c r="D1563" t="s">
        <v>623</v>
      </c>
      <c r="E1563" t="s">
        <v>18</v>
      </c>
      <c r="F1563" t="s">
        <v>4267</v>
      </c>
      <c r="G1563" t="s">
        <v>4268</v>
      </c>
      <c r="H1563" t="s">
        <v>33</v>
      </c>
      <c r="I1563" t="s">
        <v>63</v>
      </c>
      <c r="J1563" t="s">
        <v>183</v>
      </c>
      <c r="K1563" t="s">
        <v>35</v>
      </c>
      <c r="L1563" t="s">
        <v>36</v>
      </c>
      <c r="M1563" t="s">
        <v>4025</v>
      </c>
      <c r="N1563" t="s">
        <v>27</v>
      </c>
      <c r="O1563" t="s">
        <v>501</v>
      </c>
      <c r="P1563">
        <v>113.328</v>
      </c>
    </row>
    <row r="1564" spans="1:16">
      <c r="A1564" s="4">
        <v>2016</v>
      </c>
      <c r="B1564" s="4">
        <v>161991</v>
      </c>
      <c r="C1564" t="s">
        <v>1040</v>
      </c>
      <c r="D1564" t="s">
        <v>1722</v>
      </c>
      <c r="E1564" t="s">
        <v>144</v>
      </c>
      <c r="F1564" t="s">
        <v>4271</v>
      </c>
      <c r="G1564" t="s">
        <v>4272</v>
      </c>
      <c r="H1564" t="s">
        <v>33</v>
      </c>
      <c r="I1564" t="s">
        <v>97</v>
      </c>
      <c r="J1564" t="s">
        <v>183</v>
      </c>
      <c r="K1564" t="s">
        <v>35</v>
      </c>
      <c r="L1564" t="s">
        <v>36</v>
      </c>
      <c r="M1564" t="s">
        <v>4273</v>
      </c>
      <c r="N1564" t="s">
        <v>27</v>
      </c>
      <c r="O1564" t="s">
        <v>101</v>
      </c>
      <c r="P1564">
        <v>2.08</v>
      </c>
    </row>
    <row r="1565" spans="1:16">
      <c r="A1565" s="4">
        <v>2018</v>
      </c>
      <c r="B1565" s="4">
        <v>144463</v>
      </c>
      <c r="C1565" t="s">
        <v>2326</v>
      </c>
      <c r="D1565" t="s">
        <v>956</v>
      </c>
      <c r="E1565" t="s">
        <v>18</v>
      </c>
      <c r="F1565" t="s">
        <v>4271</v>
      </c>
      <c r="G1565" t="s">
        <v>4272</v>
      </c>
      <c r="H1565" t="s">
        <v>33</v>
      </c>
      <c r="I1565" t="s">
        <v>97</v>
      </c>
      <c r="J1565" t="s">
        <v>64</v>
      </c>
      <c r="K1565" t="s">
        <v>65</v>
      </c>
      <c r="L1565" t="s">
        <v>66</v>
      </c>
      <c r="M1565" t="s">
        <v>2101</v>
      </c>
      <c r="N1565" t="s">
        <v>79</v>
      </c>
      <c r="O1565" t="s">
        <v>80</v>
      </c>
      <c r="P1565">
        <v>474.43</v>
      </c>
    </row>
    <row r="1566" spans="1:16">
      <c r="A1566" s="4">
        <v>2017</v>
      </c>
      <c r="B1566" s="4">
        <v>103730</v>
      </c>
      <c r="C1566" t="s">
        <v>1469</v>
      </c>
      <c r="D1566" t="s">
        <v>2303</v>
      </c>
      <c r="E1566" t="s">
        <v>42</v>
      </c>
      <c r="F1566" t="s">
        <v>4271</v>
      </c>
      <c r="G1566" t="s">
        <v>4272</v>
      </c>
      <c r="H1566" t="s">
        <v>33</v>
      </c>
      <c r="I1566" t="s">
        <v>97</v>
      </c>
      <c r="J1566" t="s">
        <v>653</v>
      </c>
      <c r="K1566" t="s">
        <v>1392</v>
      </c>
      <c r="L1566" t="s">
        <v>25</v>
      </c>
      <c r="M1566" t="s">
        <v>4274</v>
      </c>
      <c r="N1566" t="s">
        <v>79</v>
      </c>
      <c r="O1566" t="s">
        <v>80</v>
      </c>
      <c r="P1566">
        <v>47.04</v>
      </c>
    </row>
    <row r="1567" spans="1:16">
      <c r="A1567" s="4">
        <v>2015</v>
      </c>
      <c r="B1567" s="4">
        <v>164903</v>
      </c>
      <c r="C1567" t="s">
        <v>3122</v>
      </c>
      <c r="D1567" t="s">
        <v>4275</v>
      </c>
      <c r="E1567" t="s">
        <v>18</v>
      </c>
      <c r="F1567" t="s">
        <v>4276</v>
      </c>
      <c r="G1567" t="s">
        <v>4277</v>
      </c>
      <c r="H1567" t="s">
        <v>33</v>
      </c>
      <c r="I1567" t="s">
        <v>63</v>
      </c>
      <c r="J1567" t="s">
        <v>64</v>
      </c>
      <c r="K1567" t="s">
        <v>65</v>
      </c>
      <c r="L1567" t="s">
        <v>66</v>
      </c>
      <c r="M1567" t="s">
        <v>4278</v>
      </c>
      <c r="N1567" t="s">
        <v>27</v>
      </c>
      <c r="O1567" t="s">
        <v>52</v>
      </c>
      <c r="P1567">
        <v>12.96</v>
      </c>
    </row>
    <row r="1568" spans="1:16">
      <c r="A1568" s="4">
        <v>2018</v>
      </c>
      <c r="B1568" s="4">
        <v>165323</v>
      </c>
      <c r="C1568" t="s">
        <v>2924</v>
      </c>
      <c r="D1568" t="s">
        <v>232</v>
      </c>
      <c r="E1568" t="s">
        <v>18</v>
      </c>
      <c r="F1568" t="s">
        <v>4276</v>
      </c>
      <c r="G1568" t="s">
        <v>4277</v>
      </c>
      <c r="H1568" t="s">
        <v>33</v>
      </c>
      <c r="I1568" t="s">
        <v>63</v>
      </c>
      <c r="J1568" t="s">
        <v>49</v>
      </c>
      <c r="K1568" t="s">
        <v>50</v>
      </c>
      <c r="L1568" t="s">
        <v>25</v>
      </c>
      <c r="M1568" t="s">
        <v>2170</v>
      </c>
      <c r="N1568" t="s">
        <v>38</v>
      </c>
      <c r="O1568" t="s">
        <v>39</v>
      </c>
      <c r="P1568">
        <v>3404.5</v>
      </c>
    </row>
    <row r="1569" spans="1:16">
      <c r="A1569" s="4">
        <v>2017</v>
      </c>
      <c r="B1569" s="4">
        <v>137050</v>
      </c>
      <c r="C1569" t="s">
        <v>1034</v>
      </c>
      <c r="D1569" t="s">
        <v>2601</v>
      </c>
      <c r="E1569" t="s">
        <v>144</v>
      </c>
      <c r="F1569" t="s">
        <v>4279</v>
      </c>
      <c r="G1569" t="s">
        <v>4280</v>
      </c>
      <c r="H1569" t="s">
        <v>21</v>
      </c>
      <c r="I1569" t="s">
        <v>22</v>
      </c>
      <c r="J1569" t="s">
        <v>49</v>
      </c>
      <c r="K1569" t="s">
        <v>50</v>
      </c>
      <c r="L1569" t="s">
        <v>25</v>
      </c>
      <c r="M1569" t="s">
        <v>4281</v>
      </c>
      <c r="N1569" t="s">
        <v>27</v>
      </c>
      <c r="O1569" t="s">
        <v>58</v>
      </c>
      <c r="P1569">
        <v>11.21</v>
      </c>
    </row>
    <row r="1570" spans="1:16">
      <c r="A1570" s="4">
        <v>2017</v>
      </c>
      <c r="B1570" s="4">
        <v>127208</v>
      </c>
      <c r="C1570" t="s">
        <v>1469</v>
      </c>
      <c r="D1570" t="s">
        <v>2303</v>
      </c>
      <c r="E1570" t="s">
        <v>42</v>
      </c>
      <c r="F1570" t="s">
        <v>4282</v>
      </c>
      <c r="G1570" t="s">
        <v>4283</v>
      </c>
      <c r="H1570" t="s">
        <v>21</v>
      </c>
      <c r="I1570" t="s">
        <v>22</v>
      </c>
      <c r="J1570" t="s">
        <v>158</v>
      </c>
      <c r="K1570" t="s">
        <v>518</v>
      </c>
      <c r="L1570" t="s">
        <v>45</v>
      </c>
      <c r="M1570" t="s">
        <v>4284</v>
      </c>
      <c r="N1570" t="s">
        <v>27</v>
      </c>
      <c r="O1570" t="s">
        <v>228</v>
      </c>
      <c r="P1570">
        <v>208.16</v>
      </c>
    </row>
    <row r="1571" spans="1:16">
      <c r="A1571" s="4">
        <v>2016</v>
      </c>
      <c r="B1571" s="4">
        <v>112130</v>
      </c>
      <c r="C1571" t="s">
        <v>2313</v>
      </c>
      <c r="D1571" t="s">
        <v>1259</v>
      </c>
      <c r="E1571" t="s">
        <v>18</v>
      </c>
      <c r="F1571" t="s">
        <v>4285</v>
      </c>
      <c r="G1571" t="s">
        <v>4286</v>
      </c>
      <c r="H1571" t="s">
        <v>33</v>
      </c>
      <c r="I1571" t="s">
        <v>97</v>
      </c>
      <c r="J1571" t="s">
        <v>23</v>
      </c>
      <c r="K1571" t="s">
        <v>24</v>
      </c>
      <c r="L1571" t="s">
        <v>25</v>
      </c>
      <c r="M1571" t="s">
        <v>2853</v>
      </c>
      <c r="N1571" t="s">
        <v>27</v>
      </c>
      <c r="O1571" t="s">
        <v>28</v>
      </c>
      <c r="P1571">
        <v>59.904000000000003</v>
      </c>
    </row>
    <row r="1572" spans="1:16">
      <c r="A1572" s="4">
        <v>2015</v>
      </c>
      <c r="B1572" s="4">
        <v>100895</v>
      </c>
      <c r="C1572" t="s">
        <v>1298</v>
      </c>
      <c r="D1572" t="s">
        <v>1038</v>
      </c>
      <c r="E1572" t="s">
        <v>18</v>
      </c>
      <c r="F1572" t="s">
        <v>4285</v>
      </c>
      <c r="G1572" t="s">
        <v>4286</v>
      </c>
      <c r="H1572" t="s">
        <v>33</v>
      </c>
      <c r="I1572" t="s">
        <v>97</v>
      </c>
      <c r="J1572" t="s">
        <v>1774</v>
      </c>
      <c r="K1572" t="s">
        <v>86</v>
      </c>
      <c r="L1572" t="s">
        <v>45</v>
      </c>
      <c r="M1572" t="s">
        <v>4287</v>
      </c>
      <c r="N1572" t="s">
        <v>27</v>
      </c>
      <c r="O1572" t="s">
        <v>28</v>
      </c>
      <c r="P1572">
        <v>8.56</v>
      </c>
    </row>
    <row r="1573" spans="1:16">
      <c r="A1573" s="4">
        <v>2015</v>
      </c>
      <c r="B1573" s="4">
        <v>160780</v>
      </c>
      <c r="C1573" t="s">
        <v>1250</v>
      </c>
      <c r="D1573" t="s">
        <v>1250</v>
      </c>
      <c r="E1573" t="s">
        <v>132</v>
      </c>
      <c r="F1573" t="s">
        <v>4285</v>
      </c>
      <c r="G1573" t="s">
        <v>4286</v>
      </c>
      <c r="H1573" t="s">
        <v>33</v>
      </c>
      <c r="I1573" t="s">
        <v>97</v>
      </c>
      <c r="J1573" t="s">
        <v>2861</v>
      </c>
      <c r="K1573" t="s">
        <v>222</v>
      </c>
      <c r="L1573" t="s">
        <v>66</v>
      </c>
      <c r="M1573" t="s">
        <v>4288</v>
      </c>
      <c r="N1573" t="s">
        <v>27</v>
      </c>
      <c r="O1573" t="s">
        <v>101</v>
      </c>
      <c r="P1573">
        <v>11.087999999999999</v>
      </c>
    </row>
    <row r="1574" spans="1:16">
      <c r="A1574" s="4">
        <v>2016</v>
      </c>
      <c r="B1574" s="4">
        <v>155761</v>
      </c>
      <c r="C1574" t="s">
        <v>604</v>
      </c>
      <c r="D1574" t="s">
        <v>604</v>
      </c>
      <c r="E1574" t="s">
        <v>132</v>
      </c>
      <c r="F1574" t="s">
        <v>4289</v>
      </c>
      <c r="G1574" t="s">
        <v>4290</v>
      </c>
      <c r="H1574" t="s">
        <v>33</v>
      </c>
      <c r="I1574" t="s">
        <v>97</v>
      </c>
      <c r="J1574" t="s">
        <v>183</v>
      </c>
      <c r="K1574" t="s">
        <v>35</v>
      </c>
      <c r="L1574" t="s">
        <v>36</v>
      </c>
      <c r="M1574" t="s">
        <v>4291</v>
      </c>
      <c r="N1574" t="s">
        <v>38</v>
      </c>
      <c r="O1574" t="s">
        <v>68</v>
      </c>
      <c r="P1574">
        <v>159.98400000000001</v>
      </c>
    </row>
    <row r="1575" spans="1:16">
      <c r="A1575" s="4">
        <v>2018</v>
      </c>
      <c r="B1575" s="4">
        <v>135167</v>
      </c>
      <c r="C1575" t="s">
        <v>4157</v>
      </c>
      <c r="D1575" t="s">
        <v>1380</v>
      </c>
      <c r="E1575" t="s">
        <v>18</v>
      </c>
      <c r="F1575" t="s">
        <v>4289</v>
      </c>
      <c r="G1575" t="s">
        <v>4290</v>
      </c>
      <c r="H1575" t="s">
        <v>33</v>
      </c>
      <c r="I1575" t="s">
        <v>97</v>
      </c>
      <c r="J1575" t="s">
        <v>64</v>
      </c>
      <c r="K1575" t="s">
        <v>65</v>
      </c>
      <c r="L1575" t="s">
        <v>66</v>
      </c>
      <c r="M1575" t="s">
        <v>4156</v>
      </c>
      <c r="N1575" t="s">
        <v>27</v>
      </c>
      <c r="O1575" t="s">
        <v>28</v>
      </c>
      <c r="P1575">
        <v>4.26</v>
      </c>
    </row>
    <row r="1576" spans="1:16">
      <c r="A1576" s="4">
        <v>2016</v>
      </c>
      <c r="B1576" s="4">
        <v>126697</v>
      </c>
      <c r="C1576" t="s">
        <v>1206</v>
      </c>
      <c r="D1576" t="s">
        <v>1721</v>
      </c>
      <c r="E1576" t="s">
        <v>42</v>
      </c>
      <c r="F1576" t="s">
        <v>4292</v>
      </c>
      <c r="G1576" t="s">
        <v>4293</v>
      </c>
      <c r="H1576" t="s">
        <v>33</v>
      </c>
      <c r="I1576" t="s">
        <v>22</v>
      </c>
      <c r="J1576" t="s">
        <v>183</v>
      </c>
      <c r="K1576" t="s">
        <v>35</v>
      </c>
      <c r="L1576" t="s">
        <v>36</v>
      </c>
      <c r="M1576" t="s">
        <v>4294</v>
      </c>
      <c r="N1576" t="s">
        <v>38</v>
      </c>
      <c r="O1576" t="s">
        <v>118</v>
      </c>
      <c r="P1576">
        <v>946.34400000000005</v>
      </c>
    </row>
    <row r="1577" spans="1:16">
      <c r="A1577" s="4">
        <v>2018</v>
      </c>
      <c r="B1577" s="4">
        <v>100237</v>
      </c>
      <c r="C1577" t="s">
        <v>2148</v>
      </c>
      <c r="D1577" t="s">
        <v>659</v>
      </c>
      <c r="E1577" t="s">
        <v>18</v>
      </c>
      <c r="F1577" t="s">
        <v>4292</v>
      </c>
      <c r="G1577" t="s">
        <v>4293</v>
      </c>
      <c r="H1577" t="s">
        <v>33</v>
      </c>
      <c r="I1577" t="s">
        <v>22</v>
      </c>
      <c r="J1577" t="s">
        <v>1301</v>
      </c>
      <c r="K1577" t="s">
        <v>217</v>
      </c>
      <c r="L1577" t="s">
        <v>66</v>
      </c>
      <c r="M1577" t="s">
        <v>4295</v>
      </c>
      <c r="N1577" t="s">
        <v>27</v>
      </c>
      <c r="O1577" t="s">
        <v>28</v>
      </c>
      <c r="P1577">
        <v>11.68</v>
      </c>
    </row>
    <row r="1578" spans="1:16">
      <c r="A1578" s="4">
        <v>2016</v>
      </c>
      <c r="B1578" s="4">
        <v>115938</v>
      </c>
      <c r="C1578" t="s">
        <v>3022</v>
      </c>
      <c r="D1578" t="s">
        <v>2652</v>
      </c>
      <c r="E1578" t="s">
        <v>18</v>
      </c>
      <c r="F1578" t="s">
        <v>4296</v>
      </c>
      <c r="G1578" t="s">
        <v>4297</v>
      </c>
      <c r="H1578" t="s">
        <v>33</v>
      </c>
      <c r="I1578" t="s">
        <v>97</v>
      </c>
      <c r="J1578" t="s">
        <v>1011</v>
      </c>
      <c r="K1578" t="s">
        <v>56</v>
      </c>
      <c r="L1578" t="s">
        <v>45</v>
      </c>
      <c r="M1578" t="s">
        <v>4298</v>
      </c>
      <c r="N1578" t="s">
        <v>27</v>
      </c>
      <c r="O1578" t="s">
        <v>101</v>
      </c>
      <c r="P1578">
        <v>143.96</v>
      </c>
    </row>
    <row r="1579" spans="1:16">
      <c r="A1579" s="4">
        <v>2018</v>
      </c>
      <c r="B1579" s="4">
        <v>122154</v>
      </c>
      <c r="C1579" t="s">
        <v>1044</v>
      </c>
      <c r="D1579" t="s">
        <v>1045</v>
      </c>
      <c r="E1579" t="s">
        <v>42</v>
      </c>
      <c r="F1579" t="s">
        <v>4296</v>
      </c>
      <c r="G1579" t="s">
        <v>4297</v>
      </c>
      <c r="H1579" t="s">
        <v>33</v>
      </c>
      <c r="I1579" t="s">
        <v>97</v>
      </c>
      <c r="J1579" t="s">
        <v>43</v>
      </c>
      <c r="K1579" t="s">
        <v>196</v>
      </c>
      <c r="L1579" t="s">
        <v>45</v>
      </c>
      <c r="M1579" t="s">
        <v>4299</v>
      </c>
      <c r="N1579" t="s">
        <v>27</v>
      </c>
      <c r="O1579" t="s">
        <v>111</v>
      </c>
      <c r="P1579">
        <v>15.12</v>
      </c>
    </row>
    <row r="1580" spans="1:16">
      <c r="A1580" s="4">
        <v>2015</v>
      </c>
      <c r="B1580" s="4">
        <v>154627</v>
      </c>
      <c r="C1580" t="s">
        <v>326</v>
      </c>
      <c r="D1580" t="s">
        <v>549</v>
      </c>
      <c r="E1580" t="s">
        <v>42</v>
      </c>
      <c r="F1580" t="s">
        <v>4296</v>
      </c>
      <c r="G1580" t="s">
        <v>4297</v>
      </c>
      <c r="H1580" t="s">
        <v>33</v>
      </c>
      <c r="I1580" t="s">
        <v>97</v>
      </c>
      <c r="J1580" t="s">
        <v>108</v>
      </c>
      <c r="K1580" t="s">
        <v>109</v>
      </c>
      <c r="L1580" t="s">
        <v>36</v>
      </c>
      <c r="M1580" t="s">
        <v>1258</v>
      </c>
      <c r="N1580" t="s">
        <v>38</v>
      </c>
      <c r="O1580" t="s">
        <v>118</v>
      </c>
      <c r="P1580">
        <v>2735.9520000000002</v>
      </c>
    </row>
    <row r="1581" spans="1:16">
      <c r="A1581" s="4">
        <v>2016</v>
      </c>
      <c r="B1581" s="4">
        <v>105158</v>
      </c>
      <c r="C1581" t="s">
        <v>407</v>
      </c>
      <c r="D1581" t="s">
        <v>149</v>
      </c>
      <c r="E1581" t="s">
        <v>18</v>
      </c>
      <c r="F1581" t="s">
        <v>4300</v>
      </c>
      <c r="G1581" t="s">
        <v>4301</v>
      </c>
      <c r="H1581" t="s">
        <v>33</v>
      </c>
      <c r="I1581" t="s">
        <v>22</v>
      </c>
      <c r="J1581" t="s">
        <v>663</v>
      </c>
      <c r="K1581" t="s">
        <v>372</v>
      </c>
      <c r="L1581" t="s">
        <v>36</v>
      </c>
      <c r="M1581" t="s">
        <v>4302</v>
      </c>
      <c r="N1581" t="s">
        <v>79</v>
      </c>
      <c r="O1581" t="s">
        <v>80</v>
      </c>
      <c r="P1581">
        <v>6.16</v>
      </c>
    </row>
    <row r="1582" spans="1:16">
      <c r="A1582" s="4">
        <v>2015</v>
      </c>
      <c r="B1582" s="4">
        <v>164259</v>
      </c>
      <c r="C1582" t="s">
        <v>182</v>
      </c>
      <c r="D1582" t="s">
        <v>365</v>
      </c>
      <c r="E1582" t="s">
        <v>42</v>
      </c>
      <c r="F1582" t="s">
        <v>4300</v>
      </c>
      <c r="G1582" t="s">
        <v>4301</v>
      </c>
      <c r="H1582" t="s">
        <v>33</v>
      </c>
      <c r="I1582" t="s">
        <v>22</v>
      </c>
      <c r="J1582" t="s">
        <v>23</v>
      </c>
      <c r="K1582" t="s">
        <v>24</v>
      </c>
      <c r="L1582" t="s">
        <v>25</v>
      </c>
      <c r="M1582" t="s">
        <v>4303</v>
      </c>
      <c r="N1582" t="s">
        <v>27</v>
      </c>
      <c r="O1582" t="s">
        <v>28</v>
      </c>
      <c r="P1582">
        <v>99.135999999999996</v>
      </c>
    </row>
    <row r="1583" spans="1:16">
      <c r="A1583" s="4">
        <v>2018</v>
      </c>
      <c r="B1583" s="4">
        <v>110478</v>
      </c>
      <c r="C1583" t="s">
        <v>4304</v>
      </c>
      <c r="D1583" t="s">
        <v>3140</v>
      </c>
      <c r="E1583" t="s">
        <v>18</v>
      </c>
      <c r="F1583" t="s">
        <v>4300</v>
      </c>
      <c r="G1583" t="s">
        <v>4301</v>
      </c>
      <c r="H1583" t="s">
        <v>33</v>
      </c>
      <c r="I1583" t="s">
        <v>22</v>
      </c>
      <c r="J1583" t="s">
        <v>64</v>
      </c>
      <c r="K1583" t="s">
        <v>65</v>
      </c>
      <c r="L1583" t="s">
        <v>66</v>
      </c>
      <c r="M1583" t="s">
        <v>4305</v>
      </c>
      <c r="N1583" t="s">
        <v>27</v>
      </c>
      <c r="O1583" t="s">
        <v>28</v>
      </c>
      <c r="P1583">
        <v>9.32</v>
      </c>
    </row>
    <row r="1584" spans="1:16">
      <c r="A1584" s="4">
        <v>2015</v>
      </c>
      <c r="B1584" s="4">
        <v>105151</v>
      </c>
      <c r="C1584" t="s">
        <v>3048</v>
      </c>
      <c r="D1584" t="s">
        <v>296</v>
      </c>
      <c r="E1584" t="s">
        <v>42</v>
      </c>
      <c r="F1584" t="s">
        <v>4306</v>
      </c>
      <c r="G1584" t="s">
        <v>4307</v>
      </c>
      <c r="H1584" t="s">
        <v>21</v>
      </c>
      <c r="I1584" t="s">
        <v>22</v>
      </c>
      <c r="J1584" t="s">
        <v>49</v>
      </c>
      <c r="K1584" t="s">
        <v>50</v>
      </c>
      <c r="L1584" t="s">
        <v>25</v>
      </c>
      <c r="M1584" t="s">
        <v>4308</v>
      </c>
      <c r="N1584" t="s">
        <v>27</v>
      </c>
      <c r="O1584" t="s">
        <v>28</v>
      </c>
      <c r="P1584">
        <v>10.5</v>
      </c>
    </row>
    <row r="1585" spans="1:16">
      <c r="A1585" s="4">
        <v>2017</v>
      </c>
      <c r="B1585" s="4">
        <v>136371</v>
      </c>
      <c r="C1585" t="s">
        <v>895</v>
      </c>
      <c r="D1585" t="s">
        <v>896</v>
      </c>
      <c r="E1585" t="s">
        <v>144</v>
      </c>
      <c r="F1585" t="s">
        <v>4309</v>
      </c>
      <c r="G1585" t="s">
        <v>4310</v>
      </c>
      <c r="H1585" t="s">
        <v>33</v>
      </c>
      <c r="I1585" t="s">
        <v>97</v>
      </c>
      <c r="J1585" t="s">
        <v>1588</v>
      </c>
      <c r="K1585" t="s">
        <v>50</v>
      </c>
      <c r="L1585" t="s">
        <v>25</v>
      </c>
      <c r="M1585" t="s">
        <v>4311</v>
      </c>
      <c r="N1585" t="s">
        <v>79</v>
      </c>
      <c r="O1585" t="s">
        <v>80</v>
      </c>
      <c r="P1585">
        <v>14.98</v>
      </c>
    </row>
    <row r="1586" spans="1:16">
      <c r="A1586" s="4">
        <v>2017</v>
      </c>
      <c r="B1586" s="4">
        <v>124681</v>
      </c>
      <c r="C1586" t="s">
        <v>2601</v>
      </c>
      <c r="D1586" t="s">
        <v>2583</v>
      </c>
      <c r="E1586" t="s">
        <v>144</v>
      </c>
      <c r="F1586" t="s">
        <v>4309</v>
      </c>
      <c r="G1586" t="s">
        <v>4310</v>
      </c>
      <c r="H1586" t="s">
        <v>33</v>
      </c>
      <c r="I1586" t="s">
        <v>97</v>
      </c>
      <c r="J1586" t="s">
        <v>627</v>
      </c>
      <c r="K1586" t="s">
        <v>35</v>
      </c>
      <c r="L1586" t="s">
        <v>36</v>
      </c>
      <c r="M1586" t="s">
        <v>4312</v>
      </c>
      <c r="N1586" t="s">
        <v>38</v>
      </c>
      <c r="O1586" t="s">
        <v>68</v>
      </c>
      <c r="P1586">
        <v>15.576000000000001</v>
      </c>
    </row>
    <row r="1587" spans="1:16">
      <c r="A1587" s="4">
        <v>2016</v>
      </c>
      <c r="B1587" s="4">
        <v>100685</v>
      </c>
      <c r="C1587" t="s">
        <v>2564</v>
      </c>
      <c r="D1587" t="s">
        <v>1991</v>
      </c>
      <c r="E1587" t="s">
        <v>144</v>
      </c>
      <c r="F1587" t="s">
        <v>4313</v>
      </c>
      <c r="G1587" t="s">
        <v>4314</v>
      </c>
      <c r="H1587" t="s">
        <v>33</v>
      </c>
      <c r="I1587" t="s">
        <v>22</v>
      </c>
      <c r="J1587" t="s">
        <v>312</v>
      </c>
      <c r="K1587" t="s">
        <v>313</v>
      </c>
      <c r="L1587" t="s">
        <v>36</v>
      </c>
      <c r="M1587" t="s">
        <v>4315</v>
      </c>
      <c r="N1587" t="s">
        <v>27</v>
      </c>
      <c r="O1587" t="s">
        <v>101</v>
      </c>
      <c r="P1587">
        <v>7.04</v>
      </c>
    </row>
    <row r="1588" spans="1:16">
      <c r="A1588" s="4">
        <v>2015</v>
      </c>
      <c r="B1588" s="4">
        <v>126907</v>
      </c>
      <c r="C1588" t="s">
        <v>3546</v>
      </c>
      <c r="D1588" t="s">
        <v>521</v>
      </c>
      <c r="E1588" t="s">
        <v>18</v>
      </c>
      <c r="F1588" t="s">
        <v>4313</v>
      </c>
      <c r="G1588" t="s">
        <v>4314</v>
      </c>
      <c r="H1588" t="s">
        <v>33</v>
      </c>
      <c r="I1588" t="s">
        <v>22</v>
      </c>
      <c r="J1588" t="s">
        <v>108</v>
      </c>
      <c r="K1588" t="s">
        <v>109</v>
      </c>
      <c r="L1588" t="s">
        <v>36</v>
      </c>
      <c r="M1588" t="s">
        <v>4316</v>
      </c>
      <c r="N1588" t="s">
        <v>27</v>
      </c>
      <c r="O1588" t="s">
        <v>52</v>
      </c>
      <c r="P1588">
        <v>15.696</v>
      </c>
    </row>
    <row r="1589" spans="1:16">
      <c r="A1589" s="4">
        <v>2018</v>
      </c>
      <c r="B1589" s="4">
        <v>150497</v>
      </c>
      <c r="C1589" t="s">
        <v>1106</v>
      </c>
      <c r="D1589" t="s">
        <v>4317</v>
      </c>
      <c r="E1589" t="s">
        <v>18</v>
      </c>
      <c r="F1589" t="s">
        <v>4313</v>
      </c>
      <c r="G1589" t="s">
        <v>4314</v>
      </c>
      <c r="H1589" t="s">
        <v>33</v>
      </c>
      <c r="I1589" t="s">
        <v>22</v>
      </c>
      <c r="J1589" t="s">
        <v>4318</v>
      </c>
      <c r="K1589" t="s">
        <v>372</v>
      </c>
      <c r="L1589" t="s">
        <v>36</v>
      </c>
      <c r="M1589" t="s">
        <v>4319</v>
      </c>
      <c r="N1589" t="s">
        <v>27</v>
      </c>
      <c r="O1589" t="s">
        <v>101</v>
      </c>
      <c r="P1589">
        <v>735.98</v>
      </c>
    </row>
    <row r="1590" spans="1:16">
      <c r="A1590" s="4">
        <v>2017</v>
      </c>
      <c r="B1590" s="4">
        <v>144393</v>
      </c>
      <c r="C1590" t="s">
        <v>273</v>
      </c>
      <c r="D1590" t="s">
        <v>267</v>
      </c>
      <c r="E1590" t="s">
        <v>18</v>
      </c>
      <c r="F1590" t="s">
        <v>4313</v>
      </c>
      <c r="G1590" t="s">
        <v>4314</v>
      </c>
      <c r="H1590" t="s">
        <v>33</v>
      </c>
      <c r="I1590" t="s">
        <v>22</v>
      </c>
      <c r="J1590" t="s">
        <v>1579</v>
      </c>
      <c r="K1590" t="s">
        <v>44</v>
      </c>
      <c r="L1590" t="s">
        <v>45</v>
      </c>
      <c r="M1590" t="s">
        <v>4320</v>
      </c>
      <c r="N1590" t="s">
        <v>27</v>
      </c>
      <c r="O1590" t="s">
        <v>101</v>
      </c>
      <c r="P1590">
        <v>17.616</v>
      </c>
    </row>
    <row r="1591" spans="1:16">
      <c r="A1591" s="4">
        <v>2015</v>
      </c>
      <c r="B1591" s="4">
        <v>169852</v>
      </c>
      <c r="C1591" t="s">
        <v>4321</v>
      </c>
      <c r="D1591" t="s">
        <v>4322</v>
      </c>
      <c r="E1591" t="s">
        <v>18</v>
      </c>
      <c r="F1591" t="s">
        <v>4323</v>
      </c>
      <c r="G1591" t="s">
        <v>4324</v>
      </c>
      <c r="H1591" t="s">
        <v>33</v>
      </c>
      <c r="I1591" t="s">
        <v>22</v>
      </c>
      <c r="J1591" t="s">
        <v>630</v>
      </c>
      <c r="K1591" t="s">
        <v>65</v>
      </c>
      <c r="L1591" t="s">
        <v>66</v>
      </c>
      <c r="M1591" t="s">
        <v>4325</v>
      </c>
      <c r="N1591" t="s">
        <v>27</v>
      </c>
      <c r="O1591" t="s">
        <v>101</v>
      </c>
      <c r="P1591">
        <v>36.36</v>
      </c>
    </row>
    <row r="1592" spans="1:16">
      <c r="A1592" s="4">
        <v>2016</v>
      </c>
      <c r="B1592" s="4">
        <v>138009</v>
      </c>
      <c r="C1592" t="s">
        <v>584</v>
      </c>
      <c r="D1592" t="s">
        <v>871</v>
      </c>
      <c r="E1592" t="s">
        <v>18</v>
      </c>
      <c r="F1592" t="s">
        <v>4323</v>
      </c>
      <c r="G1592" t="s">
        <v>4324</v>
      </c>
      <c r="H1592" t="s">
        <v>33</v>
      </c>
      <c r="I1592" t="s">
        <v>22</v>
      </c>
      <c r="J1592" t="s">
        <v>3459</v>
      </c>
      <c r="K1592" t="s">
        <v>855</v>
      </c>
      <c r="L1592" t="s">
        <v>36</v>
      </c>
      <c r="M1592" t="s">
        <v>3130</v>
      </c>
      <c r="N1592" t="s">
        <v>79</v>
      </c>
      <c r="O1592" t="s">
        <v>138</v>
      </c>
      <c r="P1592">
        <v>301.95999999999998</v>
      </c>
    </row>
    <row r="1593" spans="1:16">
      <c r="A1593" s="4">
        <v>2016</v>
      </c>
      <c r="B1593" s="4">
        <v>143077</v>
      </c>
      <c r="C1593" t="s">
        <v>1124</v>
      </c>
      <c r="D1593" t="s">
        <v>1206</v>
      </c>
      <c r="E1593" t="s">
        <v>18</v>
      </c>
      <c r="F1593" t="s">
        <v>4323</v>
      </c>
      <c r="G1593" t="s">
        <v>4324</v>
      </c>
      <c r="H1593" t="s">
        <v>33</v>
      </c>
      <c r="I1593" t="s">
        <v>22</v>
      </c>
      <c r="J1593" t="s">
        <v>183</v>
      </c>
      <c r="K1593" t="s">
        <v>35</v>
      </c>
      <c r="L1593" t="s">
        <v>36</v>
      </c>
      <c r="M1593" t="s">
        <v>1842</v>
      </c>
      <c r="N1593" t="s">
        <v>79</v>
      </c>
      <c r="O1593" t="s">
        <v>80</v>
      </c>
      <c r="P1593">
        <v>21.936</v>
      </c>
    </row>
    <row r="1594" spans="1:16">
      <c r="A1594" s="4">
        <v>2018</v>
      </c>
      <c r="B1594" s="4">
        <v>139311</v>
      </c>
      <c r="C1594" t="s">
        <v>4326</v>
      </c>
      <c r="D1594" t="s">
        <v>3403</v>
      </c>
      <c r="E1594" t="s">
        <v>42</v>
      </c>
      <c r="F1594" t="s">
        <v>4323</v>
      </c>
      <c r="G1594" t="s">
        <v>4324</v>
      </c>
      <c r="H1594" t="s">
        <v>33</v>
      </c>
      <c r="I1594" t="s">
        <v>22</v>
      </c>
      <c r="J1594" t="s">
        <v>4327</v>
      </c>
      <c r="K1594" t="s">
        <v>35</v>
      </c>
      <c r="L1594" t="s">
        <v>36</v>
      </c>
      <c r="M1594" t="s">
        <v>4328</v>
      </c>
      <c r="N1594" t="s">
        <v>27</v>
      </c>
      <c r="O1594" t="s">
        <v>52</v>
      </c>
      <c r="P1594">
        <v>29.664000000000001</v>
      </c>
    </row>
    <row r="1595" spans="1:16">
      <c r="A1595" s="4">
        <v>2015</v>
      </c>
      <c r="B1595" s="4">
        <v>153087</v>
      </c>
      <c r="C1595" t="s">
        <v>364</v>
      </c>
      <c r="D1595" t="s">
        <v>2213</v>
      </c>
      <c r="E1595" t="s">
        <v>18</v>
      </c>
      <c r="F1595" t="s">
        <v>4329</v>
      </c>
      <c r="G1595" t="s">
        <v>4330</v>
      </c>
      <c r="H1595" t="s">
        <v>33</v>
      </c>
      <c r="I1595" t="s">
        <v>22</v>
      </c>
      <c r="J1595" t="s">
        <v>158</v>
      </c>
      <c r="K1595" t="s">
        <v>518</v>
      </c>
      <c r="L1595" t="s">
        <v>45</v>
      </c>
      <c r="M1595" t="s">
        <v>4331</v>
      </c>
      <c r="N1595" t="s">
        <v>27</v>
      </c>
      <c r="O1595" t="s">
        <v>52</v>
      </c>
      <c r="P1595">
        <v>23.92</v>
      </c>
    </row>
    <row r="1596" spans="1:16">
      <c r="A1596" s="4">
        <v>2017</v>
      </c>
      <c r="B1596" s="4">
        <v>129693</v>
      </c>
      <c r="C1596" t="s">
        <v>1240</v>
      </c>
      <c r="D1596" t="s">
        <v>219</v>
      </c>
      <c r="E1596" t="s">
        <v>18</v>
      </c>
      <c r="F1596" t="s">
        <v>4329</v>
      </c>
      <c r="G1596" t="s">
        <v>4330</v>
      </c>
      <c r="H1596" t="s">
        <v>33</v>
      </c>
      <c r="I1596" t="s">
        <v>22</v>
      </c>
      <c r="J1596" t="s">
        <v>271</v>
      </c>
      <c r="K1596" t="s">
        <v>165</v>
      </c>
      <c r="L1596" t="s">
        <v>66</v>
      </c>
      <c r="M1596" t="s">
        <v>4332</v>
      </c>
      <c r="N1596" t="s">
        <v>27</v>
      </c>
      <c r="O1596" t="s">
        <v>101</v>
      </c>
      <c r="P1596">
        <v>7.3120000000000003</v>
      </c>
    </row>
    <row r="1597" spans="1:16">
      <c r="A1597" s="4">
        <v>2018</v>
      </c>
      <c r="B1597" s="4">
        <v>103156</v>
      </c>
      <c r="C1597" t="s">
        <v>125</v>
      </c>
      <c r="D1597" t="s">
        <v>2320</v>
      </c>
      <c r="E1597" t="s">
        <v>42</v>
      </c>
      <c r="F1597" t="s">
        <v>4333</v>
      </c>
      <c r="G1597" t="s">
        <v>4334</v>
      </c>
      <c r="H1597" t="s">
        <v>33</v>
      </c>
      <c r="I1597" t="s">
        <v>97</v>
      </c>
      <c r="J1597" t="s">
        <v>23</v>
      </c>
      <c r="K1597" t="s">
        <v>24</v>
      </c>
      <c r="L1597" t="s">
        <v>25</v>
      </c>
      <c r="M1597" t="s">
        <v>2345</v>
      </c>
      <c r="N1597" t="s">
        <v>79</v>
      </c>
      <c r="O1597" t="s">
        <v>80</v>
      </c>
      <c r="P1597">
        <v>24.047999999999998</v>
      </c>
    </row>
    <row r="1598" spans="1:16">
      <c r="A1598" s="4">
        <v>2018</v>
      </c>
      <c r="B1598" s="4">
        <v>111178</v>
      </c>
      <c r="C1598" t="s">
        <v>4157</v>
      </c>
      <c r="D1598" t="s">
        <v>1541</v>
      </c>
      <c r="E1598" t="s">
        <v>18</v>
      </c>
      <c r="F1598" t="s">
        <v>4333</v>
      </c>
      <c r="G1598" t="s">
        <v>4334</v>
      </c>
      <c r="H1598" t="s">
        <v>33</v>
      </c>
      <c r="I1598" t="s">
        <v>97</v>
      </c>
      <c r="J1598" t="s">
        <v>422</v>
      </c>
      <c r="K1598" t="s">
        <v>109</v>
      </c>
      <c r="L1598" t="s">
        <v>36</v>
      </c>
      <c r="M1598" t="s">
        <v>2020</v>
      </c>
      <c r="N1598" t="s">
        <v>27</v>
      </c>
      <c r="O1598" t="s">
        <v>28</v>
      </c>
      <c r="P1598">
        <v>19.559999999999999</v>
      </c>
    </row>
    <row r="1599" spans="1:16">
      <c r="A1599" s="4">
        <v>2018</v>
      </c>
      <c r="B1599" s="4">
        <v>100209</v>
      </c>
      <c r="C1599" t="s">
        <v>2160</v>
      </c>
      <c r="D1599" t="s">
        <v>2569</v>
      </c>
      <c r="E1599" t="s">
        <v>18</v>
      </c>
      <c r="F1599" t="s">
        <v>4333</v>
      </c>
      <c r="G1599" t="s">
        <v>4334</v>
      </c>
      <c r="H1599" t="s">
        <v>33</v>
      </c>
      <c r="I1599" t="s">
        <v>97</v>
      </c>
      <c r="J1599" t="s">
        <v>1734</v>
      </c>
      <c r="K1599" t="s">
        <v>323</v>
      </c>
      <c r="L1599" t="s">
        <v>66</v>
      </c>
      <c r="M1599" t="s">
        <v>4335</v>
      </c>
      <c r="N1599" t="s">
        <v>27</v>
      </c>
      <c r="O1599" t="s">
        <v>101</v>
      </c>
      <c r="P1599">
        <v>1.08</v>
      </c>
    </row>
    <row r="1600" spans="1:16">
      <c r="A1600" s="4">
        <v>2018</v>
      </c>
      <c r="B1600" s="4">
        <v>134306</v>
      </c>
      <c r="C1600" t="s">
        <v>2568</v>
      </c>
      <c r="D1600" t="s">
        <v>3635</v>
      </c>
      <c r="E1600" t="s">
        <v>18</v>
      </c>
      <c r="F1600" t="s">
        <v>4333</v>
      </c>
      <c r="G1600" t="s">
        <v>4334</v>
      </c>
      <c r="H1600" t="s">
        <v>33</v>
      </c>
      <c r="I1600" t="s">
        <v>97</v>
      </c>
      <c r="J1600" t="s">
        <v>461</v>
      </c>
      <c r="K1600" t="s">
        <v>284</v>
      </c>
      <c r="L1600" t="s">
        <v>25</v>
      </c>
      <c r="M1600" t="s">
        <v>4336</v>
      </c>
      <c r="N1600" t="s">
        <v>27</v>
      </c>
      <c r="O1600" t="s">
        <v>28</v>
      </c>
      <c r="P1600">
        <v>7.56</v>
      </c>
    </row>
    <row r="1601" spans="1:16">
      <c r="A1601" s="4">
        <v>2018</v>
      </c>
      <c r="B1601" s="4">
        <v>150959</v>
      </c>
      <c r="C1601" t="s">
        <v>2021</v>
      </c>
      <c r="D1601" t="s">
        <v>1331</v>
      </c>
      <c r="E1601" t="s">
        <v>42</v>
      </c>
      <c r="F1601" t="s">
        <v>4333</v>
      </c>
      <c r="G1601" t="s">
        <v>4334</v>
      </c>
      <c r="H1601" t="s">
        <v>33</v>
      </c>
      <c r="I1601" t="s">
        <v>97</v>
      </c>
      <c r="J1601" t="s">
        <v>4337</v>
      </c>
      <c r="K1601" t="s">
        <v>35</v>
      </c>
      <c r="L1601" t="s">
        <v>36</v>
      </c>
      <c r="M1601" t="s">
        <v>4338</v>
      </c>
      <c r="N1601" t="s">
        <v>27</v>
      </c>
      <c r="O1601" t="s">
        <v>111</v>
      </c>
      <c r="P1601">
        <v>10.44</v>
      </c>
    </row>
    <row r="1602" spans="1:16">
      <c r="A1602" s="4">
        <v>2015</v>
      </c>
      <c r="B1602" s="4">
        <v>156006</v>
      </c>
      <c r="C1602" t="s">
        <v>4339</v>
      </c>
      <c r="D1602" t="s">
        <v>4340</v>
      </c>
      <c r="E1602" t="s">
        <v>144</v>
      </c>
      <c r="F1602" t="s">
        <v>4341</v>
      </c>
      <c r="G1602" t="s">
        <v>4342</v>
      </c>
      <c r="H1602" t="s">
        <v>33</v>
      </c>
      <c r="I1602" t="s">
        <v>97</v>
      </c>
      <c r="J1602" t="s">
        <v>854</v>
      </c>
      <c r="K1602" t="s">
        <v>1444</v>
      </c>
      <c r="L1602" t="s">
        <v>45</v>
      </c>
      <c r="M1602" t="s">
        <v>4343</v>
      </c>
      <c r="N1602" t="s">
        <v>38</v>
      </c>
      <c r="O1602" t="s">
        <v>68</v>
      </c>
      <c r="P1602">
        <v>47.79</v>
      </c>
    </row>
    <row r="1603" spans="1:16">
      <c r="A1603" s="4">
        <v>2016</v>
      </c>
      <c r="B1603" s="4">
        <v>147788</v>
      </c>
      <c r="C1603" t="s">
        <v>846</v>
      </c>
      <c r="D1603" t="s">
        <v>747</v>
      </c>
      <c r="E1603" t="s">
        <v>18</v>
      </c>
      <c r="F1603" t="s">
        <v>4341</v>
      </c>
      <c r="G1603" t="s">
        <v>4342</v>
      </c>
      <c r="H1603" t="s">
        <v>33</v>
      </c>
      <c r="I1603" t="s">
        <v>97</v>
      </c>
      <c r="J1603" t="s">
        <v>1301</v>
      </c>
      <c r="K1603" t="s">
        <v>217</v>
      </c>
      <c r="L1603" t="s">
        <v>66</v>
      </c>
      <c r="M1603" t="s">
        <v>4344</v>
      </c>
      <c r="N1603" t="s">
        <v>79</v>
      </c>
      <c r="O1603" t="s">
        <v>286</v>
      </c>
      <c r="P1603">
        <v>1406.86</v>
      </c>
    </row>
    <row r="1604" spans="1:16">
      <c r="A1604" s="4">
        <v>2015</v>
      </c>
      <c r="B1604" s="4">
        <v>154669</v>
      </c>
      <c r="C1604" t="s">
        <v>807</v>
      </c>
      <c r="D1604" t="s">
        <v>2298</v>
      </c>
      <c r="E1604" t="s">
        <v>144</v>
      </c>
      <c r="F1604" t="s">
        <v>4341</v>
      </c>
      <c r="G1604" t="s">
        <v>4342</v>
      </c>
      <c r="H1604" t="s">
        <v>33</v>
      </c>
      <c r="I1604" t="s">
        <v>97</v>
      </c>
      <c r="J1604" t="s">
        <v>4345</v>
      </c>
      <c r="K1604" t="s">
        <v>65</v>
      </c>
      <c r="L1604" t="s">
        <v>66</v>
      </c>
      <c r="M1604" t="s">
        <v>4346</v>
      </c>
      <c r="N1604" t="s">
        <v>27</v>
      </c>
      <c r="O1604" t="s">
        <v>58</v>
      </c>
      <c r="P1604">
        <v>423.28</v>
      </c>
    </row>
    <row r="1605" spans="1:16">
      <c r="A1605" s="4">
        <v>2017</v>
      </c>
      <c r="B1605" s="4">
        <v>158834</v>
      </c>
      <c r="C1605" t="s">
        <v>75</v>
      </c>
      <c r="D1605" t="s">
        <v>1127</v>
      </c>
      <c r="E1605" t="s">
        <v>42</v>
      </c>
      <c r="F1605" t="s">
        <v>4347</v>
      </c>
      <c r="G1605" t="s">
        <v>4348</v>
      </c>
      <c r="H1605" t="s">
        <v>33</v>
      </c>
      <c r="I1605" t="s">
        <v>63</v>
      </c>
      <c r="J1605" t="s">
        <v>547</v>
      </c>
      <c r="K1605" t="s">
        <v>136</v>
      </c>
      <c r="L1605" t="s">
        <v>66</v>
      </c>
      <c r="M1605" t="s">
        <v>4349</v>
      </c>
      <c r="N1605" t="s">
        <v>27</v>
      </c>
      <c r="O1605" t="s">
        <v>228</v>
      </c>
      <c r="P1605">
        <v>157.91999999999999</v>
      </c>
    </row>
    <row r="1606" spans="1:16">
      <c r="A1606" s="4">
        <v>2018</v>
      </c>
      <c r="B1606" s="4">
        <v>127719</v>
      </c>
      <c r="C1606" t="s">
        <v>247</v>
      </c>
      <c r="D1606" t="s">
        <v>1865</v>
      </c>
      <c r="E1606" t="s">
        <v>18</v>
      </c>
      <c r="F1606" t="s">
        <v>4347</v>
      </c>
      <c r="G1606" t="s">
        <v>4348</v>
      </c>
      <c r="H1606" t="s">
        <v>33</v>
      </c>
      <c r="I1606" t="s">
        <v>63</v>
      </c>
      <c r="J1606" t="s">
        <v>2492</v>
      </c>
      <c r="K1606" t="s">
        <v>869</v>
      </c>
      <c r="L1606" t="s">
        <v>25</v>
      </c>
      <c r="M1606" t="s">
        <v>713</v>
      </c>
      <c r="N1606" t="s">
        <v>27</v>
      </c>
      <c r="O1606" t="s">
        <v>52</v>
      </c>
      <c r="P1606">
        <v>6.48</v>
      </c>
    </row>
    <row r="1607" spans="1:16">
      <c r="A1607" s="4">
        <v>2016</v>
      </c>
      <c r="B1607" s="4">
        <v>135510</v>
      </c>
      <c r="C1607" t="s">
        <v>407</v>
      </c>
      <c r="D1607" t="s">
        <v>826</v>
      </c>
      <c r="E1607" t="s">
        <v>18</v>
      </c>
      <c r="F1607" t="s">
        <v>4347</v>
      </c>
      <c r="G1607" t="s">
        <v>4348</v>
      </c>
      <c r="H1607" t="s">
        <v>33</v>
      </c>
      <c r="I1607" t="s">
        <v>63</v>
      </c>
      <c r="J1607" t="s">
        <v>104</v>
      </c>
      <c r="K1607" t="s">
        <v>56</v>
      </c>
      <c r="L1607" t="s">
        <v>45</v>
      </c>
      <c r="M1607" t="s">
        <v>4350</v>
      </c>
      <c r="N1607" t="s">
        <v>79</v>
      </c>
      <c r="O1607" t="s">
        <v>80</v>
      </c>
      <c r="P1607">
        <v>67.959999999999994</v>
      </c>
    </row>
    <row r="1608" spans="1:16">
      <c r="A1608" s="4">
        <v>2017</v>
      </c>
      <c r="B1608" s="4">
        <v>109260</v>
      </c>
      <c r="C1608" t="s">
        <v>1054</v>
      </c>
      <c r="D1608" t="s">
        <v>1228</v>
      </c>
      <c r="E1608" t="s">
        <v>18</v>
      </c>
      <c r="F1608" t="s">
        <v>4351</v>
      </c>
      <c r="G1608" t="s">
        <v>4352</v>
      </c>
      <c r="H1608" t="s">
        <v>33</v>
      </c>
      <c r="I1608" t="s">
        <v>63</v>
      </c>
      <c r="J1608" t="s">
        <v>2731</v>
      </c>
      <c r="K1608" t="s">
        <v>196</v>
      </c>
      <c r="L1608" t="s">
        <v>45</v>
      </c>
      <c r="M1608" t="s">
        <v>4353</v>
      </c>
      <c r="N1608" t="s">
        <v>38</v>
      </c>
      <c r="O1608" t="s">
        <v>68</v>
      </c>
      <c r="P1608">
        <v>431.976</v>
      </c>
    </row>
    <row r="1609" spans="1:16">
      <c r="A1609" s="4">
        <v>2017</v>
      </c>
      <c r="B1609" s="4">
        <v>109869</v>
      </c>
      <c r="C1609" t="s">
        <v>1224</v>
      </c>
      <c r="D1609" t="s">
        <v>2755</v>
      </c>
      <c r="E1609" t="s">
        <v>18</v>
      </c>
      <c r="F1609" t="s">
        <v>4351</v>
      </c>
      <c r="G1609" t="s">
        <v>4352</v>
      </c>
      <c r="H1609" t="s">
        <v>33</v>
      </c>
      <c r="I1609" t="s">
        <v>63</v>
      </c>
      <c r="J1609" t="s">
        <v>1713</v>
      </c>
      <c r="K1609" t="s">
        <v>136</v>
      </c>
      <c r="L1609" t="s">
        <v>66</v>
      </c>
      <c r="M1609" t="s">
        <v>3988</v>
      </c>
      <c r="N1609" t="s">
        <v>79</v>
      </c>
      <c r="O1609" t="s">
        <v>80</v>
      </c>
      <c r="P1609">
        <v>23.56</v>
      </c>
    </row>
    <row r="1610" spans="1:16">
      <c r="A1610" s="4">
        <v>2018</v>
      </c>
      <c r="B1610" s="4">
        <v>117156</v>
      </c>
      <c r="C1610" t="s">
        <v>1409</v>
      </c>
      <c r="D1610" t="s">
        <v>848</v>
      </c>
      <c r="E1610" t="s">
        <v>144</v>
      </c>
      <c r="F1610" t="s">
        <v>4354</v>
      </c>
      <c r="G1610" t="s">
        <v>4355</v>
      </c>
      <c r="H1610" t="s">
        <v>33</v>
      </c>
      <c r="I1610" t="s">
        <v>97</v>
      </c>
      <c r="J1610" t="s">
        <v>3288</v>
      </c>
      <c r="K1610" t="s">
        <v>24</v>
      </c>
      <c r="L1610" t="s">
        <v>25</v>
      </c>
      <c r="M1610" t="s">
        <v>4356</v>
      </c>
      <c r="N1610" t="s">
        <v>27</v>
      </c>
      <c r="O1610" t="s">
        <v>501</v>
      </c>
      <c r="P1610">
        <v>8.8559999999999999</v>
      </c>
    </row>
    <row r="1611" spans="1:16">
      <c r="A1611" s="4">
        <v>2017</v>
      </c>
      <c r="B1611" s="4">
        <v>111682</v>
      </c>
      <c r="C1611" t="s">
        <v>1470</v>
      </c>
      <c r="D1611" t="s">
        <v>889</v>
      </c>
      <c r="E1611" t="s">
        <v>42</v>
      </c>
      <c r="F1611" t="s">
        <v>4354</v>
      </c>
      <c r="G1611" t="s">
        <v>4355</v>
      </c>
      <c r="H1611" t="s">
        <v>33</v>
      </c>
      <c r="I1611" t="s">
        <v>97</v>
      </c>
      <c r="J1611" t="s">
        <v>2103</v>
      </c>
      <c r="K1611" t="s">
        <v>50</v>
      </c>
      <c r="L1611" t="s">
        <v>25</v>
      </c>
      <c r="M1611" t="s">
        <v>4357</v>
      </c>
      <c r="N1611" t="s">
        <v>27</v>
      </c>
      <c r="O1611" t="s">
        <v>58</v>
      </c>
      <c r="P1611">
        <v>208.56</v>
      </c>
    </row>
    <row r="1612" spans="1:16">
      <c r="A1612" s="4">
        <v>2017</v>
      </c>
      <c r="B1612" s="4">
        <v>162733</v>
      </c>
      <c r="C1612" t="s">
        <v>1141</v>
      </c>
      <c r="D1612" t="s">
        <v>4358</v>
      </c>
      <c r="E1612" t="s">
        <v>42</v>
      </c>
      <c r="F1612" t="s">
        <v>4359</v>
      </c>
      <c r="G1612" t="s">
        <v>4360</v>
      </c>
      <c r="H1612" t="s">
        <v>21</v>
      </c>
      <c r="I1612" t="s">
        <v>97</v>
      </c>
      <c r="J1612" t="s">
        <v>64</v>
      </c>
      <c r="K1612" t="s">
        <v>65</v>
      </c>
      <c r="L1612" t="s">
        <v>66</v>
      </c>
      <c r="M1612" t="s">
        <v>4361</v>
      </c>
      <c r="N1612" t="s">
        <v>27</v>
      </c>
      <c r="O1612" t="s">
        <v>52</v>
      </c>
      <c r="P1612">
        <v>5.98</v>
      </c>
    </row>
    <row r="1613" spans="1:16">
      <c r="A1613" s="4">
        <v>2016</v>
      </c>
      <c r="B1613" s="4">
        <v>160150</v>
      </c>
      <c r="C1613" t="s">
        <v>2647</v>
      </c>
      <c r="D1613" t="s">
        <v>3428</v>
      </c>
      <c r="E1613" t="s">
        <v>42</v>
      </c>
      <c r="F1613" t="s">
        <v>4362</v>
      </c>
      <c r="G1613" t="s">
        <v>4363</v>
      </c>
      <c r="H1613" t="s">
        <v>21</v>
      </c>
      <c r="I1613" t="s">
        <v>97</v>
      </c>
      <c r="J1613" t="s">
        <v>1713</v>
      </c>
      <c r="K1613" t="s">
        <v>136</v>
      </c>
      <c r="L1613" t="s">
        <v>66</v>
      </c>
      <c r="M1613" t="s">
        <v>4364</v>
      </c>
      <c r="N1613" t="s">
        <v>27</v>
      </c>
      <c r="O1613" t="s">
        <v>101</v>
      </c>
      <c r="P1613">
        <v>2.0249999999999999</v>
      </c>
    </row>
    <row r="1614" spans="1:16">
      <c r="A1614" s="4">
        <v>2018</v>
      </c>
      <c r="B1614" s="4">
        <v>161809</v>
      </c>
      <c r="C1614" t="s">
        <v>1507</v>
      </c>
      <c r="D1614" t="s">
        <v>3759</v>
      </c>
      <c r="E1614" t="s">
        <v>18</v>
      </c>
      <c r="F1614" t="s">
        <v>4365</v>
      </c>
      <c r="G1614" t="s">
        <v>4366</v>
      </c>
      <c r="H1614" t="s">
        <v>21</v>
      </c>
      <c r="I1614" t="s">
        <v>97</v>
      </c>
      <c r="J1614" t="s">
        <v>64</v>
      </c>
      <c r="K1614" t="s">
        <v>65</v>
      </c>
      <c r="L1614" t="s">
        <v>66</v>
      </c>
      <c r="M1614" t="s">
        <v>4367</v>
      </c>
      <c r="N1614" t="s">
        <v>38</v>
      </c>
      <c r="O1614" t="s">
        <v>118</v>
      </c>
      <c r="P1614">
        <v>160.77600000000001</v>
      </c>
    </row>
    <row r="1615" spans="1:16">
      <c r="A1615" s="4">
        <v>2018</v>
      </c>
      <c r="B1615" s="4">
        <v>127782</v>
      </c>
      <c r="C1615" t="s">
        <v>578</v>
      </c>
      <c r="D1615" t="s">
        <v>579</v>
      </c>
      <c r="E1615" t="s">
        <v>18</v>
      </c>
      <c r="F1615" t="s">
        <v>4368</v>
      </c>
      <c r="G1615" t="s">
        <v>4369</v>
      </c>
      <c r="H1615" t="s">
        <v>21</v>
      </c>
      <c r="I1615" t="s">
        <v>22</v>
      </c>
      <c r="J1615" t="s">
        <v>23</v>
      </c>
      <c r="K1615" t="s">
        <v>24</v>
      </c>
      <c r="L1615" t="s">
        <v>25</v>
      </c>
      <c r="M1615" t="s">
        <v>4370</v>
      </c>
      <c r="N1615" t="s">
        <v>79</v>
      </c>
      <c r="O1615" t="s">
        <v>80</v>
      </c>
      <c r="P1615">
        <v>3.3119999999999998</v>
      </c>
    </row>
    <row r="1616" spans="1:16">
      <c r="A1616" s="4">
        <v>2017</v>
      </c>
      <c r="B1616" s="4">
        <v>120180</v>
      </c>
      <c r="C1616" t="s">
        <v>1034</v>
      </c>
      <c r="D1616" t="s">
        <v>304</v>
      </c>
      <c r="E1616" t="s">
        <v>42</v>
      </c>
      <c r="F1616" t="s">
        <v>4371</v>
      </c>
      <c r="G1616" t="s">
        <v>4372</v>
      </c>
      <c r="H1616" t="s">
        <v>33</v>
      </c>
      <c r="I1616" t="s">
        <v>97</v>
      </c>
      <c r="J1616" t="s">
        <v>23</v>
      </c>
      <c r="K1616" t="s">
        <v>24</v>
      </c>
      <c r="L1616" t="s">
        <v>25</v>
      </c>
      <c r="M1616" t="s">
        <v>4373</v>
      </c>
      <c r="N1616" t="s">
        <v>27</v>
      </c>
      <c r="O1616" t="s">
        <v>74</v>
      </c>
      <c r="P1616">
        <v>11.632</v>
      </c>
    </row>
    <row r="1617" spans="1:16">
      <c r="A1617" s="4">
        <v>2018</v>
      </c>
      <c r="B1617" s="4">
        <v>120376</v>
      </c>
      <c r="C1617" t="s">
        <v>17</v>
      </c>
      <c r="D1617" t="s">
        <v>916</v>
      </c>
      <c r="E1617" t="s">
        <v>42</v>
      </c>
      <c r="F1617" t="s">
        <v>4371</v>
      </c>
      <c r="G1617" t="s">
        <v>4372</v>
      </c>
      <c r="H1617" t="s">
        <v>33</v>
      </c>
      <c r="I1617" t="s">
        <v>97</v>
      </c>
      <c r="J1617" t="s">
        <v>879</v>
      </c>
      <c r="K1617" t="s">
        <v>855</v>
      </c>
      <c r="L1617" t="s">
        <v>36</v>
      </c>
      <c r="M1617" t="s">
        <v>4374</v>
      </c>
      <c r="N1617" t="s">
        <v>38</v>
      </c>
      <c r="O1617" t="s">
        <v>68</v>
      </c>
      <c r="P1617">
        <v>199.95</v>
      </c>
    </row>
    <row r="1618" spans="1:16">
      <c r="A1618" s="4">
        <v>2017</v>
      </c>
      <c r="B1618" s="4">
        <v>142370</v>
      </c>
      <c r="C1618" t="s">
        <v>509</v>
      </c>
      <c r="D1618" t="s">
        <v>1053</v>
      </c>
      <c r="E1618" t="s">
        <v>18</v>
      </c>
      <c r="F1618" t="s">
        <v>4371</v>
      </c>
      <c r="G1618" t="s">
        <v>4372</v>
      </c>
      <c r="H1618" t="s">
        <v>33</v>
      </c>
      <c r="I1618" t="s">
        <v>97</v>
      </c>
      <c r="J1618" t="s">
        <v>473</v>
      </c>
      <c r="K1618" t="s">
        <v>86</v>
      </c>
      <c r="L1618" t="s">
        <v>45</v>
      </c>
      <c r="M1618" t="s">
        <v>4375</v>
      </c>
      <c r="N1618" t="s">
        <v>27</v>
      </c>
      <c r="O1618" t="s">
        <v>74</v>
      </c>
      <c r="P1618">
        <v>5.04</v>
      </c>
    </row>
    <row r="1619" spans="1:16">
      <c r="A1619" s="4">
        <v>2018</v>
      </c>
      <c r="B1619" s="4">
        <v>119669</v>
      </c>
      <c r="C1619" t="s">
        <v>4376</v>
      </c>
      <c r="D1619" t="s">
        <v>794</v>
      </c>
      <c r="E1619" t="s">
        <v>18</v>
      </c>
      <c r="F1619" t="s">
        <v>4371</v>
      </c>
      <c r="G1619" t="s">
        <v>4372</v>
      </c>
      <c r="H1619" t="s">
        <v>33</v>
      </c>
      <c r="I1619" t="s">
        <v>97</v>
      </c>
      <c r="J1619" t="s">
        <v>1495</v>
      </c>
      <c r="K1619" t="s">
        <v>86</v>
      </c>
      <c r="L1619" t="s">
        <v>45</v>
      </c>
      <c r="M1619" t="s">
        <v>4377</v>
      </c>
      <c r="N1619" t="s">
        <v>27</v>
      </c>
      <c r="O1619" t="s">
        <v>452</v>
      </c>
      <c r="P1619">
        <v>5.67</v>
      </c>
    </row>
    <row r="1620" spans="1:16">
      <c r="A1620" s="4">
        <v>2016</v>
      </c>
      <c r="B1620" s="4">
        <v>161263</v>
      </c>
      <c r="C1620" t="s">
        <v>3083</v>
      </c>
      <c r="D1620" t="s">
        <v>2829</v>
      </c>
      <c r="E1620" t="s">
        <v>18</v>
      </c>
      <c r="F1620" t="s">
        <v>4378</v>
      </c>
      <c r="G1620" t="s">
        <v>4379</v>
      </c>
      <c r="H1620" t="s">
        <v>33</v>
      </c>
      <c r="I1620" t="s">
        <v>22</v>
      </c>
      <c r="J1620" t="s">
        <v>681</v>
      </c>
      <c r="K1620" t="s">
        <v>237</v>
      </c>
      <c r="L1620" t="s">
        <v>25</v>
      </c>
      <c r="M1620" t="s">
        <v>2854</v>
      </c>
      <c r="N1620" t="s">
        <v>27</v>
      </c>
      <c r="O1620" t="s">
        <v>228</v>
      </c>
      <c r="P1620">
        <v>45.216000000000001</v>
      </c>
    </row>
    <row r="1621" spans="1:16">
      <c r="A1621" s="4">
        <v>2017</v>
      </c>
      <c r="B1621" s="4">
        <v>156251</v>
      </c>
      <c r="C1621" t="s">
        <v>1443</v>
      </c>
      <c r="D1621" t="s">
        <v>2407</v>
      </c>
      <c r="E1621" t="s">
        <v>144</v>
      </c>
      <c r="F1621" t="s">
        <v>4378</v>
      </c>
      <c r="G1621" t="s">
        <v>4379</v>
      </c>
      <c r="H1621" t="s">
        <v>33</v>
      </c>
      <c r="I1621" t="s">
        <v>22</v>
      </c>
      <c r="J1621" t="s">
        <v>4380</v>
      </c>
      <c r="K1621" t="s">
        <v>478</v>
      </c>
      <c r="L1621" t="s">
        <v>36</v>
      </c>
      <c r="M1621" t="s">
        <v>4381</v>
      </c>
      <c r="N1621" t="s">
        <v>79</v>
      </c>
      <c r="O1621" t="s">
        <v>286</v>
      </c>
      <c r="P1621">
        <v>241.96</v>
      </c>
    </row>
    <row r="1622" spans="1:16">
      <c r="A1622" s="4">
        <v>2015</v>
      </c>
      <c r="B1622" s="4">
        <v>112564</v>
      </c>
      <c r="C1622" t="s">
        <v>2745</v>
      </c>
      <c r="D1622" t="s">
        <v>4382</v>
      </c>
      <c r="E1622" t="s">
        <v>42</v>
      </c>
      <c r="F1622" t="s">
        <v>4378</v>
      </c>
      <c r="G1622" t="s">
        <v>4379</v>
      </c>
      <c r="H1622" t="s">
        <v>33</v>
      </c>
      <c r="I1622" t="s">
        <v>22</v>
      </c>
      <c r="J1622" t="s">
        <v>23</v>
      </c>
      <c r="K1622" t="s">
        <v>24</v>
      </c>
      <c r="L1622" t="s">
        <v>25</v>
      </c>
      <c r="M1622" t="s">
        <v>4383</v>
      </c>
      <c r="N1622" t="s">
        <v>27</v>
      </c>
      <c r="O1622" t="s">
        <v>101</v>
      </c>
      <c r="P1622">
        <v>2.5019999999999998</v>
      </c>
    </row>
    <row r="1623" spans="1:16">
      <c r="A1623" s="4">
        <v>2016</v>
      </c>
      <c r="B1623" s="4">
        <v>149342</v>
      </c>
      <c r="C1623" t="s">
        <v>1717</v>
      </c>
      <c r="D1623" t="s">
        <v>2663</v>
      </c>
      <c r="E1623" t="s">
        <v>18</v>
      </c>
      <c r="F1623" t="s">
        <v>4378</v>
      </c>
      <c r="G1623" t="s">
        <v>4379</v>
      </c>
      <c r="H1623" t="s">
        <v>33</v>
      </c>
      <c r="I1623" t="s">
        <v>22</v>
      </c>
      <c r="J1623" t="s">
        <v>473</v>
      </c>
      <c r="K1623" t="s">
        <v>86</v>
      </c>
      <c r="L1623" t="s">
        <v>45</v>
      </c>
      <c r="M1623" t="s">
        <v>4384</v>
      </c>
      <c r="N1623" t="s">
        <v>38</v>
      </c>
      <c r="O1623" t="s">
        <v>118</v>
      </c>
      <c r="P1623">
        <v>287.97000000000003</v>
      </c>
    </row>
    <row r="1624" spans="1:16">
      <c r="A1624" s="4">
        <v>2017</v>
      </c>
      <c r="B1624" s="4">
        <v>124254</v>
      </c>
      <c r="C1624" t="s">
        <v>822</v>
      </c>
      <c r="D1624" t="s">
        <v>843</v>
      </c>
      <c r="E1624" t="s">
        <v>18</v>
      </c>
      <c r="F1624" t="s">
        <v>4385</v>
      </c>
      <c r="G1624" t="s">
        <v>4386</v>
      </c>
      <c r="H1624" t="s">
        <v>33</v>
      </c>
      <c r="I1624" t="s">
        <v>22</v>
      </c>
      <c r="J1624" t="s">
        <v>4202</v>
      </c>
      <c r="K1624" t="s">
        <v>44</v>
      </c>
      <c r="L1624" t="s">
        <v>45</v>
      </c>
      <c r="M1624" t="s">
        <v>2787</v>
      </c>
      <c r="N1624" t="s">
        <v>27</v>
      </c>
      <c r="O1624" t="s">
        <v>58</v>
      </c>
      <c r="P1624">
        <v>129.55199999999999</v>
      </c>
    </row>
    <row r="1625" spans="1:16">
      <c r="A1625" s="4">
        <v>2015</v>
      </c>
      <c r="B1625" s="4">
        <v>104773</v>
      </c>
      <c r="C1625" t="s">
        <v>1182</v>
      </c>
      <c r="D1625" t="s">
        <v>1983</v>
      </c>
      <c r="E1625" t="s">
        <v>18</v>
      </c>
      <c r="F1625" t="s">
        <v>4385</v>
      </c>
      <c r="G1625" t="s">
        <v>4386</v>
      </c>
      <c r="H1625" t="s">
        <v>33</v>
      </c>
      <c r="I1625" t="s">
        <v>22</v>
      </c>
      <c r="J1625" t="s">
        <v>183</v>
      </c>
      <c r="K1625" t="s">
        <v>35</v>
      </c>
      <c r="L1625" t="s">
        <v>36</v>
      </c>
      <c r="M1625" t="s">
        <v>4387</v>
      </c>
      <c r="N1625" t="s">
        <v>27</v>
      </c>
      <c r="O1625" t="s">
        <v>58</v>
      </c>
      <c r="P1625">
        <v>60.415999999999997</v>
      </c>
    </row>
    <row r="1626" spans="1:16">
      <c r="A1626" s="4">
        <v>2018</v>
      </c>
      <c r="B1626" s="4">
        <v>143567</v>
      </c>
      <c r="C1626" t="s">
        <v>578</v>
      </c>
      <c r="D1626" t="s">
        <v>198</v>
      </c>
      <c r="E1626" t="s">
        <v>144</v>
      </c>
      <c r="F1626" t="s">
        <v>4385</v>
      </c>
      <c r="G1626" t="s">
        <v>4386</v>
      </c>
      <c r="H1626" t="s">
        <v>33</v>
      </c>
      <c r="I1626" t="s">
        <v>22</v>
      </c>
      <c r="J1626" t="s">
        <v>90</v>
      </c>
      <c r="K1626" t="s">
        <v>126</v>
      </c>
      <c r="L1626" t="s">
        <v>45</v>
      </c>
      <c r="M1626" t="s">
        <v>4388</v>
      </c>
      <c r="N1626" t="s">
        <v>27</v>
      </c>
      <c r="O1626" t="s">
        <v>501</v>
      </c>
      <c r="P1626">
        <v>5.32</v>
      </c>
    </row>
    <row r="1627" spans="1:16">
      <c r="A1627" s="4">
        <v>2016</v>
      </c>
      <c r="B1627" s="4">
        <v>160059</v>
      </c>
      <c r="C1627" t="s">
        <v>1096</v>
      </c>
      <c r="D1627" t="s">
        <v>2071</v>
      </c>
      <c r="E1627" t="s">
        <v>18</v>
      </c>
      <c r="F1627" t="s">
        <v>4389</v>
      </c>
      <c r="G1627" t="s">
        <v>4390</v>
      </c>
      <c r="H1627" t="s">
        <v>21</v>
      </c>
      <c r="I1627" t="s">
        <v>63</v>
      </c>
      <c r="J1627" t="s">
        <v>672</v>
      </c>
      <c r="K1627" t="s">
        <v>1270</v>
      </c>
      <c r="L1627" t="s">
        <v>45</v>
      </c>
      <c r="M1627" t="s">
        <v>4391</v>
      </c>
      <c r="N1627" t="s">
        <v>27</v>
      </c>
      <c r="O1627" t="s">
        <v>101</v>
      </c>
      <c r="P1627">
        <v>6.24</v>
      </c>
    </row>
    <row r="1628" spans="1:16">
      <c r="A1628" s="4">
        <v>2015</v>
      </c>
      <c r="B1628" s="4">
        <v>120887</v>
      </c>
      <c r="C1628" t="s">
        <v>4392</v>
      </c>
      <c r="D1628" t="s">
        <v>343</v>
      </c>
      <c r="E1628" t="s">
        <v>18</v>
      </c>
      <c r="F1628" t="s">
        <v>4393</v>
      </c>
      <c r="G1628" t="s">
        <v>4394</v>
      </c>
      <c r="H1628" t="s">
        <v>33</v>
      </c>
      <c r="I1628" t="s">
        <v>22</v>
      </c>
      <c r="J1628" t="s">
        <v>4395</v>
      </c>
      <c r="K1628" t="s">
        <v>869</v>
      </c>
      <c r="L1628" t="s">
        <v>25</v>
      </c>
      <c r="M1628" t="s">
        <v>4396</v>
      </c>
      <c r="N1628" t="s">
        <v>79</v>
      </c>
      <c r="O1628" t="s">
        <v>80</v>
      </c>
      <c r="P1628">
        <v>87.54</v>
      </c>
    </row>
    <row r="1629" spans="1:16">
      <c r="A1629" s="4">
        <v>2015</v>
      </c>
      <c r="B1629" s="4">
        <v>107405</v>
      </c>
      <c r="C1629" t="s">
        <v>1146</v>
      </c>
      <c r="D1629" t="s">
        <v>535</v>
      </c>
      <c r="E1629" t="s">
        <v>18</v>
      </c>
      <c r="F1629" t="s">
        <v>4393</v>
      </c>
      <c r="G1629" t="s">
        <v>4394</v>
      </c>
      <c r="H1629" t="s">
        <v>33</v>
      </c>
      <c r="I1629" t="s">
        <v>22</v>
      </c>
      <c r="J1629" t="s">
        <v>2708</v>
      </c>
      <c r="K1629" t="s">
        <v>44</v>
      </c>
      <c r="L1629" t="s">
        <v>45</v>
      </c>
      <c r="M1629" t="s">
        <v>4397</v>
      </c>
      <c r="N1629" t="s">
        <v>27</v>
      </c>
      <c r="O1629" t="s">
        <v>58</v>
      </c>
      <c r="P1629">
        <v>16.271999999999998</v>
      </c>
    </row>
    <row r="1630" spans="1:16">
      <c r="A1630" s="4">
        <v>2015</v>
      </c>
      <c r="B1630" s="4">
        <v>140662</v>
      </c>
      <c r="C1630" t="s">
        <v>3268</v>
      </c>
      <c r="D1630" t="s">
        <v>178</v>
      </c>
      <c r="E1630" t="s">
        <v>42</v>
      </c>
      <c r="F1630" t="s">
        <v>4393</v>
      </c>
      <c r="G1630" t="s">
        <v>4394</v>
      </c>
      <c r="H1630" t="s">
        <v>33</v>
      </c>
      <c r="I1630" t="s">
        <v>22</v>
      </c>
      <c r="J1630" t="s">
        <v>226</v>
      </c>
      <c r="K1630" t="s">
        <v>65</v>
      </c>
      <c r="L1630" t="s">
        <v>66</v>
      </c>
      <c r="M1630" t="s">
        <v>4398</v>
      </c>
      <c r="N1630" t="s">
        <v>38</v>
      </c>
      <c r="O1630" t="s">
        <v>68</v>
      </c>
      <c r="P1630">
        <v>99.98</v>
      </c>
    </row>
    <row r="1631" spans="1:16">
      <c r="A1631" s="4">
        <v>2017</v>
      </c>
      <c r="B1631" s="4">
        <v>132409</v>
      </c>
      <c r="C1631" t="s">
        <v>3335</v>
      </c>
      <c r="D1631" t="s">
        <v>995</v>
      </c>
      <c r="E1631" t="s">
        <v>18</v>
      </c>
      <c r="F1631" t="s">
        <v>4399</v>
      </c>
      <c r="G1631" t="s">
        <v>4400</v>
      </c>
      <c r="H1631" t="s">
        <v>33</v>
      </c>
      <c r="I1631" t="s">
        <v>22</v>
      </c>
      <c r="J1631" t="s">
        <v>23</v>
      </c>
      <c r="K1631" t="s">
        <v>24</v>
      </c>
      <c r="L1631" t="s">
        <v>25</v>
      </c>
      <c r="M1631" t="s">
        <v>4401</v>
      </c>
      <c r="N1631" t="s">
        <v>27</v>
      </c>
      <c r="O1631" t="s">
        <v>28</v>
      </c>
      <c r="P1631">
        <v>1.504</v>
      </c>
    </row>
    <row r="1632" spans="1:16">
      <c r="A1632" s="4">
        <v>2018</v>
      </c>
      <c r="B1632" s="4">
        <v>132682</v>
      </c>
      <c r="C1632" t="s">
        <v>1537</v>
      </c>
      <c r="D1632" t="s">
        <v>775</v>
      </c>
      <c r="E1632" t="s">
        <v>144</v>
      </c>
      <c r="F1632" t="s">
        <v>4399</v>
      </c>
      <c r="G1632" t="s">
        <v>4400</v>
      </c>
      <c r="H1632" t="s">
        <v>33</v>
      </c>
      <c r="I1632" t="s">
        <v>22</v>
      </c>
      <c r="J1632" t="s">
        <v>627</v>
      </c>
      <c r="K1632" t="s">
        <v>35</v>
      </c>
      <c r="L1632" t="s">
        <v>36</v>
      </c>
      <c r="M1632" t="s">
        <v>4402</v>
      </c>
      <c r="N1632" t="s">
        <v>27</v>
      </c>
      <c r="O1632" t="s">
        <v>74</v>
      </c>
      <c r="P1632">
        <v>23.76</v>
      </c>
    </row>
    <row r="1633" spans="1:16">
      <c r="A1633" s="4">
        <v>2018</v>
      </c>
      <c r="B1633" s="4">
        <v>104661</v>
      </c>
      <c r="C1633" t="s">
        <v>3936</v>
      </c>
      <c r="D1633" t="s">
        <v>1184</v>
      </c>
      <c r="E1633" t="s">
        <v>42</v>
      </c>
      <c r="F1633" t="s">
        <v>4403</v>
      </c>
      <c r="G1633" t="s">
        <v>4404</v>
      </c>
      <c r="H1633" t="s">
        <v>33</v>
      </c>
      <c r="I1633" t="s">
        <v>97</v>
      </c>
      <c r="J1633" t="s">
        <v>34</v>
      </c>
      <c r="K1633" t="s">
        <v>35</v>
      </c>
      <c r="L1633" t="s">
        <v>36</v>
      </c>
      <c r="M1633" t="s">
        <v>4405</v>
      </c>
      <c r="N1633" t="s">
        <v>27</v>
      </c>
      <c r="O1633" t="s">
        <v>101</v>
      </c>
      <c r="P1633">
        <v>32.783999999999999</v>
      </c>
    </row>
    <row r="1634" spans="1:16">
      <c r="A1634" s="4">
        <v>2017</v>
      </c>
      <c r="B1634" s="4">
        <v>162614</v>
      </c>
      <c r="C1634" t="s">
        <v>1362</v>
      </c>
      <c r="D1634" t="s">
        <v>1883</v>
      </c>
      <c r="E1634" t="s">
        <v>18</v>
      </c>
      <c r="F1634" t="s">
        <v>4403</v>
      </c>
      <c r="G1634" t="s">
        <v>4404</v>
      </c>
      <c r="H1634" t="s">
        <v>33</v>
      </c>
      <c r="I1634" t="s">
        <v>97</v>
      </c>
      <c r="J1634" t="s">
        <v>64</v>
      </c>
      <c r="K1634" t="s">
        <v>65</v>
      </c>
      <c r="L1634" t="s">
        <v>66</v>
      </c>
      <c r="M1634" t="s">
        <v>4406</v>
      </c>
      <c r="N1634" t="s">
        <v>27</v>
      </c>
      <c r="O1634" t="s">
        <v>101</v>
      </c>
      <c r="P1634">
        <v>27.263999999999999</v>
      </c>
    </row>
    <row r="1635" spans="1:16">
      <c r="A1635" s="4">
        <v>2016</v>
      </c>
      <c r="B1635" s="4">
        <v>141040</v>
      </c>
      <c r="C1635" t="s">
        <v>1650</v>
      </c>
      <c r="D1635" t="s">
        <v>613</v>
      </c>
      <c r="E1635" t="s">
        <v>144</v>
      </c>
      <c r="F1635" t="s">
        <v>4403</v>
      </c>
      <c r="G1635" t="s">
        <v>4404</v>
      </c>
      <c r="H1635" t="s">
        <v>33</v>
      </c>
      <c r="I1635" t="s">
        <v>97</v>
      </c>
      <c r="J1635" t="s">
        <v>49</v>
      </c>
      <c r="K1635" t="s">
        <v>50</v>
      </c>
      <c r="L1635" t="s">
        <v>25</v>
      </c>
      <c r="M1635" t="s">
        <v>4407</v>
      </c>
      <c r="N1635" t="s">
        <v>38</v>
      </c>
      <c r="O1635" t="s">
        <v>118</v>
      </c>
      <c r="P1635">
        <v>631.96</v>
      </c>
    </row>
    <row r="1636" spans="1:16">
      <c r="A1636" s="4">
        <v>2017</v>
      </c>
      <c r="B1636" s="4">
        <v>157266</v>
      </c>
      <c r="C1636" t="s">
        <v>3335</v>
      </c>
      <c r="D1636" t="s">
        <v>995</v>
      </c>
      <c r="E1636" t="s">
        <v>18</v>
      </c>
      <c r="F1636" t="s">
        <v>4408</v>
      </c>
      <c r="G1636" t="s">
        <v>4409</v>
      </c>
      <c r="H1636" t="s">
        <v>33</v>
      </c>
      <c r="I1636" t="s">
        <v>97</v>
      </c>
      <c r="J1636" t="s">
        <v>165</v>
      </c>
      <c r="K1636" t="s">
        <v>2314</v>
      </c>
      <c r="L1636" t="s">
        <v>25</v>
      </c>
      <c r="M1636" t="s">
        <v>4410</v>
      </c>
      <c r="N1636" t="s">
        <v>27</v>
      </c>
      <c r="O1636" t="s">
        <v>52</v>
      </c>
      <c r="P1636">
        <v>19.440000000000001</v>
      </c>
    </row>
    <row r="1637" spans="1:16">
      <c r="A1637" s="4">
        <v>2015</v>
      </c>
      <c r="B1637" s="4">
        <v>131527</v>
      </c>
      <c r="C1637" t="s">
        <v>457</v>
      </c>
      <c r="D1637" t="s">
        <v>2786</v>
      </c>
      <c r="E1637" t="s">
        <v>18</v>
      </c>
      <c r="F1637" t="s">
        <v>4408</v>
      </c>
      <c r="G1637" t="s">
        <v>4409</v>
      </c>
      <c r="H1637" t="s">
        <v>33</v>
      </c>
      <c r="I1637" t="s">
        <v>97</v>
      </c>
      <c r="J1637" t="s">
        <v>43</v>
      </c>
      <c r="K1637" t="s">
        <v>44</v>
      </c>
      <c r="L1637" t="s">
        <v>45</v>
      </c>
      <c r="M1637" t="s">
        <v>4411</v>
      </c>
      <c r="N1637" t="s">
        <v>38</v>
      </c>
      <c r="O1637" t="s">
        <v>118</v>
      </c>
      <c r="P1637">
        <v>95.968000000000004</v>
      </c>
    </row>
    <row r="1638" spans="1:16">
      <c r="A1638" s="4">
        <v>2015</v>
      </c>
      <c r="B1638" s="4">
        <v>140816</v>
      </c>
      <c r="C1638" t="s">
        <v>119</v>
      </c>
      <c r="D1638" t="s">
        <v>119</v>
      </c>
      <c r="E1638" t="s">
        <v>132</v>
      </c>
      <c r="F1638" t="s">
        <v>4412</v>
      </c>
      <c r="G1638" t="s">
        <v>4413</v>
      </c>
      <c r="H1638" t="s">
        <v>21</v>
      </c>
      <c r="I1638" t="s">
        <v>97</v>
      </c>
      <c r="J1638" t="s">
        <v>3094</v>
      </c>
      <c r="K1638" t="s">
        <v>222</v>
      </c>
      <c r="L1638" t="s">
        <v>66</v>
      </c>
      <c r="M1638" t="s">
        <v>1930</v>
      </c>
      <c r="N1638" t="s">
        <v>38</v>
      </c>
      <c r="O1638" t="s">
        <v>68</v>
      </c>
      <c r="P1638">
        <v>447.94400000000002</v>
      </c>
    </row>
    <row r="1639" spans="1:16">
      <c r="A1639" s="4">
        <v>2017</v>
      </c>
      <c r="B1639" s="4">
        <v>146633</v>
      </c>
      <c r="C1639" t="s">
        <v>1743</v>
      </c>
      <c r="D1639" t="s">
        <v>931</v>
      </c>
      <c r="E1639" t="s">
        <v>144</v>
      </c>
      <c r="F1639" t="s">
        <v>4414</v>
      </c>
      <c r="G1639" t="s">
        <v>4415</v>
      </c>
      <c r="H1639" t="s">
        <v>33</v>
      </c>
      <c r="I1639" t="s">
        <v>97</v>
      </c>
      <c r="J1639" t="s">
        <v>64</v>
      </c>
      <c r="K1639" t="s">
        <v>65</v>
      </c>
      <c r="L1639" t="s">
        <v>66</v>
      </c>
      <c r="M1639" t="s">
        <v>4416</v>
      </c>
      <c r="N1639" t="s">
        <v>27</v>
      </c>
      <c r="O1639" t="s">
        <v>101</v>
      </c>
      <c r="P1639">
        <v>1016.792</v>
      </c>
    </row>
    <row r="1640" spans="1:16">
      <c r="A1640" s="4">
        <v>2018</v>
      </c>
      <c r="B1640" s="4">
        <v>104437</v>
      </c>
      <c r="C1640" t="s">
        <v>186</v>
      </c>
      <c r="D1640" t="s">
        <v>831</v>
      </c>
      <c r="E1640" t="s">
        <v>18</v>
      </c>
      <c r="F1640" t="s">
        <v>4414</v>
      </c>
      <c r="G1640" t="s">
        <v>4415</v>
      </c>
      <c r="H1640" t="s">
        <v>33</v>
      </c>
      <c r="I1640" t="s">
        <v>97</v>
      </c>
      <c r="J1640" t="s">
        <v>49</v>
      </c>
      <c r="K1640" t="s">
        <v>50</v>
      </c>
      <c r="L1640" t="s">
        <v>25</v>
      </c>
      <c r="M1640" t="s">
        <v>4417</v>
      </c>
      <c r="N1640" t="s">
        <v>38</v>
      </c>
      <c r="O1640" t="s">
        <v>118</v>
      </c>
      <c r="P1640">
        <v>137.94</v>
      </c>
    </row>
    <row r="1641" spans="1:16">
      <c r="A1641" s="4">
        <v>2017</v>
      </c>
      <c r="B1641" s="4">
        <v>160815</v>
      </c>
      <c r="C1641" t="s">
        <v>1845</v>
      </c>
      <c r="D1641" t="s">
        <v>1986</v>
      </c>
      <c r="E1641" t="s">
        <v>42</v>
      </c>
      <c r="F1641" t="s">
        <v>4418</v>
      </c>
      <c r="G1641" t="s">
        <v>4419</v>
      </c>
      <c r="H1641" t="s">
        <v>33</v>
      </c>
      <c r="I1641" t="s">
        <v>97</v>
      </c>
      <c r="J1641" t="s">
        <v>4420</v>
      </c>
      <c r="K1641" t="s">
        <v>797</v>
      </c>
      <c r="L1641" t="s">
        <v>36</v>
      </c>
      <c r="M1641" t="s">
        <v>2546</v>
      </c>
      <c r="N1641" t="s">
        <v>38</v>
      </c>
      <c r="O1641" t="s">
        <v>118</v>
      </c>
      <c r="P1641">
        <v>278.39999999999998</v>
      </c>
    </row>
    <row r="1642" spans="1:16">
      <c r="A1642" s="4">
        <v>2018</v>
      </c>
      <c r="B1642" s="4">
        <v>101434</v>
      </c>
      <c r="C1642" t="s">
        <v>1380</v>
      </c>
      <c r="D1642" t="s">
        <v>3717</v>
      </c>
      <c r="E1642" t="s">
        <v>18</v>
      </c>
      <c r="F1642" t="s">
        <v>4418</v>
      </c>
      <c r="G1642" t="s">
        <v>4419</v>
      </c>
      <c r="H1642" t="s">
        <v>33</v>
      </c>
      <c r="I1642" t="s">
        <v>97</v>
      </c>
      <c r="J1642" t="s">
        <v>2775</v>
      </c>
      <c r="K1642" t="s">
        <v>869</v>
      </c>
      <c r="L1642" t="s">
        <v>25</v>
      </c>
      <c r="M1642" t="s">
        <v>4421</v>
      </c>
      <c r="N1642" t="s">
        <v>38</v>
      </c>
      <c r="O1642" t="s">
        <v>68</v>
      </c>
      <c r="P1642">
        <v>239.97</v>
      </c>
    </row>
    <row r="1643" spans="1:16">
      <c r="A1643" s="4">
        <v>2018</v>
      </c>
      <c r="B1643" s="4">
        <v>117863</v>
      </c>
      <c r="C1643" t="s">
        <v>1611</v>
      </c>
      <c r="D1643" t="s">
        <v>529</v>
      </c>
      <c r="E1643" t="s">
        <v>18</v>
      </c>
      <c r="F1643" t="s">
        <v>4422</v>
      </c>
      <c r="G1643" t="s">
        <v>4423</v>
      </c>
      <c r="H1643" t="s">
        <v>33</v>
      </c>
      <c r="I1643" t="s">
        <v>97</v>
      </c>
      <c r="J1643" t="s">
        <v>49</v>
      </c>
      <c r="K1643" t="s">
        <v>50</v>
      </c>
      <c r="L1643" t="s">
        <v>25</v>
      </c>
      <c r="M1643" t="s">
        <v>4424</v>
      </c>
      <c r="N1643" t="s">
        <v>79</v>
      </c>
      <c r="O1643" t="s">
        <v>80</v>
      </c>
      <c r="P1643">
        <v>14.56</v>
      </c>
    </row>
    <row r="1644" spans="1:16">
      <c r="A1644" s="4">
        <v>2016</v>
      </c>
      <c r="B1644" s="4">
        <v>146829</v>
      </c>
      <c r="C1644" t="s">
        <v>4425</v>
      </c>
      <c r="D1644" t="s">
        <v>4425</v>
      </c>
      <c r="E1644" t="s">
        <v>132</v>
      </c>
      <c r="F1644" t="s">
        <v>4422</v>
      </c>
      <c r="G1644" t="s">
        <v>4423</v>
      </c>
      <c r="H1644" t="s">
        <v>33</v>
      </c>
      <c r="I1644" t="s">
        <v>97</v>
      </c>
      <c r="J1644" t="s">
        <v>183</v>
      </c>
      <c r="K1644" t="s">
        <v>35</v>
      </c>
      <c r="L1644" t="s">
        <v>36</v>
      </c>
      <c r="M1644" t="s">
        <v>1028</v>
      </c>
      <c r="N1644" t="s">
        <v>27</v>
      </c>
      <c r="O1644" t="s">
        <v>101</v>
      </c>
      <c r="P1644">
        <v>1.1120000000000001</v>
      </c>
    </row>
    <row r="1645" spans="1:16">
      <c r="A1645" s="4">
        <v>2017</v>
      </c>
      <c r="B1645" s="4">
        <v>117919</v>
      </c>
      <c r="C1645" t="s">
        <v>1968</v>
      </c>
      <c r="D1645" t="s">
        <v>69</v>
      </c>
      <c r="E1645" t="s">
        <v>144</v>
      </c>
      <c r="F1645" t="s">
        <v>4426</v>
      </c>
      <c r="G1645" t="s">
        <v>4427</v>
      </c>
      <c r="H1645" t="s">
        <v>33</v>
      </c>
      <c r="I1645" t="s">
        <v>22</v>
      </c>
      <c r="J1645" t="s">
        <v>183</v>
      </c>
      <c r="K1645" t="s">
        <v>35</v>
      </c>
      <c r="L1645" t="s">
        <v>36</v>
      </c>
      <c r="M1645" t="s">
        <v>4428</v>
      </c>
      <c r="N1645" t="s">
        <v>27</v>
      </c>
      <c r="O1645" t="s">
        <v>58</v>
      </c>
      <c r="P1645">
        <v>14.16</v>
      </c>
    </row>
    <row r="1646" spans="1:16">
      <c r="A1646" s="4">
        <v>2017</v>
      </c>
      <c r="B1646" s="4">
        <v>153346</v>
      </c>
      <c r="C1646" t="s">
        <v>4429</v>
      </c>
      <c r="D1646" t="s">
        <v>4430</v>
      </c>
      <c r="E1646" t="s">
        <v>42</v>
      </c>
      <c r="F1646" t="s">
        <v>4426</v>
      </c>
      <c r="G1646" t="s">
        <v>4427</v>
      </c>
      <c r="H1646" t="s">
        <v>33</v>
      </c>
      <c r="I1646" t="s">
        <v>22</v>
      </c>
      <c r="J1646" t="s">
        <v>2492</v>
      </c>
      <c r="K1646" t="s">
        <v>869</v>
      </c>
      <c r="L1646" t="s">
        <v>25</v>
      </c>
      <c r="M1646" t="s">
        <v>4431</v>
      </c>
      <c r="N1646" t="s">
        <v>27</v>
      </c>
      <c r="O1646" t="s">
        <v>28</v>
      </c>
      <c r="P1646">
        <v>9.2100000000000009</v>
      </c>
    </row>
    <row r="1647" spans="1:16">
      <c r="A1647" s="4">
        <v>2017</v>
      </c>
      <c r="B1647" s="4">
        <v>154711</v>
      </c>
      <c r="C1647" t="s">
        <v>340</v>
      </c>
      <c r="D1647" t="s">
        <v>1240</v>
      </c>
      <c r="E1647" t="s">
        <v>18</v>
      </c>
      <c r="F1647" t="s">
        <v>4426</v>
      </c>
      <c r="G1647" t="s">
        <v>4427</v>
      </c>
      <c r="H1647" t="s">
        <v>33</v>
      </c>
      <c r="I1647" t="s">
        <v>22</v>
      </c>
      <c r="J1647" t="s">
        <v>49</v>
      </c>
      <c r="K1647" t="s">
        <v>50</v>
      </c>
      <c r="L1647" t="s">
        <v>25</v>
      </c>
      <c r="M1647" t="s">
        <v>4432</v>
      </c>
      <c r="N1647" t="s">
        <v>79</v>
      </c>
      <c r="O1647" t="s">
        <v>80</v>
      </c>
      <c r="P1647">
        <v>39.880000000000003</v>
      </c>
    </row>
    <row r="1648" spans="1:16">
      <c r="A1648" s="4">
        <v>2018</v>
      </c>
      <c r="B1648" s="4">
        <v>159464</v>
      </c>
      <c r="C1648" t="s">
        <v>1611</v>
      </c>
      <c r="D1648" t="s">
        <v>528</v>
      </c>
      <c r="E1648" t="s">
        <v>42</v>
      </c>
      <c r="F1648" t="s">
        <v>4426</v>
      </c>
      <c r="G1648" t="s">
        <v>4427</v>
      </c>
      <c r="H1648" t="s">
        <v>33</v>
      </c>
      <c r="I1648" t="s">
        <v>22</v>
      </c>
      <c r="J1648" t="s">
        <v>4433</v>
      </c>
      <c r="K1648" t="s">
        <v>86</v>
      </c>
      <c r="L1648" t="s">
        <v>45</v>
      </c>
      <c r="M1648" t="s">
        <v>4434</v>
      </c>
      <c r="N1648" t="s">
        <v>27</v>
      </c>
      <c r="O1648" t="s">
        <v>228</v>
      </c>
      <c r="P1648">
        <v>17.239999999999998</v>
      </c>
    </row>
    <row r="1649" spans="1:16">
      <c r="A1649" s="4">
        <v>2018</v>
      </c>
      <c r="B1649" s="4">
        <v>143112</v>
      </c>
      <c r="C1649" t="s">
        <v>4435</v>
      </c>
      <c r="D1649" t="s">
        <v>1176</v>
      </c>
      <c r="E1649" t="s">
        <v>18</v>
      </c>
      <c r="F1649" t="s">
        <v>4436</v>
      </c>
      <c r="G1649" t="s">
        <v>4437</v>
      </c>
      <c r="H1649" t="s">
        <v>33</v>
      </c>
      <c r="I1649" t="s">
        <v>22</v>
      </c>
      <c r="J1649" t="s">
        <v>49</v>
      </c>
      <c r="K1649" t="s">
        <v>50</v>
      </c>
      <c r="L1649" t="s">
        <v>25</v>
      </c>
      <c r="M1649" t="s">
        <v>3990</v>
      </c>
      <c r="N1649" t="s">
        <v>38</v>
      </c>
      <c r="O1649" t="s">
        <v>118</v>
      </c>
      <c r="P1649">
        <v>87.8</v>
      </c>
    </row>
    <row r="1650" spans="1:16">
      <c r="A1650" s="4">
        <v>2018</v>
      </c>
      <c r="B1650" s="4">
        <v>166436</v>
      </c>
      <c r="C1650" t="s">
        <v>2320</v>
      </c>
      <c r="D1650" t="s">
        <v>1751</v>
      </c>
      <c r="E1650" t="s">
        <v>18</v>
      </c>
      <c r="F1650" t="s">
        <v>4436</v>
      </c>
      <c r="G1650" t="s">
        <v>4437</v>
      </c>
      <c r="H1650" t="s">
        <v>33</v>
      </c>
      <c r="I1650" t="s">
        <v>22</v>
      </c>
      <c r="J1650" t="s">
        <v>49</v>
      </c>
      <c r="K1650" t="s">
        <v>50</v>
      </c>
      <c r="L1650" t="s">
        <v>25</v>
      </c>
      <c r="M1650" t="s">
        <v>4257</v>
      </c>
      <c r="N1650" t="s">
        <v>27</v>
      </c>
      <c r="O1650" t="s">
        <v>52</v>
      </c>
      <c r="P1650">
        <v>5.88</v>
      </c>
    </row>
    <row r="1651" spans="1:16">
      <c r="A1651" s="4">
        <v>2017</v>
      </c>
      <c r="B1651" s="4">
        <v>129847</v>
      </c>
      <c r="C1651" t="s">
        <v>1200</v>
      </c>
      <c r="D1651" t="s">
        <v>1516</v>
      </c>
      <c r="E1651" t="s">
        <v>42</v>
      </c>
      <c r="F1651" t="s">
        <v>4438</v>
      </c>
      <c r="G1651" t="s">
        <v>4439</v>
      </c>
      <c r="H1651" t="s">
        <v>33</v>
      </c>
      <c r="I1651" t="s">
        <v>63</v>
      </c>
      <c r="J1651" t="s">
        <v>108</v>
      </c>
      <c r="K1651" t="s">
        <v>109</v>
      </c>
      <c r="L1651" t="s">
        <v>36</v>
      </c>
      <c r="M1651" t="s">
        <v>4440</v>
      </c>
      <c r="N1651" t="s">
        <v>79</v>
      </c>
      <c r="O1651" t="s">
        <v>80</v>
      </c>
      <c r="P1651">
        <v>84.272000000000006</v>
      </c>
    </row>
    <row r="1652" spans="1:16">
      <c r="A1652" s="4">
        <v>2018</v>
      </c>
      <c r="B1652" s="4">
        <v>127180</v>
      </c>
      <c r="C1652" t="s">
        <v>961</v>
      </c>
      <c r="D1652" t="s">
        <v>1928</v>
      </c>
      <c r="E1652" t="s">
        <v>42</v>
      </c>
      <c r="F1652" t="s">
        <v>4438</v>
      </c>
      <c r="G1652" t="s">
        <v>4439</v>
      </c>
      <c r="H1652" t="s">
        <v>33</v>
      </c>
      <c r="I1652" t="s">
        <v>63</v>
      </c>
      <c r="J1652" t="s">
        <v>49</v>
      </c>
      <c r="K1652" t="s">
        <v>50</v>
      </c>
      <c r="L1652" t="s">
        <v>25</v>
      </c>
      <c r="M1652" t="s">
        <v>4441</v>
      </c>
      <c r="N1652" t="s">
        <v>38</v>
      </c>
      <c r="O1652" t="s">
        <v>190</v>
      </c>
      <c r="P1652">
        <v>11199.968000000001</v>
      </c>
    </row>
    <row r="1653" spans="1:16">
      <c r="A1653" s="4">
        <v>2015</v>
      </c>
      <c r="B1653" s="4">
        <v>145541</v>
      </c>
      <c r="C1653" t="s">
        <v>2811</v>
      </c>
      <c r="D1653" t="s">
        <v>710</v>
      </c>
      <c r="E1653" t="s">
        <v>18</v>
      </c>
      <c r="F1653" t="s">
        <v>4442</v>
      </c>
      <c r="G1653" t="s">
        <v>4443</v>
      </c>
      <c r="H1653" t="s">
        <v>33</v>
      </c>
      <c r="I1653" t="s">
        <v>97</v>
      </c>
      <c r="J1653" t="s">
        <v>49</v>
      </c>
      <c r="K1653" t="s">
        <v>50</v>
      </c>
      <c r="L1653" t="s">
        <v>25</v>
      </c>
      <c r="M1653" t="s">
        <v>4444</v>
      </c>
      <c r="N1653" t="s">
        <v>38</v>
      </c>
      <c r="O1653" t="s">
        <v>39</v>
      </c>
      <c r="P1653">
        <v>6999.96</v>
      </c>
    </row>
    <row r="1654" spans="1:16">
      <c r="A1654" s="4">
        <v>2018</v>
      </c>
      <c r="B1654" s="4">
        <v>134565</v>
      </c>
      <c r="C1654" t="s">
        <v>729</v>
      </c>
      <c r="D1654" t="s">
        <v>776</v>
      </c>
      <c r="E1654" t="s">
        <v>144</v>
      </c>
      <c r="F1654" t="s">
        <v>4442</v>
      </c>
      <c r="G1654" t="s">
        <v>4443</v>
      </c>
      <c r="H1654" t="s">
        <v>33</v>
      </c>
      <c r="I1654" t="s">
        <v>97</v>
      </c>
      <c r="J1654" t="s">
        <v>271</v>
      </c>
      <c r="K1654" t="s">
        <v>165</v>
      </c>
      <c r="L1654" t="s">
        <v>66</v>
      </c>
      <c r="M1654" t="s">
        <v>4445</v>
      </c>
      <c r="N1654" t="s">
        <v>27</v>
      </c>
      <c r="O1654" t="s">
        <v>52</v>
      </c>
      <c r="P1654">
        <v>37.94</v>
      </c>
    </row>
    <row r="1655" spans="1:16">
      <c r="A1655" s="4">
        <v>2017</v>
      </c>
      <c r="B1655" s="4">
        <v>164735</v>
      </c>
      <c r="C1655" t="s">
        <v>2102</v>
      </c>
      <c r="D1655" t="s">
        <v>2208</v>
      </c>
      <c r="E1655" t="s">
        <v>144</v>
      </c>
      <c r="F1655" t="s">
        <v>4442</v>
      </c>
      <c r="G1655" t="s">
        <v>4443</v>
      </c>
      <c r="H1655" t="s">
        <v>33</v>
      </c>
      <c r="I1655" t="s">
        <v>97</v>
      </c>
      <c r="J1655" t="s">
        <v>4208</v>
      </c>
      <c r="K1655" t="s">
        <v>56</v>
      </c>
      <c r="L1655" t="s">
        <v>45</v>
      </c>
      <c r="M1655" t="s">
        <v>4446</v>
      </c>
      <c r="N1655" t="s">
        <v>27</v>
      </c>
      <c r="O1655" t="s">
        <v>58</v>
      </c>
      <c r="P1655">
        <v>81.2</v>
      </c>
    </row>
    <row r="1656" spans="1:16">
      <c r="A1656" s="4">
        <v>2018</v>
      </c>
      <c r="B1656" s="4">
        <v>137470</v>
      </c>
      <c r="C1656" t="s">
        <v>212</v>
      </c>
      <c r="D1656" t="s">
        <v>212</v>
      </c>
      <c r="E1656" t="s">
        <v>132</v>
      </c>
      <c r="F1656" t="s">
        <v>4447</v>
      </c>
      <c r="G1656" t="s">
        <v>4448</v>
      </c>
      <c r="H1656" t="s">
        <v>21</v>
      </c>
      <c r="I1656" t="s">
        <v>97</v>
      </c>
      <c r="J1656" t="s">
        <v>271</v>
      </c>
      <c r="K1656" t="s">
        <v>165</v>
      </c>
      <c r="L1656" t="s">
        <v>66</v>
      </c>
      <c r="M1656" t="s">
        <v>4184</v>
      </c>
      <c r="N1656" t="s">
        <v>27</v>
      </c>
      <c r="O1656" t="s">
        <v>52</v>
      </c>
      <c r="P1656">
        <v>12.96</v>
      </c>
    </row>
    <row r="1657" spans="1:16">
      <c r="A1657" s="4">
        <v>2016</v>
      </c>
      <c r="B1657" s="4">
        <v>135622</v>
      </c>
      <c r="C1657" t="s">
        <v>3176</v>
      </c>
      <c r="D1657" t="s">
        <v>604</v>
      </c>
      <c r="E1657" t="s">
        <v>144</v>
      </c>
      <c r="F1657" t="s">
        <v>4449</v>
      </c>
      <c r="G1657" t="s">
        <v>4450</v>
      </c>
      <c r="H1657" t="s">
        <v>33</v>
      </c>
      <c r="I1657" t="s">
        <v>63</v>
      </c>
      <c r="J1657" t="s">
        <v>1861</v>
      </c>
      <c r="K1657" t="s">
        <v>35</v>
      </c>
      <c r="L1657" t="s">
        <v>36</v>
      </c>
      <c r="M1657" t="s">
        <v>4451</v>
      </c>
      <c r="N1657" t="s">
        <v>27</v>
      </c>
      <c r="O1657" t="s">
        <v>52</v>
      </c>
      <c r="P1657">
        <v>360.71199999999999</v>
      </c>
    </row>
    <row r="1658" spans="1:16">
      <c r="A1658" s="4">
        <v>2017</v>
      </c>
      <c r="B1658" s="4">
        <v>109057</v>
      </c>
      <c r="C1658" t="s">
        <v>1224</v>
      </c>
      <c r="D1658" t="s">
        <v>1162</v>
      </c>
      <c r="E1658" t="s">
        <v>18</v>
      </c>
      <c r="F1658" t="s">
        <v>4449</v>
      </c>
      <c r="G1658" t="s">
        <v>4450</v>
      </c>
      <c r="H1658" t="s">
        <v>33</v>
      </c>
      <c r="I1658" t="s">
        <v>63</v>
      </c>
      <c r="J1658" t="s">
        <v>1482</v>
      </c>
      <c r="K1658" t="s">
        <v>109</v>
      </c>
      <c r="L1658" t="s">
        <v>36</v>
      </c>
      <c r="M1658" t="s">
        <v>4452</v>
      </c>
      <c r="N1658" t="s">
        <v>27</v>
      </c>
      <c r="O1658" t="s">
        <v>58</v>
      </c>
      <c r="P1658">
        <v>23.952000000000002</v>
      </c>
    </row>
    <row r="1659" spans="1:16">
      <c r="A1659" s="4">
        <v>2018</v>
      </c>
      <c r="B1659" s="4">
        <v>158736</v>
      </c>
      <c r="C1659" t="s">
        <v>16</v>
      </c>
      <c r="D1659" t="s">
        <v>424</v>
      </c>
      <c r="E1659" t="s">
        <v>18</v>
      </c>
      <c r="F1659" t="s">
        <v>4449</v>
      </c>
      <c r="G1659" t="s">
        <v>4450</v>
      </c>
      <c r="H1659" t="s">
        <v>33</v>
      </c>
      <c r="I1659" t="s">
        <v>63</v>
      </c>
      <c r="J1659" t="s">
        <v>226</v>
      </c>
      <c r="K1659" t="s">
        <v>65</v>
      </c>
      <c r="L1659" t="s">
        <v>66</v>
      </c>
      <c r="M1659" t="s">
        <v>2493</v>
      </c>
      <c r="N1659" t="s">
        <v>27</v>
      </c>
      <c r="O1659" t="s">
        <v>28</v>
      </c>
      <c r="P1659">
        <v>5.76</v>
      </c>
    </row>
    <row r="1660" spans="1:16">
      <c r="A1660" s="4">
        <v>2017</v>
      </c>
      <c r="B1660" s="4">
        <v>100307</v>
      </c>
      <c r="C1660" t="s">
        <v>3182</v>
      </c>
      <c r="D1660" t="s">
        <v>2090</v>
      </c>
      <c r="E1660" t="s">
        <v>18</v>
      </c>
      <c r="F1660" t="s">
        <v>4453</v>
      </c>
      <c r="G1660" t="s">
        <v>4454</v>
      </c>
      <c r="H1660" t="s">
        <v>33</v>
      </c>
      <c r="I1660" t="s">
        <v>63</v>
      </c>
      <c r="J1660" t="s">
        <v>672</v>
      </c>
      <c r="K1660" t="s">
        <v>1270</v>
      </c>
      <c r="L1660" t="s">
        <v>45</v>
      </c>
      <c r="M1660" t="s">
        <v>4455</v>
      </c>
      <c r="N1660" t="s">
        <v>27</v>
      </c>
      <c r="O1660" t="s">
        <v>52</v>
      </c>
      <c r="P1660">
        <v>19.440000000000001</v>
      </c>
    </row>
    <row r="1661" spans="1:16">
      <c r="A1661" s="4">
        <v>2015</v>
      </c>
      <c r="B1661" s="4">
        <v>112200</v>
      </c>
      <c r="C1661" t="s">
        <v>179</v>
      </c>
      <c r="D1661" t="s">
        <v>991</v>
      </c>
      <c r="E1661" t="s">
        <v>18</v>
      </c>
      <c r="F1661" t="s">
        <v>4453</v>
      </c>
      <c r="G1661" t="s">
        <v>4454</v>
      </c>
      <c r="H1661" t="s">
        <v>33</v>
      </c>
      <c r="I1661" t="s">
        <v>63</v>
      </c>
      <c r="J1661" t="s">
        <v>4456</v>
      </c>
      <c r="K1661" t="s">
        <v>109</v>
      </c>
      <c r="L1661" t="s">
        <v>36</v>
      </c>
      <c r="M1661" t="s">
        <v>4457</v>
      </c>
      <c r="N1661" t="s">
        <v>27</v>
      </c>
      <c r="O1661" t="s">
        <v>101</v>
      </c>
      <c r="P1661">
        <v>9.98</v>
      </c>
    </row>
    <row r="1662" spans="1:16">
      <c r="A1662" s="4">
        <v>2016</v>
      </c>
      <c r="B1662" s="4">
        <v>151680</v>
      </c>
      <c r="C1662" t="s">
        <v>489</v>
      </c>
      <c r="D1662" t="s">
        <v>980</v>
      </c>
      <c r="E1662" t="s">
        <v>144</v>
      </c>
      <c r="F1662" t="s">
        <v>4453</v>
      </c>
      <c r="G1662" t="s">
        <v>4454</v>
      </c>
      <c r="H1662" t="s">
        <v>33</v>
      </c>
      <c r="I1662" t="s">
        <v>63</v>
      </c>
      <c r="J1662" t="s">
        <v>271</v>
      </c>
      <c r="K1662" t="s">
        <v>165</v>
      </c>
      <c r="L1662" t="s">
        <v>66</v>
      </c>
      <c r="M1662" t="s">
        <v>862</v>
      </c>
      <c r="N1662" t="s">
        <v>79</v>
      </c>
      <c r="O1662" t="s">
        <v>80</v>
      </c>
      <c r="P1662">
        <v>141.96</v>
      </c>
    </row>
    <row r="1663" spans="1:16">
      <c r="A1663" s="4">
        <v>2018</v>
      </c>
      <c r="B1663" s="4">
        <v>113474</v>
      </c>
      <c r="C1663" t="s">
        <v>1906</v>
      </c>
      <c r="D1663" t="s">
        <v>1194</v>
      </c>
      <c r="E1663" t="s">
        <v>42</v>
      </c>
      <c r="F1663" t="s">
        <v>4458</v>
      </c>
      <c r="G1663" t="s">
        <v>4459</v>
      </c>
      <c r="H1663" t="s">
        <v>21</v>
      </c>
      <c r="I1663" t="s">
        <v>97</v>
      </c>
      <c r="J1663" t="s">
        <v>648</v>
      </c>
      <c r="K1663" t="s">
        <v>152</v>
      </c>
      <c r="L1663" t="s">
        <v>36</v>
      </c>
      <c r="M1663" t="s">
        <v>4460</v>
      </c>
      <c r="N1663" t="s">
        <v>27</v>
      </c>
      <c r="O1663" t="s">
        <v>501</v>
      </c>
      <c r="P1663">
        <v>325.86</v>
      </c>
    </row>
    <row r="1664" spans="1:16">
      <c r="A1664" s="4">
        <v>2018</v>
      </c>
      <c r="B1664" s="4">
        <v>152737</v>
      </c>
      <c r="C1664" t="s">
        <v>199</v>
      </c>
      <c r="D1664" t="s">
        <v>976</v>
      </c>
      <c r="E1664" t="s">
        <v>18</v>
      </c>
      <c r="F1664" t="s">
        <v>4461</v>
      </c>
      <c r="G1664" t="s">
        <v>4462</v>
      </c>
      <c r="H1664" t="s">
        <v>21</v>
      </c>
      <c r="I1664" t="s">
        <v>97</v>
      </c>
      <c r="J1664" t="s">
        <v>226</v>
      </c>
      <c r="K1664" t="s">
        <v>65</v>
      </c>
      <c r="L1664" t="s">
        <v>66</v>
      </c>
      <c r="M1664" t="s">
        <v>4463</v>
      </c>
      <c r="N1664" t="s">
        <v>27</v>
      </c>
      <c r="O1664" t="s">
        <v>101</v>
      </c>
      <c r="P1664">
        <v>21.792000000000002</v>
      </c>
    </row>
    <row r="1665" spans="1:16">
      <c r="A1665" s="4">
        <v>2017</v>
      </c>
      <c r="B1665" s="4">
        <v>117912</v>
      </c>
      <c r="C1665" t="s">
        <v>4464</v>
      </c>
      <c r="D1665" t="s">
        <v>1172</v>
      </c>
      <c r="E1665" t="s">
        <v>18</v>
      </c>
      <c r="F1665" t="s">
        <v>4465</v>
      </c>
      <c r="G1665" t="s">
        <v>4466</v>
      </c>
      <c r="H1665" t="s">
        <v>33</v>
      </c>
      <c r="I1665" t="s">
        <v>97</v>
      </c>
      <c r="J1665" t="s">
        <v>678</v>
      </c>
      <c r="K1665" t="s">
        <v>136</v>
      </c>
      <c r="L1665" t="s">
        <v>66</v>
      </c>
      <c r="M1665" t="s">
        <v>4467</v>
      </c>
      <c r="N1665" t="s">
        <v>79</v>
      </c>
      <c r="O1665" t="s">
        <v>80</v>
      </c>
      <c r="P1665">
        <v>14.368</v>
      </c>
    </row>
    <row r="1666" spans="1:16">
      <c r="A1666" s="4">
        <v>2016</v>
      </c>
      <c r="B1666" s="4">
        <v>150630</v>
      </c>
      <c r="C1666" t="s">
        <v>1124</v>
      </c>
      <c r="D1666" t="s">
        <v>1206</v>
      </c>
      <c r="E1666" t="s">
        <v>18</v>
      </c>
      <c r="F1666" t="s">
        <v>4465</v>
      </c>
      <c r="G1666" t="s">
        <v>4466</v>
      </c>
      <c r="H1666" t="s">
        <v>33</v>
      </c>
      <c r="I1666" t="s">
        <v>97</v>
      </c>
      <c r="J1666" t="s">
        <v>23</v>
      </c>
      <c r="K1666" t="s">
        <v>24</v>
      </c>
      <c r="L1666" t="s">
        <v>25</v>
      </c>
      <c r="M1666" t="s">
        <v>4468</v>
      </c>
      <c r="N1666" t="s">
        <v>79</v>
      </c>
      <c r="O1666" t="s">
        <v>286</v>
      </c>
      <c r="P1666">
        <v>3083.43</v>
      </c>
    </row>
    <row r="1667" spans="1:16">
      <c r="A1667" s="4">
        <v>2018</v>
      </c>
      <c r="B1667" s="4">
        <v>114440</v>
      </c>
      <c r="C1667" t="s">
        <v>1856</v>
      </c>
      <c r="D1667" t="s">
        <v>212</v>
      </c>
      <c r="E1667" t="s">
        <v>144</v>
      </c>
      <c r="F1667" t="s">
        <v>4465</v>
      </c>
      <c r="G1667" t="s">
        <v>4466</v>
      </c>
      <c r="H1667" t="s">
        <v>33</v>
      </c>
      <c r="I1667" t="s">
        <v>97</v>
      </c>
      <c r="J1667" t="s">
        <v>854</v>
      </c>
      <c r="K1667" t="s">
        <v>855</v>
      </c>
      <c r="L1667" t="s">
        <v>36</v>
      </c>
      <c r="M1667" t="s">
        <v>3171</v>
      </c>
      <c r="N1667" t="s">
        <v>27</v>
      </c>
      <c r="O1667" t="s">
        <v>52</v>
      </c>
      <c r="P1667">
        <v>19.05</v>
      </c>
    </row>
    <row r="1668" spans="1:16">
      <c r="A1668" s="4">
        <v>2016</v>
      </c>
      <c r="B1668" s="4">
        <v>131128</v>
      </c>
      <c r="C1668" t="s">
        <v>3970</v>
      </c>
      <c r="D1668" t="s">
        <v>3769</v>
      </c>
      <c r="E1668" t="s">
        <v>42</v>
      </c>
      <c r="F1668" t="s">
        <v>4465</v>
      </c>
      <c r="G1668" t="s">
        <v>4466</v>
      </c>
      <c r="H1668" t="s">
        <v>33</v>
      </c>
      <c r="I1668" t="s">
        <v>97</v>
      </c>
      <c r="J1668" t="s">
        <v>71</v>
      </c>
      <c r="K1668" t="s">
        <v>72</v>
      </c>
      <c r="L1668" t="s">
        <v>25</v>
      </c>
      <c r="M1668" t="s">
        <v>4469</v>
      </c>
      <c r="N1668" t="s">
        <v>27</v>
      </c>
      <c r="O1668" t="s">
        <v>52</v>
      </c>
      <c r="P1668">
        <v>34.44</v>
      </c>
    </row>
    <row r="1669" spans="1:16">
      <c r="A1669" s="4">
        <v>2016</v>
      </c>
      <c r="B1669" s="4">
        <v>130883</v>
      </c>
      <c r="C1669" t="s">
        <v>1040</v>
      </c>
      <c r="D1669" t="s">
        <v>1925</v>
      </c>
      <c r="E1669" t="s">
        <v>18</v>
      </c>
      <c r="F1669" t="s">
        <v>4465</v>
      </c>
      <c r="G1669" t="s">
        <v>4466</v>
      </c>
      <c r="H1669" t="s">
        <v>33</v>
      </c>
      <c r="I1669" t="s">
        <v>97</v>
      </c>
      <c r="J1669" t="s">
        <v>1734</v>
      </c>
      <c r="K1669" t="s">
        <v>323</v>
      </c>
      <c r="L1669" t="s">
        <v>66</v>
      </c>
      <c r="M1669" t="s">
        <v>200</v>
      </c>
      <c r="N1669" t="s">
        <v>27</v>
      </c>
      <c r="O1669" t="s">
        <v>52</v>
      </c>
      <c r="P1669">
        <v>141.76</v>
      </c>
    </row>
    <row r="1670" spans="1:16">
      <c r="A1670" s="4">
        <v>2018</v>
      </c>
      <c r="B1670" s="4">
        <v>112487</v>
      </c>
      <c r="C1670" t="s">
        <v>1708</v>
      </c>
      <c r="D1670" t="s">
        <v>1348</v>
      </c>
      <c r="E1670" t="s">
        <v>18</v>
      </c>
      <c r="F1670" t="s">
        <v>4470</v>
      </c>
      <c r="G1670" t="s">
        <v>4471</v>
      </c>
      <c r="H1670" t="s">
        <v>33</v>
      </c>
      <c r="I1670" t="s">
        <v>63</v>
      </c>
      <c r="J1670" t="s">
        <v>473</v>
      </c>
      <c r="K1670" t="s">
        <v>237</v>
      </c>
      <c r="L1670" t="s">
        <v>25</v>
      </c>
      <c r="M1670" t="s">
        <v>4472</v>
      </c>
      <c r="N1670" t="s">
        <v>27</v>
      </c>
      <c r="O1670" t="s">
        <v>101</v>
      </c>
      <c r="P1670">
        <v>3.1320000000000001</v>
      </c>
    </row>
    <row r="1671" spans="1:16">
      <c r="A1671" s="4">
        <v>2017</v>
      </c>
      <c r="B1671" s="4">
        <v>166226</v>
      </c>
      <c r="C1671" t="s">
        <v>644</v>
      </c>
      <c r="D1671" t="s">
        <v>340</v>
      </c>
      <c r="E1671" t="s">
        <v>18</v>
      </c>
      <c r="F1671" t="s">
        <v>4470</v>
      </c>
      <c r="G1671" t="s">
        <v>4471</v>
      </c>
      <c r="H1671" t="s">
        <v>33</v>
      </c>
      <c r="I1671" t="s">
        <v>63</v>
      </c>
      <c r="J1671" t="s">
        <v>64</v>
      </c>
      <c r="K1671" t="s">
        <v>65</v>
      </c>
      <c r="L1671" t="s">
        <v>66</v>
      </c>
      <c r="M1671" t="s">
        <v>4473</v>
      </c>
      <c r="N1671" t="s">
        <v>38</v>
      </c>
      <c r="O1671" t="s">
        <v>118</v>
      </c>
      <c r="P1671">
        <v>61.192</v>
      </c>
    </row>
    <row r="1672" spans="1:16">
      <c r="A1672" s="4">
        <v>2016</v>
      </c>
      <c r="B1672" s="4">
        <v>115847</v>
      </c>
      <c r="C1672" t="s">
        <v>1279</v>
      </c>
      <c r="D1672" t="s">
        <v>1721</v>
      </c>
      <c r="E1672" t="s">
        <v>144</v>
      </c>
      <c r="F1672" t="s">
        <v>4470</v>
      </c>
      <c r="G1672" t="s">
        <v>4471</v>
      </c>
      <c r="H1672" t="s">
        <v>33</v>
      </c>
      <c r="I1672" t="s">
        <v>63</v>
      </c>
      <c r="J1672" t="s">
        <v>55</v>
      </c>
      <c r="K1672" t="s">
        <v>56</v>
      </c>
      <c r="L1672" t="s">
        <v>45</v>
      </c>
      <c r="M1672" t="s">
        <v>2923</v>
      </c>
      <c r="N1672" t="s">
        <v>79</v>
      </c>
      <c r="O1672" t="s">
        <v>286</v>
      </c>
      <c r="P1672">
        <v>61.96</v>
      </c>
    </row>
    <row r="1673" spans="1:16">
      <c r="A1673" s="4">
        <v>2018</v>
      </c>
      <c r="B1673" s="4">
        <v>120390</v>
      </c>
      <c r="C1673" t="s">
        <v>659</v>
      </c>
      <c r="D1673" t="s">
        <v>3584</v>
      </c>
      <c r="E1673" t="s">
        <v>18</v>
      </c>
      <c r="F1673" t="s">
        <v>4474</v>
      </c>
      <c r="G1673" t="s">
        <v>4475</v>
      </c>
      <c r="H1673" t="s">
        <v>33</v>
      </c>
      <c r="I1673" t="s">
        <v>63</v>
      </c>
      <c r="J1673" t="s">
        <v>2285</v>
      </c>
      <c r="K1673" t="s">
        <v>44</v>
      </c>
      <c r="L1673" t="s">
        <v>45</v>
      </c>
      <c r="M1673" t="s">
        <v>4476</v>
      </c>
      <c r="N1673" t="s">
        <v>27</v>
      </c>
      <c r="O1673" t="s">
        <v>101</v>
      </c>
      <c r="P1673">
        <v>1633.1880000000001</v>
      </c>
    </row>
    <row r="1674" spans="1:16">
      <c r="A1674" s="4">
        <v>2016</v>
      </c>
      <c r="B1674" s="4">
        <v>120810</v>
      </c>
      <c r="C1674" t="s">
        <v>4477</v>
      </c>
      <c r="D1674" t="s">
        <v>3449</v>
      </c>
      <c r="E1674" t="s">
        <v>18</v>
      </c>
      <c r="F1674" t="s">
        <v>4474</v>
      </c>
      <c r="G1674" t="s">
        <v>4475</v>
      </c>
      <c r="H1674" t="s">
        <v>33</v>
      </c>
      <c r="I1674" t="s">
        <v>63</v>
      </c>
      <c r="J1674" t="s">
        <v>49</v>
      </c>
      <c r="K1674" t="s">
        <v>50</v>
      </c>
      <c r="L1674" t="s">
        <v>25</v>
      </c>
      <c r="M1674" t="s">
        <v>4478</v>
      </c>
      <c r="N1674" t="s">
        <v>27</v>
      </c>
      <c r="O1674" t="s">
        <v>228</v>
      </c>
      <c r="P1674">
        <v>68.94</v>
      </c>
    </row>
    <row r="1675" spans="1:16">
      <c r="A1675" s="4">
        <v>2018</v>
      </c>
      <c r="B1675" s="4">
        <v>133256</v>
      </c>
      <c r="C1675" t="s">
        <v>1253</v>
      </c>
      <c r="D1675" t="s">
        <v>3717</v>
      </c>
      <c r="E1675" t="s">
        <v>42</v>
      </c>
      <c r="F1675" t="s">
        <v>4474</v>
      </c>
      <c r="G1675" t="s">
        <v>4475</v>
      </c>
      <c r="H1675" t="s">
        <v>33</v>
      </c>
      <c r="I1675" t="s">
        <v>63</v>
      </c>
      <c r="J1675" t="s">
        <v>879</v>
      </c>
      <c r="K1675" t="s">
        <v>855</v>
      </c>
      <c r="L1675" t="s">
        <v>36</v>
      </c>
      <c r="M1675" t="s">
        <v>4479</v>
      </c>
      <c r="N1675" t="s">
        <v>27</v>
      </c>
      <c r="O1675" t="s">
        <v>52</v>
      </c>
      <c r="P1675">
        <v>4.54</v>
      </c>
    </row>
    <row r="1676" spans="1:16">
      <c r="A1676" s="4">
        <v>2017</v>
      </c>
      <c r="B1676" s="4">
        <v>163328</v>
      </c>
      <c r="C1676" t="s">
        <v>267</v>
      </c>
      <c r="D1676" t="s">
        <v>3821</v>
      </c>
      <c r="E1676" t="s">
        <v>144</v>
      </c>
      <c r="F1676" t="s">
        <v>4480</v>
      </c>
      <c r="G1676" t="s">
        <v>4481</v>
      </c>
      <c r="H1676" t="s">
        <v>33</v>
      </c>
      <c r="I1676" t="s">
        <v>22</v>
      </c>
      <c r="J1676" t="s">
        <v>4482</v>
      </c>
      <c r="K1676" t="s">
        <v>323</v>
      </c>
      <c r="L1676" t="s">
        <v>66</v>
      </c>
      <c r="M1676" t="s">
        <v>4397</v>
      </c>
      <c r="N1676" t="s">
        <v>27</v>
      </c>
      <c r="O1676" t="s">
        <v>74</v>
      </c>
      <c r="P1676">
        <v>17.584</v>
      </c>
    </row>
    <row r="1677" spans="1:16">
      <c r="A1677" s="4">
        <v>2017</v>
      </c>
      <c r="B1677" s="4">
        <v>103919</v>
      </c>
      <c r="C1677" t="s">
        <v>1999</v>
      </c>
      <c r="D1677" t="s">
        <v>1362</v>
      </c>
      <c r="E1677" t="s">
        <v>18</v>
      </c>
      <c r="F1677" t="s">
        <v>4480</v>
      </c>
      <c r="G1677" t="s">
        <v>4481</v>
      </c>
      <c r="H1677" t="s">
        <v>33</v>
      </c>
      <c r="I1677" t="s">
        <v>22</v>
      </c>
      <c r="J1677" t="s">
        <v>308</v>
      </c>
      <c r="K1677" t="s">
        <v>35</v>
      </c>
      <c r="L1677" t="s">
        <v>36</v>
      </c>
      <c r="M1677" t="s">
        <v>4483</v>
      </c>
      <c r="N1677" t="s">
        <v>79</v>
      </c>
      <c r="O1677" t="s">
        <v>80</v>
      </c>
      <c r="P1677">
        <v>38.08</v>
      </c>
    </row>
    <row r="1678" spans="1:16">
      <c r="A1678" s="4">
        <v>2016</v>
      </c>
      <c r="B1678" s="4">
        <v>119508</v>
      </c>
      <c r="C1678" t="s">
        <v>876</v>
      </c>
      <c r="D1678" t="s">
        <v>2617</v>
      </c>
      <c r="E1678" t="s">
        <v>18</v>
      </c>
      <c r="F1678" t="s">
        <v>4484</v>
      </c>
      <c r="G1678" t="s">
        <v>4485</v>
      </c>
      <c r="H1678" t="s">
        <v>33</v>
      </c>
      <c r="I1678" t="s">
        <v>97</v>
      </c>
      <c r="J1678" t="s">
        <v>868</v>
      </c>
      <c r="K1678" t="s">
        <v>65</v>
      </c>
      <c r="L1678" t="s">
        <v>66</v>
      </c>
      <c r="M1678" t="s">
        <v>4486</v>
      </c>
      <c r="N1678" t="s">
        <v>27</v>
      </c>
      <c r="O1678" t="s">
        <v>28</v>
      </c>
      <c r="P1678">
        <v>16.899999999999999</v>
      </c>
    </row>
    <row r="1679" spans="1:16">
      <c r="A1679" s="4">
        <v>2015</v>
      </c>
      <c r="B1679" s="4">
        <v>163419</v>
      </c>
      <c r="C1679" t="s">
        <v>2632</v>
      </c>
      <c r="D1679" t="s">
        <v>1047</v>
      </c>
      <c r="E1679" t="s">
        <v>144</v>
      </c>
      <c r="F1679" t="s">
        <v>4484</v>
      </c>
      <c r="G1679" t="s">
        <v>4485</v>
      </c>
      <c r="H1679" t="s">
        <v>33</v>
      </c>
      <c r="I1679" t="s">
        <v>97</v>
      </c>
      <c r="J1679" t="s">
        <v>617</v>
      </c>
      <c r="K1679" t="s">
        <v>222</v>
      </c>
      <c r="L1679" t="s">
        <v>66</v>
      </c>
      <c r="M1679" t="s">
        <v>4487</v>
      </c>
      <c r="N1679" t="s">
        <v>27</v>
      </c>
      <c r="O1679" t="s">
        <v>28</v>
      </c>
      <c r="P1679">
        <v>3.3919999999999999</v>
      </c>
    </row>
    <row r="1680" spans="1:16">
      <c r="A1680" s="4">
        <v>2018</v>
      </c>
      <c r="B1680" s="4">
        <v>154214</v>
      </c>
      <c r="C1680" t="s">
        <v>2413</v>
      </c>
      <c r="D1680" t="s">
        <v>849</v>
      </c>
      <c r="E1680" t="s">
        <v>144</v>
      </c>
      <c r="F1680" t="s">
        <v>4488</v>
      </c>
      <c r="G1680" t="s">
        <v>4489</v>
      </c>
      <c r="H1680" t="s">
        <v>21</v>
      </c>
      <c r="I1680" t="s">
        <v>97</v>
      </c>
      <c r="J1680" t="s">
        <v>473</v>
      </c>
      <c r="K1680" t="s">
        <v>122</v>
      </c>
      <c r="L1680" t="s">
        <v>36</v>
      </c>
      <c r="M1680" t="s">
        <v>4490</v>
      </c>
      <c r="N1680" t="s">
        <v>79</v>
      </c>
      <c r="O1680" t="s">
        <v>80</v>
      </c>
      <c r="P1680">
        <v>2.91</v>
      </c>
    </row>
    <row r="1681" spans="1:16">
      <c r="A1681" s="4">
        <v>2017</v>
      </c>
      <c r="B1681" s="4">
        <v>131093</v>
      </c>
      <c r="C1681" t="s">
        <v>561</v>
      </c>
      <c r="D1681" t="s">
        <v>3930</v>
      </c>
      <c r="E1681" t="s">
        <v>144</v>
      </c>
      <c r="F1681" t="s">
        <v>4491</v>
      </c>
      <c r="G1681" t="s">
        <v>4492</v>
      </c>
      <c r="H1681" t="s">
        <v>33</v>
      </c>
      <c r="I1681" t="s">
        <v>97</v>
      </c>
      <c r="J1681" t="s">
        <v>98</v>
      </c>
      <c r="K1681" t="s">
        <v>237</v>
      </c>
      <c r="L1681" t="s">
        <v>25</v>
      </c>
      <c r="M1681" t="s">
        <v>2282</v>
      </c>
      <c r="N1681" t="s">
        <v>27</v>
      </c>
      <c r="O1681" t="s">
        <v>58</v>
      </c>
      <c r="P1681">
        <v>295.39999999999998</v>
      </c>
    </row>
    <row r="1682" spans="1:16">
      <c r="A1682" s="4">
        <v>2018</v>
      </c>
      <c r="B1682" s="4">
        <v>163160</v>
      </c>
      <c r="C1682" t="s">
        <v>398</v>
      </c>
      <c r="D1682" t="s">
        <v>543</v>
      </c>
      <c r="E1682" t="s">
        <v>42</v>
      </c>
      <c r="F1682" t="s">
        <v>4491</v>
      </c>
      <c r="G1682" t="s">
        <v>4492</v>
      </c>
      <c r="H1682" t="s">
        <v>33</v>
      </c>
      <c r="I1682" t="s">
        <v>97</v>
      </c>
      <c r="J1682" t="s">
        <v>2917</v>
      </c>
      <c r="K1682" t="s">
        <v>109</v>
      </c>
      <c r="L1682" t="s">
        <v>36</v>
      </c>
      <c r="M1682" t="s">
        <v>4493</v>
      </c>
      <c r="N1682" t="s">
        <v>27</v>
      </c>
      <c r="O1682" t="s">
        <v>52</v>
      </c>
      <c r="P1682">
        <v>63.311999999999998</v>
      </c>
    </row>
    <row r="1683" spans="1:16">
      <c r="A1683" s="4">
        <v>2018</v>
      </c>
      <c r="B1683" s="4">
        <v>107272</v>
      </c>
      <c r="C1683" t="s">
        <v>198</v>
      </c>
      <c r="D1683" t="s">
        <v>976</v>
      </c>
      <c r="E1683" t="s">
        <v>18</v>
      </c>
      <c r="F1683" t="s">
        <v>4491</v>
      </c>
      <c r="G1683" t="s">
        <v>4492</v>
      </c>
      <c r="H1683" t="s">
        <v>33</v>
      </c>
      <c r="I1683" t="s">
        <v>97</v>
      </c>
      <c r="J1683" t="s">
        <v>1713</v>
      </c>
      <c r="K1683" t="s">
        <v>136</v>
      </c>
      <c r="L1683" t="s">
        <v>66</v>
      </c>
      <c r="M1683" t="s">
        <v>1574</v>
      </c>
      <c r="N1683" t="s">
        <v>27</v>
      </c>
      <c r="O1683" t="s">
        <v>101</v>
      </c>
      <c r="P1683">
        <v>2.3879999999999999</v>
      </c>
    </row>
    <row r="1684" spans="1:16">
      <c r="A1684" s="4">
        <v>2016</v>
      </c>
      <c r="B1684" s="4">
        <v>156377</v>
      </c>
      <c r="C1684" t="s">
        <v>623</v>
      </c>
      <c r="D1684" t="s">
        <v>566</v>
      </c>
      <c r="E1684" t="s">
        <v>18</v>
      </c>
      <c r="F1684" t="s">
        <v>4494</v>
      </c>
      <c r="G1684" t="s">
        <v>4495</v>
      </c>
      <c r="H1684" t="s">
        <v>21</v>
      </c>
      <c r="I1684" t="s">
        <v>97</v>
      </c>
      <c r="J1684" t="s">
        <v>308</v>
      </c>
      <c r="K1684" t="s">
        <v>35</v>
      </c>
      <c r="L1684" t="s">
        <v>36</v>
      </c>
      <c r="M1684" t="s">
        <v>4496</v>
      </c>
      <c r="N1684" t="s">
        <v>79</v>
      </c>
      <c r="O1684" t="s">
        <v>80</v>
      </c>
      <c r="P1684">
        <v>14.76</v>
      </c>
    </row>
    <row r="1685" spans="1:16">
      <c r="A1685" s="4">
        <v>2016</v>
      </c>
      <c r="B1685" s="4">
        <v>141012</v>
      </c>
      <c r="C1685" t="s">
        <v>748</v>
      </c>
      <c r="D1685" t="s">
        <v>4497</v>
      </c>
      <c r="E1685" t="s">
        <v>144</v>
      </c>
      <c r="F1685" t="s">
        <v>4498</v>
      </c>
      <c r="G1685" t="s">
        <v>4499</v>
      </c>
      <c r="H1685" t="s">
        <v>21</v>
      </c>
      <c r="I1685" t="s">
        <v>97</v>
      </c>
      <c r="J1685" t="s">
        <v>4500</v>
      </c>
      <c r="K1685" t="s">
        <v>3615</v>
      </c>
      <c r="L1685" t="s">
        <v>66</v>
      </c>
      <c r="M1685" t="s">
        <v>4501</v>
      </c>
      <c r="N1685" t="s">
        <v>79</v>
      </c>
      <c r="O1685" t="s">
        <v>80</v>
      </c>
      <c r="P1685">
        <v>355.36</v>
      </c>
    </row>
    <row r="1686" spans="1:16">
      <c r="A1686" s="4">
        <v>2016</v>
      </c>
      <c r="B1686" s="4">
        <v>137064</v>
      </c>
      <c r="C1686" t="s">
        <v>1218</v>
      </c>
      <c r="D1686" t="s">
        <v>2477</v>
      </c>
      <c r="E1686" t="s">
        <v>18</v>
      </c>
      <c r="F1686" t="s">
        <v>4502</v>
      </c>
      <c r="G1686" t="s">
        <v>4503</v>
      </c>
      <c r="H1686" t="s">
        <v>21</v>
      </c>
      <c r="I1686" t="s">
        <v>97</v>
      </c>
      <c r="J1686" t="s">
        <v>183</v>
      </c>
      <c r="K1686" t="s">
        <v>35</v>
      </c>
      <c r="L1686" t="s">
        <v>36</v>
      </c>
      <c r="M1686" t="s">
        <v>3493</v>
      </c>
      <c r="N1686" t="s">
        <v>27</v>
      </c>
      <c r="O1686" t="s">
        <v>101</v>
      </c>
      <c r="P1686">
        <v>2.9340000000000002</v>
      </c>
    </row>
    <row r="1687" spans="1:16">
      <c r="A1687" s="4">
        <v>2015</v>
      </c>
      <c r="B1687" s="4">
        <v>126361</v>
      </c>
      <c r="C1687" t="s">
        <v>4504</v>
      </c>
      <c r="D1687" t="s">
        <v>409</v>
      </c>
      <c r="E1687" t="s">
        <v>144</v>
      </c>
      <c r="F1687" t="s">
        <v>4505</v>
      </c>
      <c r="G1687" t="s">
        <v>4506</v>
      </c>
      <c r="H1687" t="s">
        <v>33</v>
      </c>
      <c r="I1687" t="s">
        <v>97</v>
      </c>
      <c r="J1687" t="s">
        <v>4507</v>
      </c>
      <c r="K1687" t="s">
        <v>217</v>
      </c>
      <c r="L1687" t="s">
        <v>66</v>
      </c>
      <c r="M1687" t="s">
        <v>2161</v>
      </c>
      <c r="N1687" t="s">
        <v>27</v>
      </c>
      <c r="O1687" t="s">
        <v>228</v>
      </c>
      <c r="P1687">
        <v>1089.75</v>
      </c>
    </row>
    <row r="1688" spans="1:16">
      <c r="A1688" s="4">
        <v>2016</v>
      </c>
      <c r="B1688" s="4">
        <v>145436</v>
      </c>
      <c r="C1688" t="s">
        <v>4508</v>
      </c>
      <c r="D1688" t="s">
        <v>4509</v>
      </c>
      <c r="E1688" t="s">
        <v>18</v>
      </c>
      <c r="F1688" t="s">
        <v>4505</v>
      </c>
      <c r="G1688" t="s">
        <v>4506</v>
      </c>
      <c r="H1688" t="s">
        <v>33</v>
      </c>
      <c r="I1688" t="s">
        <v>97</v>
      </c>
      <c r="J1688" t="s">
        <v>977</v>
      </c>
      <c r="K1688" t="s">
        <v>206</v>
      </c>
      <c r="L1688" t="s">
        <v>45</v>
      </c>
      <c r="M1688" t="s">
        <v>4510</v>
      </c>
      <c r="N1688" t="s">
        <v>79</v>
      </c>
      <c r="O1688" t="s">
        <v>138</v>
      </c>
      <c r="P1688">
        <v>161.56800000000001</v>
      </c>
    </row>
    <row r="1689" spans="1:16">
      <c r="A1689" s="4">
        <v>2018</v>
      </c>
      <c r="B1689" s="4">
        <v>107720</v>
      </c>
      <c r="C1689" t="s">
        <v>579</v>
      </c>
      <c r="D1689" t="s">
        <v>1331</v>
      </c>
      <c r="E1689" t="s">
        <v>18</v>
      </c>
      <c r="F1689" t="s">
        <v>4511</v>
      </c>
      <c r="G1689" t="s">
        <v>4512</v>
      </c>
      <c r="H1689" t="s">
        <v>33</v>
      </c>
      <c r="I1689" t="s">
        <v>63</v>
      </c>
      <c r="J1689" t="s">
        <v>4513</v>
      </c>
      <c r="K1689" t="s">
        <v>869</v>
      </c>
      <c r="L1689" t="s">
        <v>25</v>
      </c>
      <c r="M1689" t="s">
        <v>4514</v>
      </c>
      <c r="N1689" t="s">
        <v>27</v>
      </c>
      <c r="O1689" t="s">
        <v>58</v>
      </c>
      <c r="P1689">
        <v>46.26</v>
      </c>
    </row>
    <row r="1690" spans="1:16">
      <c r="A1690" s="4">
        <v>2018</v>
      </c>
      <c r="B1690" s="4">
        <v>101539</v>
      </c>
      <c r="C1690" t="s">
        <v>4515</v>
      </c>
      <c r="D1690" t="s">
        <v>779</v>
      </c>
      <c r="E1690" t="s">
        <v>144</v>
      </c>
      <c r="F1690" t="s">
        <v>4511</v>
      </c>
      <c r="G1690" t="s">
        <v>4512</v>
      </c>
      <c r="H1690" t="s">
        <v>33</v>
      </c>
      <c r="I1690" t="s">
        <v>63</v>
      </c>
      <c r="J1690" t="s">
        <v>271</v>
      </c>
      <c r="K1690" t="s">
        <v>165</v>
      </c>
      <c r="L1690" t="s">
        <v>66</v>
      </c>
      <c r="M1690" t="s">
        <v>2057</v>
      </c>
      <c r="N1690" t="s">
        <v>27</v>
      </c>
      <c r="O1690" t="s">
        <v>52</v>
      </c>
      <c r="P1690">
        <v>6.48</v>
      </c>
    </row>
    <row r="1691" spans="1:16">
      <c r="A1691" s="4">
        <v>2017</v>
      </c>
      <c r="B1691" s="4">
        <v>113516</v>
      </c>
      <c r="C1691" t="s">
        <v>485</v>
      </c>
      <c r="D1691" t="s">
        <v>486</v>
      </c>
      <c r="E1691" t="s">
        <v>144</v>
      </c>
      <c r="F1691" t="s">
        <v>4511</v>
      </c>
      <c r="G1691" t="s">
        <v>4512</v>
      </c>
      <c r="H1691" t="s">
        <v>33</v>
      </c>
      <c r="I1691" t="s">
        <v>63</v>
      </c>
      <c r="J1691" t="s">
        <v>884</v>
      </c>
      <c r="K1691" t="s">
        <v>65</v>
      </c>
      <c r="L1691" t="s">
        <v>66</v>
      </c>
      <c r="M1691" t="s">
        <v>4516</v>
      </c>
      <c r="N1691" t="s">
        <v>27</v>
      </c>
      <c r="O1691" t="s">
        <v>101</v>
      </c>
      <c r="P1691">
        <v>33.024000000000001</v>
      </c>
    </row>
    <row r="1692" spans="1:16">
      <c r="A1692" s="4">
        <v>2018</v>
      </c>
      <c r="B1692" s="4">
        <v>138464</v>
      </c>
      <c r="C1692" t="s">
        <v>2568</v>
      </c>
      <c r="D1692" t="s">
        <v>3635</v>
      </c>
      <c r="E1692" t="s">
        <v>18</v>
      </c>
      <c r="F1692" t="s">
        <v>4517</v>
      </c>
      <c r="G1692" t="s">
        <v>4518</v>
      </c>
      <c r="H1692" t="s">
        <v>21</v>
      </c>
      <c r="I1692" t="s">
        <v>63</v>
      </c>
      <c r="J1692" t="s">
        <v>271</v>
      </c>
      <c r="K1692" t="s">
        <v>165</v>
      </c>
      <c r="L1692" t="s">
        <v>66</v>
      </c>
      <c r="M1692" t="s">
        <v>4519</v>
      </c>
      <c r="N1692" t="s">
        <v>79</v>
      </c>
      <c r="O1692" t="s">
        <v>80</v>
      </c>
      <c r="P1692">
        <v>15.84</v>
      </c>
    </row>
    <row r="1693" spans="1:16">
      <c r="A1693" s="4">
        <v>2018</v>
      </c>
      <c r="B1693" s="4">
        <v>102946</v>
      </c>
      <c r="C1693" t="s">
        <v>1809</v>
      </c>
      <c r="D1693" t="s">
        <v>4520</v>
      </c>
      <c r="E1693" t="s">
        <v>18</v>
      </c>
      <c r="F1693" t="s">
        <v>4521</v>
      </c>
      <c r="G1693" t="s">
        <v>4522</v>
      </c>
      <c r="H1693" t="s">
        <v>33</v>
      </c>
      <c r="I1693" t="s">
        <v>63</v>
      </c>
      <c r="J1693" t="s">
        <v>2763</v>
      </c>
      <c r="K1693" t="s">
        <v>91</v>
      </c>
      <c r="L1693" t="s">
        <v>66</v>
      </c>
      <c r="M1693" t="s">
        <v>4523</v>
      </c>
      <c r="N1693" t="s">
        <v>27</v>
      </c>
      <c r="O1693" t="s">
        <v>101</v>
      </c>
      <c r="P1693">
        <v>75.792000000000002</v>
      </c>
    </row>
    <row r="1694" spans="1:16">
      <c r="A1694" s="4">
        <v>2016</v>
      </c>
      <c r="B1694" s="4">
        <v>130610</v>
      </c>
      <c r="C1694" t="s">
        <v>670</v>
      </c>
      <c r="D1694" t="s">
        <v>671</v>
      </c>
      <c r="E1694" t="s">
        <v>18</v>
      </c>
      <c r="F1694" t="s">
        <v>4521</v>
      </c>
      <c r="G1694" t="s">
        <v>4522</v>
      </c>
      <c r="H1694" t="s">
        <v>33</v>
      </c>
      <c r="I1694" t="s">
        <v>63</v>
      </c>
      <c r="J1694" t="s">
        <v>4524</v>
      </c>
      <c r="K1694" t="s">
        <v>855</v>
      </c>
      <c r="L1694" t="s">
        <v>36</v>
      </c>
      <c r="M1694" t="s">
        <v>2350</v>
      </c>
      <c r="N1694" t="s">
        <v>27</v>
      </c>
      <c r="O1694" t="s">
        <v>101</v>
      </c>
      <c r="P1694">
        <v>19</v>
      </c>
    </row>
    <row r="1695" spans="1:16">
      <c r="A1695" s="4">
        <v>2018</v>
      </c>
      <c r="B1695" s="4">
        <v>105333</v>
      </c>
      <c r="C1695" t="s">
        <v>82</v>
      </c>
      <c r="D1695" t="s">
        <v>1624</v>
      </c>
      <c r="E1695" t="s">
        <v>18</v>
      </c>
      <c r="F1695" t="s">
        <v>4521</v>
      </c>
      <c r="G1695" t="s">
        <v>4522</v>
      </c>
      <c r="H1695" t="s">
        <v>33</v>
      </c>
      <c r="I1695" t="s">
        <v>63</v>
      </c>
      <c r="J1695" t="s">
        <v>49</v>
      </c>
      <c r="K1695" t="s">
        <v>50</v>
      </c>
      <c r="L1695" t="s">
        <v>25</v>
      </c>
      <c r="M1695" t="s">
        <v>4525</v>
      </c>
      <c r="N1695" t="s">
        <v>27</v>
      </c>
      <c r="O1695" t="s">
        <v>58</v>
      </c>
      <c r="P1695">
        <v>83.56</v>
      </c>
    </row>
    <row r="1696" spans="1:16">
      <c r="A1696" s="4">
        <v>2017</v>
      </c>
      <c r="B1696" s="4">
        <v>120369</v>
      </c>
      <c r="C1696" t="s">
        <v>273</v>
      </c>
      <c r="D1696" t="s">
        <v>273</v>
      </c>
      <c r="E1696" t="s">
        <v>132</v>
      </c>
      <c r="F1696" t="s">
        <v>4526</v>
      </c>
      <c r="G1696" t="s">
        <v>4527</v>
      </c>
      <c r="H1696" t="s">
        <v>33</v>
      </c>
      <c r="I1696" t="s">
        <v>22</v>
      </c>
      <c r="J1696" t="s">
        <v>663</v>
      </c>
      <c r="K1696" t="s">
        <v>50</v>
      </c>
      <c r="L1696" t="s">
        <v>25</v>
      </c>
      <c r="M1696" t="s">
        <v>4528</v>
      </c>
      <c r="N1696" t="s">
        <v>79</v>
      </c>
      <c r="O1696" t="s">
        <v>80</v>
      </c>
      <c r="P1696">
        <v>756.8</v>
      </c>
    </row>
    <row r="1697" spans="1:16">
      <c r="A1697" s="4">
        <v>2018</v>
      </c>
      <c r="B1697" s="4">
        <v>155698</v>
      </c>
      <c r="C1697" t="s">
        <v>1934</v>
      </c>
      <c r="D1697" t="s">
        <v>3993</v>
      </c>
      <c r="E1697" t="s">
        <v>42</v>
      </c>
      <c r="F1697" t="s">
        <v>4526</v>
      </c>
      <c r="G1697" t="s">
        <v>4527</v>
      </c>
      <c r="H1697" t="s">
        <v>33</v>
      </c>
      <c r="I1697" t="s">
        <v>22</v>
      </c>
      <c r="J1697" t="s">
        <v>473</v>
      </c>
      <c r="K1697" t="s">
        <v>86</v>
      </c>
      <c r="L1697" t="s">
        <v>45</v>
      </c>
      <c r="M1697" t="s">
        <v>4529</v>
      </c>
      <c r="N1697" t="s">
        <v>27</v>
      </c>
      <c r="O1697" t="s">
        <v>228</v>
      </c>
      <c r="P1697">
        <v>647.84</v>
      </c>
    </row>
    <row r="1698" spans="1:16">
      <c r="A1698" s="4">
        <v>2018</v>
      </c>
      <c r="B1698" s="4">
        <v>154816</v>
      </c>
      <c r="C1698" t="s">
        <v>579</v>
      </c>
      <c r="D1698" t="s">
        <v>1346</v>
      </c>
      <c r="E1698" t="s">
        <v>18</v>
      </c>
      <c r="F1698" t="s">
        <v>4526</v>
      </c>
      <c r="G1698" t="s">
        <v>4527</v>
      </c>
      <c r="H1698" t="s">
        <v>33</v>
      </c>
      <c r="I1698" t="s">
        <v>22</v>
      </c>
      <c r="J1698" t="s">
        <v>1011</v>
      </c>
      <c r="K1698" t="s">
        <v>126</v>
      </c>
      <c r="L1698" t="s">
        <v>45</v>
      </c>
      <c r="M1698" t="s">
        <v>4356</v>
      </c>
      <c r="N1698" t="s">
        <v>27</v>
      </c>
      <c r="O1698" t="s">
        <v>52</v>
      </c>
      <c r="P1698">
        <v>5.78</v>
      </c>
    </row>
    <row r="1699" spans="1:16">
      <c r="A1699" s="4">
        <v>2017</v>
      </c>
      <c r="B1699" s="4">
        <v>162313</v>
      </c>
      <c r="C1699" t="s">
        <v>1452</v>
      </c>
      <c r="D1699" t="s">
        <v>4081</v>
      </c>
      <c r="E1699" t="s">
        <v>42</v>
      </c>
      <c r="F1699" t="s">
        <v>4526</v>
      </c>
      <c r="G1699" t="s">
        <v>4527</v>
      </c>
      <c r="H1699" t="s">
        <v>33</v>
      </c>
      <c r="I1699" t="s">
        <v>22</v>
      </c>
      <c r="J1699" t="s">
        <v>4530</v>
      </c>
      <c r="K1699" t="s">
        <v>855</v>
      </c>
      <c r="L1699" t="s">
        <v>36</v>
      </c>
      <c r="M1699" t="s">
        <v>4531</v>
      </c>
      <c r="N1699" t="s">
        <v>27</v>
      </c>
      <c r="O1699" t="s">
        <v>228</v>
      </c>
      <c r="P1699">
        <v>167.292</v>
      </c>
    </row>
    <row r="1700" spans="1:16">
      <c r="A1700" s="4">
        <v>2016</v>
      </c>
      <c r="B1700" s="4">
        <v>111395</v>
      </c>
      <c r="C1700" t="s">
        <v>999</v>
      </c>
      <c r="D1700" t="s">
        <v>1096</v>
      </c>
      <c r="E1700" t="s">
        <v>18</v>
      </c>
      <c r="F1700" t="s">
        <v>4526</v>
      </c>
      <c r="G1700" t="s">
        <v>4527</v>
      </c>
      <c r="H1700" t="s">
        <v>33</v>
      </c>
      <c r="I1700" t="s">
        <v>22</v>
      </c>
      <c r="J1700" t="s">
        <v>738</v>
      </c>
      <c r="K1700" t="s">
        <v>35</v>
      </c>
      <c r="L1700" t="s">
        <v>36</v>
      </c>
      <c r="M1700" t="s">
        <v>4532</v>
      </c>
      <c r="N1700" t="s">
        <v>27</v>
      </c>
      <c r="O1700" t="s">
        <v>52</v>
      </c>
      <c r="P1700">
        <v>335.52</v>
      </c>
    </row>
    <row r="1701" spans="1:16">
      <c r="A1701" s="4">
        <v>2016</v>
      </c>
      <c r="B1701" s="4">
        <v>146262</v>
      </c>
      <c r="C1701" t="s">
        <v>570</v>
      </c>
      <c r="D1701" t="s">
        <v>4533</v>
      </c>
      <c r="E1701" t="s">
        <v>18</v>
      </c>
      <c r="F1701" t="s">
        <v>4534</v>
      </c>
      <c r="G1701" t="s">
        <v>4535</v>
      </c>
      <c r="H1701" t="s">
        <v>33</v>
      </c>
      <c r="I1701" t="s">
        <v>22</v>
      </c>
      <c r="J1701" t="s">
        <v>4536</v>
      </c>
      <c r="K1701" t="s">
        <v>237</v>
      </c>
      <c r="L1701" t="s">
        <v>25</v>
      </c>
      <c r="M1701" t="s">
        <v>4537</v>
      </c>
      <c r="N1701" t="s">
        <v>27</v>
      </c>
      <c r="O1701" t="s">
        <v>111</v>
      </c>
      <c r="P1701">
        <v>23.68</v>
      </c>
    </row>
    <row r="1702" spans="1:16">
      <c r="A1702" s="4">
        <v>2016</v>
      </c>
      <c r="B1702" s="4">
        <v>111507</v>
      </c>
      <c r="C1702" t="s">
        <v>1218</v>
      </c>
      <c r="D1702" t="s">
        <v>2477</v>
      </c>
      <c r="E1702" t="s">
        <v>18</v>
      </c>
      <c r="F1702" t="s">
        <v>4534</v>
      </c>
      <c r="G1702" t="s">
        <v>4535</v>
      </c>
      <c r="H1702" t="s">
        <v>33</v>
      </c>
      <c r="I1702" t="s">
        <v>22</v>
      </c>
      <c r="J1702" t="s">
        <v>164</v>
      </c>
      <c r="K1702" t="s">
        <v>165</v>
      </c>
      <c r="L1702" t="s">
        <v>66</v>
      </c>
      <c r="M1702" t="s">
        <v>4538</v>
      </c>
      <c r="N1702" t="s">
        <v>27</v>
      </c>
      <c r="O1702" t="s">
        <v>28</v>
      </c>
      <c r="P1702">
        <v>5.28</v>
      </c>
    </row>
    <row r="1703" spans="1:16">
      <c r="A1703" s="4">
        <v>2015</v>
      </c>
      <c r="B1703" s="4">
        <v>158540</v>
      </c>
      <c r="C1703" t="s">
        <v>2046</v>
      </c>
      <c r="D1703" t="s">
        <v>2047</v>
      </c>
      <c r="E1703" t="s">
        <v>42</v>
      </c>
      <c r="F1703" t="s">
        <v>4539</v>
      </c>
      <c r="G1703" t="s">
        <v>4540</v>
      </c>
      <c r="H1703" t="s">
        <v>33</v>
      </c>
      <c r="I1703" t="s">
        <v>97</v>
      </c>
      <c r="J1703" t="s">
        <v>630</v>
      </c>
      <c r="K1703" t="s">
        <v>65</v>
      </c>
      <c r="L1703" t="s">
        <v>66</v>
      </c>
      <c r="M1703" t="s">
        <v>4541</v>
      </c>
      <c r="N1703" t="s">
        <v>79</v>
      </c>
      <c r="O1703" t="s">
        <v>80</v>
      </c>
      <c r="P1703">
        <v>151.72</v>
      </c>
    </row>
    <row r="1704" spans="1:16">
      <c r="A1704" s="4">
        <v>2018</v>
      </c>
      <c r="B1704" s="4">
        <v>150189</v>
      </c>
      <c r="C1704" t="s">
        <v>2568</v>
      </c>
      <c r="D1704" t="s">
        <v>750</v>
      </c>
      <c r="E1704" t="s">
        <v>42</v>
      </c>
      <c r="F1704" t="s">
        <v>4539</v>
      </c>
      <c r="G1704" t="s">
        <v>4540</v>
      </c>
      <c r="H1704" t="s">
        <v>33</v>
      </c>
      <c r="I1704" t="s">
        <v>97</v>
      </c>
      <c r="J1704" t="s">
        <v>4542</v>
      </c>
      <c r="K1704" t="s">
        <v>65</v>
      </c>
      <c r="L1704" t="s">
        <v>66</v>
      </c>
      <c r="M1704" t="s">
        <v>4543</v>
      </c>
      <c r="N1704" t="s">
        <v>27</v>
      </c>
      <c r="O1704" t="s">
        <v>111</v>
      </c>
      <c r="P1704">
        <v>75.180000000000007</v>
      </c>
    </row>
    <row r="1705" spans="1:16">
      <c r="A1705" s="4">
        <v>2017</v>
      </c>
      <c r="B1705" s="4">
        <v>113803</v>
      </c>
      <c r="C1705" t="s">
        <v>4544</v>
      </c>
      <c r="D1705" t="s">
        <v>1699</v>
      </c>
      <c r="E1705" t="s">
        <v>42</v>
      </c>
      <c r="F1705" t="s">
        <v>4545</v>
      </c>
      <c r="G1705" t="s">
        <v>4546</v>
      </c>
      <c r="H1705" t="s">
        <v>33</v>
      </c>
      <c r="I1705" t="s">
        <v>22</v>
      </c>
      <c r="J1705" t="s">
        <v>1011</v>
      </c>
      <c r="K1705" t="s">
        <v>122</v>
      </c>
      <c r="L1705" t="s">
        <v>36</v>
      </c>
      <c r="M1705" t="s">
        <v>4547</v>
      </c>
      <c r="N1705" t="s">
        <v>27</v>
      </c>
      <c r="O1705" t="s">
        <v>52</v>
      </c>
      <c r="P1705">
        <v>22.48</v>
      </c>
    </row>
    <row r="1706" spans="1:16">
      <c r="A1706" s="4">
        <v>2017</v>
      </c>
      <c r="B1706" s="4">
        <v>132094</v>
      </c>
      <c r="C1706" t="s">
        <v>3118</v>
      </c>
      <c r="D1706" t="s">
        <v>1200</v>
      </c>
      <c r="E1706" t="s">
        <v>18</v>
      </c>
      <c r="F1706" t="s">
        <v>4545</v>
      </c>
      <c r="G1706" t="s">
        <v>4546</v>
      </c>
      <c r="H1706" t="s">
        <v>33</v>
      </c>
      <c r="I1706" t="s">
        <v>22</v>
      </c>
      <c r="J1706" t="s">
        <v>23</v>
      </c>
      <c r="K1706" t="s">
        <v>24</v>
      </c>
      <c r="L1706" t="s">
        <v>25</v>
      </c>
      <c r="M1706" t="s">
        <v>2464</v>
      </c>
      <c r="N1706" t="s">
        <v>27</v>
      </c>
      <c r="O1706" t="s">
        <v>28</v>
      </c>
      <c r="P1706">
        <v>5.4720000000000004</v>
      </c>
    </row>
    <row r="1707" spans="1:16">
      <c r="A1707" s="4">
        <v>2017</v>
      </c>
      <c r="B1707" s="4">
        <v>123610</v>
      </c>
      <c r="C1707" t="s">
        <v>4358</v>
      </c>
      <c r="D1707" t="s">
        <v>1802</v>
      </c>
      <c r="E1707" t="s">
        <v>18</v>
      </c>
      <c r="F1707" t="s">
        <v>4548</v>
      </c>
      <c r="G1707" t="s">
        <v>4549</v>
      </c>
      <c r="H1707" t="s">
        <v>21</v>
      </c>
      <c r="I1707" t="s">
        <v>97</v>
      </c>
      <c r="J1707" t="s">
        <v>2749</v>
      </c>
      <c r="K1707" t="s">
        <v>65</v>
      </c>
      <c r="L1707" t="s">
        <v>66</v>
      </c>
      <c r="M1707" t="s">
        <v>4550</v>
      </c>
      <c r="N1707" t="s">
        <v>38</v>
      </c>
      <c r="O1707" t="s">
        <v>68</v>
      </c>
      <c r="P1707">
        <v>120</v>
      </c>
    </row>
    <row r="1708" spans="1:16">
      <c r="A1708" s="4">
        <v>2018</v>
      </c>
      <c r="B1708" s="4">
        <v>120327</v>
      </c>
      <c r="C1708" t="s">
        <v>2021</v>
      </c>
      <c r="D1708" t="s">
        <v>1235</v>
      </c>
      <c r="E1708" t="s">
        <v>18</v>
      </c>
      <c r="F1708" t="s">
        <v>4551</v>
      </c>
      <c r="G1708" t="s">
        <v>4552</v>
      </c>
      <c r="H1708" t="s">
        <v>21</v>
      </c>
      <c r="I1708" t="s">
        <v>97</v>
      </c>
      <c r="J1708" t="s">
        <v>1405</v>
      </c>
      <c r="K1708" t="s">
        <v>797</v>
      </c>
      <c r="L1708" t="s">
        <v>36</v>
      </c>
      <c r="M1708" t="s">
        <v>4553</v>
      </c>
      <c r="N1708" t="s">
        <v>27</v>
      </c>
      <c r="O1708" t="s">
        <v>452</v>
      </c>
      <c r="P1708">
        <v>45.92</v>
      </c>
    </row>
    <row r="1709" spans="1:16">
      <c r="A1709" s="4">
        <v>2017</v>
      </c>
      <c r="B1709" s="4">
        <v>109365</v>
      </c>
      <c r="C1709" t="s">
        <v>1404</v>
      </c>
      <c r="D1709" t="s">
        <v>268</v>
      </c>
      <c r="E1709" t="s">
        <v>18</v>
      </c>
      <c r="F1709" t="s">
        <v>4554</v>
      </c>
      <c r="G1709" t="s">
        <v>4555</v>
      </c>
      <c r="H1709" t="s">
        <v>33</v>
      </c>
      <c r="I1709" t="s">
        <v>97</v>
      </c>
      <c r="J1709" t="s">
        <v>64</v>
      </c>
      <c r="K1709" t="s">
        <v>65</v>
      </c>
      <c r="L1709" t="s">
        <v>66</v>
      </c>
      <c r="M1709" t="s">
        <v>4556</v>
      </c>
      <c r="N1709" t="s">
        <v>27</v>
      </c>
      <c r="O1709" t="s">
        <v>452</v>
      </c>
      <c r="P1709">
        <v>15.26</v>
      </c>
    </row>
    <row r="1710" spans="1:16">
      <c r="A1710" s="4">
        <v>2015</v>
      </c>
      <c r="B1710" s="4">
        <v>134677</v>
      </c>
      <c r="C1710" t="s">
        <v>310</v>
      </c>
      <c r="D1710" t="s">
        <v>1462</v>
      </c>
      <c r="E1710" t="s">
        <v>18</v>
      </c>
      <c r="F1710" t="s">
        <v>4554</v>
      </c>
      <c r="G1710" t="s">
        <v>4555</v>
      </c>
      <c r="H1710" t="s">
        <v>33</v>
      </c>
      <c r="I1710" t="s">
        <v>97</v>
      </c>
      <c r="J1710" t="s">
        <v>630</v>
      </c>
      <c r="K1710" t="s">
        <v>65</v>
      </c>
      <c r="L1710" t="s">
        <v>66</v>
      </c>
      <c r="M1710" t="s">
        <v>4557</v>
      </c>
      <c r="N1710" t="s">
        <v>38</v>
      </c>
      <c r="O1710" t="s">
        <v>68</v>
      </c>
      <c r="P1710">
        <v>9.09</v>
      </c>
    </row>
    <row r="1711" spans="1:16">
      <c r="A1711" s="4">
        <v>2018</v>
      </c>
      <c r="B1711" s="4">
        <v>124828</v>
      </c>
      <c r="C1711" t="s">
        <v>1254</v>
      </c>
      <c r="D1711" t="s">
        <v>2201</v>
      </c>
      <c r="E1711" t="s">
        <v>42</v>
      </c>
      <c r="F1711" t="s">
        <v>4558</v>
      </c>
      <c r="G1711" t="s">
        <v>4559</v>
      </c>
      <c r="H1711" t="s">
        <v>21</v>
      </c>
      <c r="I1711" t="s">
        <v>22</v>
      </c>
      <c r="J1711" t="s">
        <v>2285</v>
      </c>
      <c r="K1711" t="s">
        <v>44</v>
      </c>
      <c r="L1711" t="s">
        <v>45</v>
      </c>
      <c r="M1711" t="s">
        <v>4560</v>
      </c>
      <c r="N1711" t="s">
        <v>27</v>
      </c>
      <c r="O1711" t="s">
        <v>28</v>
      </c>
      <c r="P1711">
        <v>9.5519999999999996</v>
      </c>
    </row>
    <row r="1712" spans="1:16">
      <c r="A1712" s="4">
        <v>2016</v>
      </c>
      <c r="B1712" s="4">
        <v>153220</v>
      </c>
      <c r="C1712" t="s">
        <v>488</v>
      </c>
      <c r="D1712" t="s">
        <v>1715</v>
      </c>
      <c r="E1712" t="s">
        <v>42</v>
      </c>
      <c r="F1712" t="s">
        <v>4561</v>
      </c>
      <c r="G1712" t="s">
        <v>4562</v>
      </c>
      <c r="H1712" t="s">
        <v>33</v>
      </c>
      <c r="I1712" t="s">
        <v>22</v>
      </c>
      <c r="J1712" t="s">
        <v>64</v>
      </c>
      <c r="K1712" t="s">
        <v>65</v>
      </c>
      <c r="L1712" t="s">
        <v>66</v>
      </c>
      <c r="M1712" t="s">
        <v>4563</v>
      </c>
      <c r="N1712" t="s">
        <v>27</v>
      </c>
      <c r="O1712" t="s">
        <v>52</v>
      </c>
      <c r="P1712">
        <v>15.7</v>
      </c>
    </row>
    <row r="1713" spans="1:16">
      <c r="A1713" s="4">
        <v>2017</v>
      </c>
      <c r="B1713" s="4">
        <v>123932</v>
      </c>
      <c r="C1713" t="s">
        <v>1986</v>
      </c>
      <c r="D1713" t="s">
        <v>560</v>
      </c>
      <c r="E1713" t="s">
        <v>18</v>
      </c>
      <c r="F1713" t="s">
        <v>4561</v>
      </c>
      <c r="G1713" t="s">
        <v>4562</v>
      </c>
      <c r="H1713" t="s">
        <v>33</v>
      </c>
      <c r="I1713" t="s">
        <v>22</v>
      </c>
      <c r="J1713" t="s">
        <v>627</v>
      </c>
      <c r="K1713" t="s">
        <v>35</v>
      </c>
      <c r="L1713" t="s">
        <v>36</v>
      </c>
      <c r="M1713" t="s">
        <v>127</v>
      </c>
      <c r="N1713" t="s">
        <v>27</v>
      </c>
      <c r="O1713" t="s">
        <v>52</v>
      </c>
      <c r="P1713">
        <v>41.92</v>
      </c>
    </row>
    <row r="1714" spans="1:16">
      <c r="A1714" s="4">
        <v>2017</v>
      </c>
      <c r="B1714" s="4">
        <v>110499</v>
      </c>
      <c r="C1714" t="s">
        <v>1876</v>
      </c>
      <c r="D1714" t="s">
        <v>2863</v>
      </c>
      <c r="E1714" t="s">
        <v>42</v>
      </c>
      <c r="F1714" t="s">
        <v>4561</v>
      </c>
      <c r="G1714" t="s">
        <v>4562</v>
      </c>
      <c r="H1714" t="s">
        <v>33</v>
      </c>
      <c r="I1714" t="s">
        <v>22</v>
      </c>
      <c r="J1714" t="s">
        <v>226</v>
      </c>
      <c r="K1714" t="s">
        <v>65</v>
      </c>
      <c r="L1714" t="s">
        <v>66</v>
      </c>
      <c r="M1714" t="s">
        <v>4564</v>
      </c>
      <c r="N1714" t="s">
        <v>38</v>
      </c>
      <c r="O1714" t="s">
        <v>190</v>
      </c>
      <c r="P1714">
        <v>1199.9760000000001</v>
      </c>
    </row>
    <row r="1715" spans="1:16">
      <c r="A1715" s="4">
        <v>2017</v>
      </c>
      <c r="B1715" s="4">
        <v>130946</v>
      </c>
      <c r="C1715" t="s">
        <v>675</v>
      </c>
      <c r="D1715" t="s">
        <v>822</v>
      </c>
      <c r="E1715" t="s">
        <v>18</v>
      </c>
      <c r="F1715" t="s">
        <v>4565</v>
      </c>
      <c r="G1715" t="s">
        <v>4566</v>
      </c>
      <c r="H1715" t="s">
        <v>33</v>
      </c>
      <c r="I1715" t="s">
        <v>97</v>
      </c>
      <c r="J1715" t="s">
        <v>183</v>
      </c>
      <c r="K1715" t="s">
        <v>35</v>
      </c>
      <c r="L1715" t="s">
        <v>36</v>
      </c>
      <c r="M1715" t="s">
        <v>4043</v>
      </c>
      <c r="N1715" t="s">
        <v>38</v>
      </c>
      <c r="O1715" t="s">
        <v>68</v>
      </c>
      <c r="P1715">
        <v>431.928</v>
      </c>
    </row>
    <row r="1716" spans="1:16">
      <c r="A1716" s="4">
        <v>2018</v>
      </c>
      <c r="B1716" s="4">
        <v>115322</v>
      </c>
      <c r="C1716" t="s">
        <v>1860</v>
      </c>
      <c r="D1716" t="s">
        <v>4567</v>
      </c>
      <c r="E1716" t="s">
        <v>144</v>
      </c>
      <c r="F1716" t="s">
        <v>4565</v>
      </c>
      <c r="G1716" t="s">
        <v>4566</v>
      </c>
      <c r="H1716" t="s">
        <v>33</v>
      </c>
      <c r="I1716" t="s">
        <v>97</v>
      </c>
      <c r="J1716" t="s">
        <v>49</v>
      </c>
      <c r="K1716" t="s">
        <v>50</v>
      </c>
      <c r="L1716" t="s">
        <v>25</v>
      </c>
      <c r="M1716" t="s">
        <v>4568</v>
      </c>
      <c r="N1716" t="s">
        <v>27</v>
      </c>
      <c r="O1716" t="s">
        <v>28</v>
      </c>
      <c r="P1716">
        <v>43.92</v>
      </c>
    </row>
    <row r="1717" spans="1:16">
      <c r="A1717" s="4">
        <v>2017</v>
      </c>
      <c r="B1717" s="4">
        <v>156986</v>
      </c>
      <c r="C1717" t="s">
        <v>3783</v>
      </c>
      <c r="D1717" t="s">
        <v>4544</v>
      </c>
      <c r="E1717" t="s">
        <v>18</v>
      </c>
      <c r="F1717" t="s">
        <v>4565</v>
      </c>
      <c r="G1717" t="s">
        <v>4566</v>
      </c>
      <c r="H1717" t="s">
        <v>33</v>
      </c>
      <c r="I1717" t="s">
        <v>97</v>
      </c>
      <c r="J1717" t="s">
        <v>322</v>
      </c>
      <c r="K1717" t="s">
        <v>323</v>
      </c>
      <c r="L1717" t="s">
        <v>66</v>
      </c>
      <c r="M1717" t="s">
        <v>4569</v>
      </c>
      <c r="N1717" t="s">
        <v>38</v>
      </c>
      <c r="O1717" t="s">
        <v>118</v>
      </c>
      <c r="P1717">
        <v>84.784000000000006</v>
      </c>
    </row>
    <row r="1718" spans="1:16">
      <c r="A1718" s="4">
        <v>2018</v>
      </c>
      <c r="B1718" s="4">
        <v>102288</v>
      </c>
      <c r="C1718" t="s">
        <v>348</v>
      </c>
      <c r="D1718" t="s">
        <v>349</v>
      </c>
      <c r="E1718" t="s">
        <v>18</v>
      </c>
      <c r="F1718" t="s">
        <v>4565</v>
      </c>
      <c r="G1718" t="s">
        <v>4566</v>
      </c>
      <c r="H1718" t="s">
        <v>33</v>
      </c>
      <c r="I1718" t="s">
        <v>97</v>
      </c>
      <c r="J1718" t="s">
        <v>183</v>
      </c>
      <c r="K1718" t="s">
        <v>35</v>
      </c>
      <c r="L1718" t="s">
        <v>36</v>
      </c>
      <c r="M1718" t="s">
        <v>4570</v>
      </c>
      <c r="N1718" t="s">
        <v>27</v>
      </c>
      <c r="O1718" t="s">
        <v>228</v>
      </c>
      <c r="P1718">
        <v>2.2639999999999998</v>
      </c>
    </row>
    <row r="1719" spans="1:16">
      <c r="A1719" s="4">
        <v>2015</v>
      </c>
      <c r="B1719" s="4">
        <v>126802</v>
      </c>
      <c r="C1719" t="s">
        <v>569</v>
      </c>
      <c r="D1719" t="s">
        <v>1060</v>
      </c>
      <c r="E1719" t="s">
        <v>18</v>
      </c>
      <c r="F1719" t="s">
        <v>4565</v>
      </c>
      <c r="G1719" t="s">
        <v>4566</v>
      </c>
      <c r="H1719" t="s">
        <v>33</v>
      </c>
      <c r="I1719" t="s">
        <v>97</v>
      </c>
      <c r="J1719" t="s">
        <v>108</v>
      </c>
      <c r="K1719" t="s">
        <v>109</v>
      </c>
      <c r="L1719" t="s">
        <v>36</v>
      </c>
      <c r="M1719" t="s">
        <v>4417</v>
      </c>
      <c r="N1719" t="s">
        <v>79</v>
      </c>
      <c r="O1719" t="s">
        <v>80</v>
      </c>
      <c r="P1719">
        <v>38.975999999999999</v>
      </c>
    </row>
    <row r="1720" spans="1:16">
      <c r="A1720" s="4">
        <v>2015</v>
      </c>
      <c r="B1720" s="4">
        <v>151995</v>
      </c>
      <c r="C1720" t="s">
        <v>1917</v>
      </c>
      <c r="D1720" t="s">
        <v>463</v>
      </c>
      <c r="E1720" t="s">
        <v>42</v>
      </c>
      <c r="F1720" t="s">
        <v>4565</v>
      </c>
      <c r="G1720" t="s">
        <v>4566</v>
      </c>
      <c r="H1720" t="s">
        <v>33</v>
      </c>
      <c r="I1720" t="s">
        <v>97</v>
      </c>
      <c r="J1720" t="s">
        <v>1019</v>
      </c>
      <c r="K1720" t="s">
        <v>165</v>
      </c>
      <c r="L1720" t="s">
        <v>66</v>
      </c>
      <c r="M1720" t="s">
        <v>456</v>
      </c>
      <c r="N1720" t="s">
        <v>27</v>
      </c>
      <c r="O1720" t="s">
        <v>28</v>
      </c>
      <c r="P1720">
        <v>11.52</v>
      </c>
    </row>
    <row r="1721" spans="1:16">
      <c r="A1721" s="4">
        <v>2016</v>
      </c>
      <c r="B1721" s="4">
        <v>133452</v>
      </c>
      <c r="C1721" t="s">
        <v>4571</v>
      </c>
      <c r="D1721" t="s">
        <v>4572</v>
      </c>
      <c r="E1721" t="s">
        <v>18</v>
      </c>
      <c r="F1721" t="s">
        <v>4565</v>
      </c>
      <c r="G1721" t="s">
        <v>4566</v>
      </c>
      <c r="H1721" t="s">
        <v>33</v>
      </c>
      <c r="I1721" t="s">
        <v>97</v>
      </c>
      <c r="J1721" t="s">
        <v>3627</v>
      </c>
      <c r="K1721" t="s">
        <v>65</v>
      </c>
      <c r="L1721" t="s">
        <v>66</v>
      </c>
      <c r="M1721" t="s">
        <v>4573</v>
      </c>
      <c r="N1721" t="s">
        <v>38</v>
      </c>
      <c r="O1721" t="s">
        <v>68</v>
      </c>
      <c r="P1721">
        <v>199.96</v>
      </c>
    </row>
    <row r="1722" spans="1:16">
      <c r="A1722" s="4">
        <v>2015</v>
      </c>
      <c r="B1722" s="4">
        <v>143336</v>
      </c>
      <c r="C1722" t="s">
        <v>633</v>
      </c>
      <c r="D1722" t="s">
        <v>3057</v>
      </c>
      <c r="E1722" t="s">
        <v>144</v>
      </c>
      <c r="F1722" t="s">
        <v>4574</v>
      </c>
      <c r="G1722" t="s">
        <v>4575</v>
      </c>
      <c r="H1722" t="s">
        <v>33</v>
      </c>
      <c r="I1722" t="s">
        <v>97</v>
      </c>
      <c r="J1722" t="s">
        <v>226</v>
      </c>
      <c r="K1722" t="s">
        <v>65</v>
      </c>
      <c r="L1722" t="s">
        <v>66</v>
      </c>
      <c r="M1722" t="s">
        <v>4576</v>
      </c>
      <c r="N1722" t="s">
        <v>27</v>
      </c>
      <c r="O1722" t="s">
        <v>28</v>
      </c>
      <c r="P1722">
        <v>8.56</v>
      </c>
    </row>
    <row r="1723" spans="1:16">
      <c r="A1723" s="4">
        <v>2017</v>
      </c>
      <c r="B1723" s="4">
        <v>167682</v>
      </c>
      <c r="C1723" t="s">
        <v>3864</v>
      </c>
      <c r="D1723" t="s">
        <v>2863</v>
      </c>
      <c r="E1723" t="s">
        <v>18</v>
      </c>
      <c r="F1723" t="s">
        <v>4574</v>
      </c>
      <c r="G1723" t="s">
        <v>4575</v>
      </c>
      <c r="H1723" t="s">
        <v>33</v>
      </c>
      <c r="I1723" t="s">
        <v>97</v>
      </c>
      <c r="J1723" t="s">
        <v>1011</v>
      </c>
      <c r="K1723" t="s">
        <v>122</v>
      </c>
      <c r="L1723" t="s">
        <v>36</v>
      </c>
      <c r="M1723" t="s">
        <v>4577</v>
      </c>
      <c r="N1723" t="s">
        <v>79</v>
      </c>
      <c r="O1723" t="s">
        <v>80</v>
      </c>
      <c r="P1723">
        <v>71.12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A0EA-637E-464A-AD1A-3CCCE27D5430}">
  <dimension ref="A1:D11"/>
  <sheetViews>
    <sheetView workbookViewId="0">
      <selection activeCell="B17" sqref="B17"/>
    </sheetView>
  </sheetViews>
  <sheetFormatPr defaultRowHeight="14.45"/>
  <cols>
    <col min="1" max="1" width="37" customWidth="1"/>
    <col min="2" max="2" width="13.7109375" customWidth="1"/>
    <col min="3" max="3" width="8.85546875" customWidth="1"/>
    <col min="4" max="4" width="14.42578125" customWidth="1"/>
    <col min="7" max="7" width="12.85546875" customWidth="1"/>
  </cols>
  <sheetData>
    <row r="1" spans="1:4" ht="30" customHeight="1">
      <c r="A1" s="10" t="s">
        <v>4578</v>
      </c>
      <c r="B1" s="11"/>
      <c r="C1" s="11"/>
      <c r="D1" s="11"/>
    </row>
    <row r="3" spans="1:4" ht="18">
      <c r="A3" s="1" t="s">
        <v>4579</v>
      </c>
      <c r="B3" s="1" t="s">
        <v>4580</v>
      </c>
    </row>
    <row r="4" spans="1:4" ht="18">
      <c r="A4" s="1" t="s">
        <v>4581</v>
      </c>
      <c r="B4" s="1">
        <f xml:space="preserve"> SUM(Superstore_Sales_ProjectProject[Sales])</f>
        <v>397322.66650000069</v>
      </c>
    </row>
    <row r="5" spans="1:4" ht="18">
      <c r="A5" s="1" t="s">
        <v>4582</v>
      </c>
      <c r="B5" s="1">
        <f>COUNTIF(Superstore_Sales_ProjectProject[],"Yes")</f>
        <v>1529</v>
      </c>
    </row>
    <row r="6" spans="1:4" ht="18">
      <c r="A6" s="1" t="s">
        <v>4583</v>
      </c>
      <c r="B6" s="1">
        <f>COUNTA(_xlfn.UNIQUE(Superstore_Sales_ProjectProject[Order ID],TRUE))</f>
        <v>1722</v>
      </c>
    </row>
    <row r="7" spans="1:4" ht="18">
      <c r="A7" s="1" t="s">
        <v>4584</v>
      </c>
      <c r="B7" s="1">
        <f>AVERAGE(B4/B6)</f>
        <v>230.73325580720132</v>
      </c>
    </row>
    <row r="8" spans="1:4" ht="18">
      <c r="A8" s="1" t="s">
        <v>4585</v>
      </c>
      <c r="B8" s="1">
        <f>SUMIFS(Superstore_Sales_ProjectProject[Sales],Superstore_Sales_ProjectProject[Segment],"Corporate")</f>
        <v>129021.0610999999</v>
      </c>
    </row>
    <row r="9" spans="1:4" ht="18">
      <c r="A9" s="1" t="s">
        <v>4586</v>
      </c>
      <c r="B9" s="1">
        <f>SUMIFS(Superstore_Sales_ProjectProject[Sales],Superstore_Sales_ProjectProject[Region],"South")</f>
        <v>82188.134999999995</v>
      </c>
    </row>
    <row r="10" spans="1:4" ht="18">
      <c r="A10" s="1" t="s">
        <v>4587</v>
      </c>
      <c r="B10" s="1">
        <f>SUMIFS(Superstore_Sales_ProjectProject[Sales],Superstore_Sales_ProjectProject[Order Year],"2018")</f>
        <v>124254.68519999995</v>
      </c>
    </row>
    <row r="11" spans="1:4" ht="18">
      <c r="A11" s="1" t="s">
        <v>4588</v>
      </c>
      <c r="B11" s="2" cm="1">
        <f t="array" ref="B11">AVERAGE(Superstore_Sales_ProjectProject[Ship Date]-Superstore_Sales_ProjectProject[Order Date])</f>
        <v>3.9570267131242742</v>
      </c>
    </row>
  </sheetData>
  <mergeCells count="1">
    <mergeCell ref="A1:D1"/>
  </mergeCell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4D61-09C7-4CE2-AC0F-A63FC2B8B368}">
  <dimension ref="A3:L57"/>
  <sheetViews>
    <sheetView zoomScale="102" zoomScaleNormal="102" workbookViewId="0">
      <selection activeCell="L31" sqref="L31"/>
    </sheetView>
  </sheetViews>
  <sheetFormatPr defaultRowHeight="14.45"/>
  <cols>
    <col min="1" max="1" width="15.85546875" bestFit="1" customWidth="1"/>
    <col min="2" max="2" width="11.7109375" bestFit="1" customWidth="1"/>
    <col min="5" max="5" width="11.7109375" bestFit="1" customWidth="1"/>
    <col min="6" max="6" width="13.28515625" bestFit="1" customWidth="1"/>
    <col min="8" max="8" width="17.7109375" bestFit="1" customWidth="1"/>
    <col min="9" max="9" width="11.85546875" bestFit="1" customWidth="1"/>
    <col min="10" max="10" width="13.28515625" bestFit="1" customWidth="1"/>
    <col min="11" max="11" width="16.85546875" bestFit="1" customWidth="1"/>
    <col min="12" max="12" width="11.7109375" bestFit="1" customWidth="1"/>
    <col min="14" max="14" width="12.5703125" bestFit="1" customWidth="1"/>
    <col min="15" max="15" width="13" bestFit="1" customWidth="1"/>
  </cols>
  <sheetData>
    <row r="3" spans="1:12">
      <c r="A3" s="3" t="s">
        <v>4589</v>
      </c>
      <c r="B3" t="s">
        <v>4590</v>
      </c>
      <c r="E3" s="3" t="s">
        <v>4591</v>
      </c>
      <c r="F3" t="s">
        <v>4590</v>
      </c>
      <c r="H3" s="3" t="s">
        <v>4592</v>
      </c>
      <c r="I3" t="s">
        <v>4590</v>
      </c>
      <c r="K3" s="3" t="s">
        <v>4593</v>
      </c>
      <c r="L3" t="s">
        <v>4590</v>
      </c>
    </row>
    <row r="4" spans="1:12">
      <c r="A4" s="4" t="s">
        <v>79</v>
      </c>
      <c r="B4" s="6">
        <v>113868.30949999997</v>
      </c>
      <c r="E4" s="4" t="s">
        <v>36</v>
      </c>
      <c r="F4" s="6">
        <v>82964.73299999992</v>
      </c>
      <c r="H4" s="4">
        <v>2015</v>
      </c>
      <c r="I4">
        <v>73293.969999999987</v>
      </c>
      <c r="K4" s="4" t="s">
        <v>292</v>
      </c>
      <c r="L4">
        <v>3930.0720000000001</v>
      </c>
    </row>
    <row r="5" spans="1:12">
      <c r="A5" s="5" t="s">
        <v>286</v>
      </c>
      <c r="B5" s="6">
        <v>19526.089499999998</v>
      </c>
      <c r="E5" s="4" t="s">
        <v>25</v>
      </c>
      <c r="F5" s="6">
        <v>118599.63299999994</v>
      </c>
      <c r="H5" s="4">
        <v>2016</v>
      </c>
      <c r="I5">
        <v>88950.280000000028</v>
      </c>
      <c r="K5" s="4" t="s">
        <v>3034</v>
      </c>
      <c r="L5">
        <v>3499.93</v>
      </c>
    </row>
    <row r="6" spans="1:12">
      <c r="A6" s="5" t="s">
        <v>138</v>
      </c>
      <c r="B6" s="6">
        <v>42139.578999999991</v>
      </c>
      <c r="E6" s="4" t="s">
        <v>45</v>
      </c>
      <c r="F6" s="6">
        <v>82188.134999999995</v>
      </c>
      <c r="H6" s="4">
        <v>2017</v>
      </c>
      <c r="I6">
        <v>110823.73129999997</v>
      </c>
      <c r="K6" s="4" t="s">
        <v>3345</v>
      </c>
      <c r="L6">
        <v>5456.75</v>
      </c>
    </row>
    <row r="7" spans="1:12">
      <c r="A7" s="5" t="s">
        <v>80</v>
      </c>
      <c r="B7" s="6">
        <v>17643.375999999989</v>
      </c>
      <c r="E7" s="4" t="s">
        <v>66</v>
      </c>
      <c r="F7" s="6">
        <v>113570.16549999999</v>
      </c>
      <c r="H7" s="4">
        <v>2018</v>
      </c>
      <c r="I7">
        <v>124254.68519999995</v>
      </c>
      <c r="K7" s="4" t="s">
        <v>870</v>
      </c>
      <c r="L7">
        <v>9099.93</v>
      </c>
    </row>
    <row r="8" spans="1:12">
      <c r="A8" s="5" t="s">
        <v>347</v>
      </c>
      <c r="B8" s="6">
        <v>34559.264999999992</v>
      </c>
      <c r="E8" s="4" t="s">
        <v>4594</v>
      </c>
      <c r="F8" s="6">
        <v>397322.66649999988</v>
      </c>
      <c r="H8" s="8" t="s">
        <v>4594</v>
      </c>
      <c r="I8">
        <v>397322.66649999993</v>
      </c>
      <c r="K8" s="4" t="s">
        <v>4444</v>
      </c>
      <c r="L8">
        <v>6999.96</v>
      </c>
    </row>
    <row r="9" spans="1:12">
      <c r="A9" s="4" t="s">
        <v>27</v>
      </c>
      <c r="B9" s="6">
        <v>102731.433</v>
      </c>
      <c r="F9" s="7"/>
      <c r="K9" s="4" t="s">
        <v>3696</v>
      </c>
      <c r="L9">
        <v>4367.8959999999997</v>
      </c>
    </row>
    <row r="10" spans="1:12">
      <c r="A10" s="5" t="s">
        <v>228</v>
      </c>
      <c r="B10" s="6">
        <v>17887.294000000002</v>
      </c>
      <c r="F10" s="7"/>
      <c r="H10" s="3" t="s">
        <v>4595</v>
      </c>
      <c r="I10" t="s">
        <v>4590</v>
      </c>
      <c r="K10" s="4" t="s">
        <v>1580</v>
      </c>
      <c r="L10">
        <v>3921.3119999999999</v>
      </c>
    </row>
    <row r="11" spans="1:12">
      <c r="A11" s="5" t="s">
        <v>28</v>
      </c>
      <c r="B11" s="6">
        <v>5964.4820000000027</v>
      </c>
      <c r="E11" s="3" t="s">
        <v>4596</v>
      </c>
      <c r="F11" s="7" t="s">
        <v>4590</v>
      </c>
      <c r="H11" s="4" t="s">
        <v>518</v>
      </c>
      <c r="I11" s="6">
        <v>2938.17</v>
      </c>
      <c r="K11" s="4" t="s">
        <v>2170</v>
      </c>
      <c r="L11">
        <v>3438.4</v>
      </c>
    </row>
    <row r="12" spans="1:12">
      <c r="A12" s="5" t="s">
        <v>101</v>
      </c>
      <c r="B12" s="6">
        <v>22116.453000000012</v>
      </c>
      <c r="E12" s="4" t="s">
        <v>97</v>
      </c>
      <c r="F12" s="6">
        <v>185082.74099999983</v>
      </c>
      <c r="H12" s="4" t="s">
        <v>136</v>
      </c>
      <c r="I12" s="6">
        <v>6391.2400000000016</v>
      </c>
      <c r="K12" s="4" t="s">
        <v>2286</v>
      </c>
      <c r="L12">
        <v>7999.98</v>
      </c>
    </row>
    <row r="13" spans="1:12">
      <c r="A13" s="5" t="s">
        <v>501</v>
      </c>
      <c r="B13" s="6">
        <v>3425.5460000000003</v>
      </c>
      <c r="E13" s="4" t="s">
        <v>22</v>
      </c>
      <c r="F13" s="6">
        <v>129021.0610999999</v>
      </c>
      <c r="H13" s="4" t="s">
        <v>1270</v>
      </c>
      <c r="I13" s="6">
        <v>3053.53</v>
      </c>
      <c r="K13" s="4" t="s">
        <v>4441</v>
      </c>
      <c r="L13">
        <v>11199.968000000001</v>
      </c>
    </row>
    <row r="14" spans="1:12">
      <c r="A14" s="5" t="s">
        <v>452</v>
      </c>
      <c r="B14" s="6">
        <v>534.80799999999999</v>
      </c>
      <c r="E14" s="4" t="s">
        <v>63</v>
      </c>
      <c r="F14" s="6">
        <v>83218.864399999977</v>
      </c>
      <c r="H14" s="4" t="s">
        <v>65</v>
      </c>
      <c r="I14" s="6">
        <v>68510.209499999968</v>
      </c>
      <c r="K14" s="4" t="s">
        <v>4594</v>
      </c>
      <c r="L14">
        <v>59914.197999999997</v>
      </c>
    </row>
    <row r="15" spans="1:12">
      <c r="A15" s="5" t="s">
        <v>111</v>
      </c>
      <c r="B15" s="6">
        <v>1547.7920000000001</v>
      </c>
      <c r="E15" s="4" t="s">
        <v>4594</v>
      </c>
      <c r="F15" s="6">
        <v>397322.6664999997</v>
      </c>
      <c r="H15" s="4" t="s">
        <v>222</v>
      </c>
      <c r="I15" s="6">
        <v>6175.286000000001</v>
      </c>
    </row>
    <row r="16" spans="1:12">
      <c r="A16" s="5" t="s">
        <v>52</v>
      </c>
      <c r="B16" s="6">
        <v>13672.181999999995</v>
      </c>
      <c r="H16" s="4" t="s">
        <v>390</v>
      </c>
      <c r="I16" s="6">
        <v>1732.99</v>
      </c>
    </row>
    <row r="17" spans="1:9">
      <c r="A17" s="5" t="s">
        <v>58</v>
      </c>
      <c r="B17" s="6">
        <v>29656.183999999997</v>
      </c>
      <c r="H17" s="4" t="s">
        <v>1392</v>
      </c>
      <c r="I17" s="6">
        <v>3003.9400000000005</v>
      </c>
    </row>
    <row r="18" spans="1:9">
      <c r="A18" s="5" t="s">
        <v>74</v>
      </c>
      <c r="B18" s="6">
        <v>7926.6919999999982</v>
      </c>
      <c r="H18" s="4" t="s">
        <v>2314</v>
      </c>
      <c r="I18" s="6">
        <v>42.18</v>
      </c>
    </row>
    <row r="19" spans="1:9">
      <c r="A19" s="4" t="s">
        <v>38</v>
      </c>
      <c r="B19" s="6">
        <v>180722.924</v>
      </c>
      <c r="H19" s="4" t="s">
        <v>196</v>
      </c>
      <c r="I19" s="6">
        <v>18086.908999999996</v>
      </c>
    </row>
    <row r="20" spans="1:9">
      <c r="A20" s="5" t="s">
        <v>68</v>
      </c>
      <c r="B20" s="6">
        <v>25975.194000000007</v>
      </c>
      <c r="H20" s="4" t="s">
        <v>86</v>
      </c>
      <c r="I20" s="6">
        <v>6404.46</v>
      </c>
    </row>
    <row r="21" spans="1:9">
      <c r="A21" s="5" t="s">
        <v>190</v>
      </c>
      <c r="B21" s="6">
        <v>23419.675999999996</v>
      </c>
      <c r="H21" s="4" t="s">
        <v>3615</v>
      </c>
      <c r="I21" s="6">
        <v>397.32</v>
      </c>
    </row>
    <row r="22" spans="1:9">
      <c r="A22" s="5" t="s">
        <v>39</v>
      </c>
      <c r="B22" s="6">
        <v>59940.334000000003</v>
      </c>
      <c r="H22" s="4" t="s">
        <v>109</v>
      </c>
      <c r="I22" s="6">
        <v>21948.734999999997</v>
      </c>
    </row>
    <row r="23" spans="1:9">
      <c r="A23" s="5" t="s">
        <v>118</v>
      </c>
      <c r="B23" s="6">
        <v>71387.72</v>
      </c>
      <c r="H23" s="4" t="s">
        <v>122</v>
      </c>
      <c r="I23" s="6">
        <v>2205.36</v>
      </c>
    </row>
    <row r="24" spans="1:9">
      <c r="A24" s="4" t="s">
        <v>4594</v>
      </c>
      <c r="B24" s="6">
        <v>397322.66649999993</v>
      </c>
      <c r="H24" s="4" t="s">
        <v>797</v>
      </c>
      <c r="I24" s="6">
        <v>495.02</v>
      </c>
    </row>
    <row r="25" spans="1:9">
      <c r="F25" t="s">
        <v>4597</v>
      </c>
      <c r="H25" s="4" t="s">
        <v>1094</v>
      </c>
      <c r="I25" s="6">
        <v>363.41999999999996</v>
      </c>
    </row>
    <row r="26" spans="1:9">
      <c r="H26" s="4" t="s">
        <v>126</v>
      </c>
      <c r="I26" s="6">
        <v>5644.08</v>
      </c>
    </row>
    <row r="27" spans="1:9">
      <c r="H27" s="4" t="s">
        <v>377</v>
      </c>
      <c r="I27" s="6">
        <v>2854.75</v>
      </c>
    </row>
    <row r="28" spans="1:9">
      <c r="H28" s="4" t="s">
        <v>3066</v>
      </c>
      <c r="I28" s="6">
        <v>437.85</v>
      </c>
    </row>
    <row r="29" spans="1:9">
      <c r="H29" s="4" t="s">
        <v>706</v>
      </c>
      <c r="I29" s="6">
        <v>830.84</v>
      </c>
    </row>
    <row r="30" spans="1:9">
      <c r="H30" s="4" t="s">
        <v>284</v>
      </c>
      <c r="I30" s="6">
        <v>4196</v>
      </c>
    </row>
    <row r="31" spans="1:9">
      <c r="H31" s="4" t="s">
        <v>855</v>
      </c>
      <c r="I31" s="6">
        <v>8225.9079999999994</v>
      </c>
    </row>
    <row r="32" spans="1:9">
      <c r="H32" s="4" t="s">
        <v>372</v>
      </c>
      <c r="I32" s="6">
        <v>6734.73</v>
      </c>
    </row>
    <row r="33" spans="8:9">
      <c r="H33" s="4" t="s">
        <v>1444</v>
      </c>
      <c r="I33" s="6">
        <v>3564.8199999999997</v>
      </c>
    </row>
    <row r="34" spans="8:9">
      <c r="H34" s="4" t="s">
        <v>99</v>
      </c>
      <c r="I34" s="6">
        <v>2526.5499999999997</v>
      </c>
    </row>
    <row r="35" spans="8:9">
      <c r="H35" s="4" t="s">
        <v>188</v>
      </c>
      <c r="I35" s="6">
        <v>3612.3419999999996</v>
      </c>
    </row>
    <row r="36" spans="8:9">
      <c r="H36" s="4" t="s">
        <v>313</v>
      </c>
      <c r="I36" s="6">
        <v>105.41</v>
      </c>
    </row>
    <row r="37" spans="8:9">
      <c r="H37" s="4" t="s">
        <v>91</v>
      </c>
      <c r="I37" s="6">
        <v>6486.0119999999997</v>
      </c>
    </row>
    <row r="38" spans="8:9">
      <c r="H38" s="4" t="s">
        <v>72</v>
      </c>
      <c r="I38" s="6">
        <v>1266.1100000000001</v>
      </c>
    </row>
    <row r="39" spans="8:9">
      <c r="H39" s="4" t="s">
        <v>869</v>
      </c>
      <c r="I39" s="6">
        <v>12867.149999999998</v>
      </c>
    </row>
    <row r="40" spans="8:9">
      <c r="H40" s="4" t="s">
        <v>253</v>
      </c>
      <c r="I40" s="6">
        <v>986.7299999999999</v>
      </c>
    </row>
    <row r="41" spans="8:9">
      <c r="H41" s="4" t="s">
        <v>50</v>
      </c>
      <c r="I41" s="6">
        <v>61619.031999999985</v>
      </c>
    </row>
    <row r="42" spans="8:9">
      <c r="H42" s="4" t="s">
        <v>44</v>
      </c>
      <c r="I42" s="6">
        <v>20544.055999999993</v>
      </c>
    </row>
    <row r="43" spans="8:9">
      <c r="H43" s="4" t="s">
        <v>1329</v>
      </c>
      <c r="I43" s="6">
        <v>134.41999999999999</v>
      </c>
    </row>
    <row r="44" spans="8:9">
      <c r="H44" s="4" t="s">
        <v>237</v>
      </c>
      <c r="I44" s="6">
        <v>14469.976999999999</v>
      </c>
    </row>
    <row r="45" spans="8:9">
      <c r="H45" s="4" t="s">
        <v>152</v>
      </c>
      <c r="I45" s="6">
        <v>4172.24</v>
      </c>
    </row>
    <row r="46" spans="8:9">
      <c r="H46" s="4" t="s">
        <v>323</v>
      </c>
      <c r="I46" s="6">
        <v>1974.7400000000005</v>
      </c>
    </row>
    <row r="47" spans="8:9">
      <c r="H47" s="4" t="s">
        <v>24</v>
      </c>
      <c r="I47" s="6">
        <v>16290.333999999995</v>
      </c>
    </row>
    <row r="48" spans="8:9">
      <c r="H48" s="4" t="s">
        <v>838</v>
      </c>
      <c r="I48" s="6">
        <v>1843.2300000000002</v>
      </c>
    </row>
    <row r="49" spans="8:9">
      <c r="H49" s="4" t="s">
        <v>1402</v>
      </c>
      <c r="I49" s="6">
        <v>2689.7999999999997</v>
      </c>
    </row>
    <row r="50" spans="8:9">
      <c r="H50" s="4" t="s">
        <v>1973</v>
      </c>
      <c r="I50" s="6">
        <v>14.62</v>
      </c>
    </row>
    <row r="51" spans="8:9">
      <c r="H51" s="4" t="s">
        <v>206</v>
      </c>
      <c r="I51" s="6">
        <v>2945.69</v>
      </c>
    </row>
    <row r="52" spans="8:9">
      <c r="H52" s="4" t="s">
        <v>35</v>
      </c>
      <c r="I52" s="6">
        <v>28391.949999999997</v>
      </c>
    </row>
    <row r="53" spans="8:9">
      <c r="H53" s="4" t="s">
        <v>217</v>
      </c>
      <c r="I53" s="6">
        <v>3761.0680000000002</v>
      </c>
    </row>
    <row r="54" spans="8:9">
      <c r="H54" s="4" t="s">
        <v>56</v>
      </c>
      <c r="I54" s="6">
        <v>13461.869999999995</v>
      </c>
    </row>
    <row r="55" spans="8:9">
      <c r="H55" s="4" t="s">
        <v>165</v>
      </c>
      <c r="I55" s="6">
        <v>15275.218000000001</v>
      </c>
    </row>
    <row r="56" spans="8:9">
      <c r="H56" s="4" t="s">
        <v>478</v>
      </c>
      <c r="I56" s="6">
        <v>7646.37</v>
      </c>
    </row>
    <row r="57" spans="8:9">
      <c r="H57" s="4" t="s">
        <v>4594</v>
      </c>
      <c r="I57" s="6">
        <v>397322.66649999988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3584-1AA5-41C7-9396-1A4B4D47FA7D}">
  <dimension ref="A1:AF41"/>
  <sheetViews>
    <sheetView tabSelected="1" zoomScale="70" zoomScaleNormal="70" workbookViewId="0">
      <selection activeCell="AI37" sqref="AI37"/>
    </sheetView>
  </sheetViews>
  <sheetFormatPr defaultRowHeight="14.45"/>
  <sheetData>
    <row r="1" spans="1:3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row>
    <row r="2" spans="1:32">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row>
    <row r="3" spans="1:32">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row>
    <row r="4" spans="1:3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row>
    <row r="5" spans="1:32">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row>
    <row r="6" spans="1:32">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row>
    <row r="7" spans="1:32">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row>
    <row r="8" spans="1:32">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row>
    <row r="9" spans="1:32">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row>
    <row r="10" spans="1:32">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spans="1:32">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row>
    <row r="13" spans="1:32">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row>
    <row r="14" spans="1:32">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row>
    <row r="15" spans="1:32">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row>
    <row r="16" spans="1:32">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row>
    <row r="17" spans="1:32">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row>
    <row r="18" spans="1:32">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row>
    <row r="19" spans="1:32">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row>
    <row r="20" spans="1:32">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row>
    <row r="21" spans="1:32">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row>
    <row r="22" spans="1:3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row>
    <row r="23" spans="1:32">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row>
    <row r="24" spans="1:3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row>
    <row r="25" spans="1:3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row>
    <row r="26" spans="1:32">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row>
    <row r="27" spans="1:3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row>
    <row r="28" spans="1:3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row>
    <row r="29" spans="1:32">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row>
    <row r="30" spans="1:32">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row>
    <row r="31" spans="1:32">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row>
    <row r="32" spans="1: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row>
    <row r="33" spans="1:3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row>
    <row r="34" spans="1:32">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row>
    <row r="35" spans="1:3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row>
    <row r="36" spans="1:3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row>
    <row r="37" spans="1:3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row>
    <row r="38" spans="1:3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row>
    <row r="39" spans="1:3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row>
    <row r="40" spans="1:3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row>
    <row r="41" spans="1:32">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7D2D61-AB88-4650-8A11-F833557D9A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 Imtiaz</dc:creator>
  <cp:keywords/>
  <dc:description/>
  <cp:lastModifiedBy>Shah Imtiaz</cp:lastModifiedBy>
  <cp:revision/>
  <dcterms:created xsi:type="dcterms:W3CDTF">2025-07-14T09:22:52Z</dcterms:created>
  <dcterms:modified xsi:type="dcterms:W3CDTF">2026-03-08T19:14:00Z</dcterms:modified>
  <cp:category/>
  <cp:contentStatus/>
</cp:coreProperties>
</file>